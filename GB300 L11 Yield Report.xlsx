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Mydata\desktop\RACK Data\"/>
    </mc:Choice>
  </mc:AlternateContent>
  <xr:revisionPtr revIDLastSave="0" documentId="13_ncr:1_{105FB664-B059-41CC-A204-A7EF788BDF27}" xr6:coauthVersionLast="47" xr6:coauthVersionMax="47" xr10:uidLastSave="{00000000-0000-0000-0000-000000000000}"/>
  <bookViews>
    <workbookView xWindow="28690" yWindow="-110" windowWidth="29020" windowHeight="15700" tabRatio="874" activeTab="3" xr2:uid="{00000000-000D-0000-FFFF-FFFF00000000}"/>
  </bookViews>
  <sheets>
    <sheet name="TI036 Summary" sheetId="102" r:id="rId1"/>
    <sheet name="Component replacement Pareto" sheetId="16" r:id="rId2"/>
    <sheet name="PIVOT" sheetId="101" r:id="rId3"/>
    <sheet name="Fail Information" sheetId="15" r:id="rId4"/>
    <sheet name="PN Dictionary" sheetId="12" r:id="rId5"/>
    <sheet name="TD004 Summary" sheetId="103" r:id="rId6"/>
    <sheet name="FG001 Summary" sheetId="91" r:id="rId7"/>
    <sheet name="MA023 Summary " sheetId="43" r:id="rId8"/>
    <sheet name="xAI_TW008 Summary" sheetId="8" r:id="rId9"/>
    <sheet name="GVMetadata" sheetId="14" state="veryHidden" r:id="rId10"/>
  </sheets>
  <definedNames>
    <definedName name="_xlnm._FilterDatabase" localSheetId="3" hidden="1">'Fail Information'!$A$1:$R$1337</definedName>
    <definedName name="_xlnm._FilterDatabase" localSheetId="6" hidden="1">'FG001 Summary'!#REF!</definedName>
    <definedName name="_xlnm._FilterDatabase" localSheetId="7" hidden="1">'MA023 Summary '!#REF!</definedName>
    <definedName name="_xlnm._FilterDatabase" localSheetId="4" hidden="1">'PN Dictionary'!$A$1:$B$21</definedName>
    <definedName name="_xlnm._FilterDatabase" localSheetId="5" hidden="1">'TD004 Summary'!#REF!</definedName>
    <definedName name="_xlnm._FilterDatabase" localSheetId="0" hidden="1">'TI036 Summary'!#REF!</definedName>
    <definedName name="_xlnm._FilterDatabase" localSheetId="8" hidden="1">'xAI_TW008 Summary'!#REF!</definedName>
    <definedName name="_xlchart.v1.0" hidden="1">'Component replacement Pareto'!$B$37:$B$44</definedName>
    <definedName name="_xlchart.v1.1" hidden="1">'Component replacement Pareto'!$C$37:$C$43</definedName>
    <definedName name="_xlchart.v1.2" hidden="1">'Component replacement Pareto'!$B$5:$B$6</definedName>
    <definedName name="_xlchart.v1.3" hidden="1">'Component replacement Pareto'!$C$5:$C$6</definedName>
    <definedName name="_xlchart.v1.4" hidden="1">'Component replacement Pareto'!$B$37:$B$43</definedName>
    <definedName name="_xlchart.v1.5" hidden="1">'Component replacement Pareto'!$C$37:$C$43</definedName>
  </definedNames>
  <calcPr calcId="191029"/>
  <pivotCaches>
    <pivotCache cacheId="1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" i="102" l="1"/>
  <c r="BC5" i="102"/>
  <c r="BC8" i="102"/>
  <c r="BC9" i="102"/>
  <c r="J1382" i="15"/>
  <c r="J1383" i="15"/>
  <c r="J1384" i="15"/>
  <c r="J1381" i="15"/>
  <c r="J1378" i="15"/>
  <c r="J1379" i="15"/>
  <c r="J1380" i="15"/>
  <c r="J1376" i="15"/>
  <c r="J1377" i="15"/>
  <c r="J1374" i="15"/>
  <c r="J1375" i="15"/>
  <c r="J1361" i="15"/>
  <c r="J1362" i="15"/>
  <c r="J1363" i="15"/>
  <c r="J1364" i="15"/>
  <c r="J1365" i="15"/>
  <c r="J1366" i="15"/>
  <c r="J1367" i="15"/>
  <c r="J1368" i="15"/>
  <c r="J1369" i="15"/>
  <c r="J1370" i="15"/>
  <c r="J1371" i="15"/>
  <c r="J1372" i="15"/>
  <c r="J1373" i="15"/>
  <c r="J1355" i="15"/>
  <c r="J1356" i="15"/>
  <c r="J1357" i="15"/>
  <c r="J1358" i="15"/>
  <c r="J1359" i="15"/>
  <c r="J1360" i="15"/>
  <c r="J1354" i="15"/>
  <c r="J1345" i="15"/>
  <c r="J1346" i="15"/>
  <c r="J1347" i="15"/>
  <c r="J1348" i="15"/>
  <c r="J1349" i="15"/>
  <c r="J1350" i="15"/>
  <c r="J1351" i="15"/>
  <c r="J1352" i="15"/>
  <c r="J1353" i="15"/>
  <c r="J1338" i="15"/>
  <c r="J1339" i="15"/>
  <c r="J1340" i="15"/>
  <c r="J1341" i="15"/>
  <c r="J1342" i="15"/>
  <c r="J1343" i="15"/>
  <c r="J1344" i="15"/>
  <c r="J1331" i="15"/>
  <c r="J1332" i="15"/>
  <c r="J1333" i="15"/>
  <c r="J1334" i="15"/>
  <c r="J1335" i="15"/>
  <c r="J1336" i="15"/>
  <c r="J1337" i="15"/>
  <c r="J1295" i="15"/>
  <c r="J1296" i="15"/>
  <c r="J1297" i="15"/>
  <c r="J1298" i="15"/>
  <c r="J1299" i="15"/>
  <c r="J1300" i="15"/>
  <c r="J1301" i="15"/>
  <c r="J1302" i="15"/>
  <c r="J1303" i="15"/>
  <c r="J1304" i="15"/>
  <c r="J1305" i="15"/>
  <c r="J1306" i="15"/>
  <c r="J1307" i="15"/>
  <c r="J1308" i="15"/>
  <c r="J1309" i="15"/>
  <c r="J1310" i="15"/>
  <c r="J1311" i="15"/>
  <c r="J1312" i="15"/>
  <c r="J1313" i="15"/>
  <c r="J1314" i="15"/>
  <c r="J1315" i="15"/>
  <c r="J1316" i="15"/>
  <c r="J1317" i="15"/>
  <c r="J1318" i="15"/>
  <c r="J1319" i="15"/>
  <c r="J1320" i="15"/>
  <c r="J1321" i="15"/>
  <c r="J1322" i="15"/>
  <c r="J1323" i="15"/>
  <c r="J1324" i="15"/>
  <c r="J1325" i="15"/>
  <c r="J1326" i="15"/>
  <c r="J1327" i="15"/>
  <c r="J1328" i="15"/>
  <c r="J1329" i="15"/>
  <c r="J1330" i="15"/>
  <c r="AQ1" i="102"/>
  <c r="J1283" i="15"/>
  <c r="J1284" i="15"/>
  <c r="J1285" i="15"/>
  <c r="J1286" i="15"/>
  <c r="J1287" i="15"/>
  <c r="J1288" i="15"/>
  <c r="J1289" i="15"/>
  <c r="J1290" i="15"/>
  <c r="J1291" i="15"/>
  <c r="J1292" i="15"/>
  <c r="J1293" i="15"/>
  <c r="J1294" i="15"/>
  <c r="C43" i="16"/>
  <c r="D43" i="16" s="1"/>
  <c r="C42" i="16"/>
  <c r="D42" i="16" s="1"/>
  <c r="C41" i="16"/>
  <c r="D41" i="16" s="1"/>
  <c r="C40" i="16"/>
  <c r="D40" i="16" s="1"/>
  <c r="C39" i="16"/>
  <c r="D39" i="16" s="1"/>
  <c r="C38" i="16"/>
  <c r="D38" i="16" s="1"/>
  <c r="C37" i="16"/>
  <c r="D37" i="16" s="1"/>
  <c r="J1269" i="15"/>
  <c r="J1270" i="15"/>
  <c r="J1271" i="15"/>
  <c r="J1272" i="15"/>
  <c r="J1273" i="15"/>
  <c r="J1274" i="15"/>
  <c r="J1275" i="15"/>
  <c r="J1276" i="15"/>
  <c r="J1277" i="15"/>
  <c r="J1278" i="15"/>
  <c r="J1279" i="15"/>
  <c r="J1280" i="15"/>
  <c r="J1281" i="15"/>
  <c r="J1282" i="15"/>
  <c r="J1260" i="15"/>
  <c r="J1261" i="15"/>
  <c r="J1262" i="15"/>
  <c r="J1263" i="15"/>
  <c r="J1264" i="15"/>
  <c r="J1265" i="15"/>
  <c r="J1266" i="15"/>
  <c r="J1267" i="15"/>
  <c r="J1268" i="15"/>
  <c r="J1259" i="15"/>
  <c r="J1258" i="15"/>
  <c r="J1257" i="15"/>
  <c r="J1256" i="15"/>
  <c r="C6" i="16"/>
  <c r="B6" i="16"/>
  <c r="J1232" i="15"/>
  <c r="J1227" i="15"/>
  <c r="J1148" i="15"/>
  <c r="J1225" i="15"/>
  <c r="J1226" i="15"/>
  <c r="J1228" i="15"/>
  <c r="J1229" i="15"/>
  <c r="J1230" i="15"/>
  <c r="J1231" i="15"/>
  <c r="J1233" i="15"/>
  <c r="J1234" i="15"/>
  <c r="J1235" i="15"/>
  <c r="J1236" i="15"/>
  <c r="J1237" i="15"/>
  <c r="J1238" i="15"/>
  <c r="J1239" i="15"/>
  <c r="J1240" i="15"/>
  <c r="J1241" i="15"/>
  <c r="J1242" i="15"/>
  <c r="J1243" i="15"/>
  <c r="J1244" i="15"/>
  <c r="J1245" i="15"/>
  <c r="J1246" i="15"/>
  <c r="J1247" i="15"/>
  <c r="J1248" i="15"/>
  <c r="J1249" i="15"/>
  <c r="J1250" i="15"/>
  <c r="J1251" i="15"/>
  <c r="J1252" i="15"/>
  <c r="J1253" i="15"/>
  <c r="J1254" i="15"/>
  <c r="J1255" i="15"/>
  <c r="J1210" i="15"/>
  <c r="J1211" i="15"/>
  <c r="J1212" i="15"/>
  <c r="J1213" i="15"/>
  <c r="J1214" i="15"/>
  <c r="J1215" i="15"/>
  <c r="J1216" i="15"/>
  <c r="J1217" i="15"/>
  <c r="J1218" i="15"/>
  <c r="J1219" i="15"/>
  <c r="J1220" i="15"/>
  <c r="J1221" i="15"/>
  <c r="J1222" i="15"/>
  <c r="J1223" i="15"/>
  <c r="J1224" i="15"/>
  <c r="J9" i="102"/>
  <c r="AJ8" i="91"/>
  <c r="B9" i="102"/>
  <c r="P9" i="102"/>
  <c r="D48" i="16" l="1"/>
  <c r="E8" i="103"/>
  <c r="AJ9" i="102"/>
  <c r="AK9" i="102"/>
  <c r="AL9" i="102"/>
  <c r="AM9" i="102"/>
  <c r="AN9" i="102"/>
  <c r="AO9" i="102"/>
  <c r="AP9" i="102"/>
  <c r="AQ9" i="102"/>
  <c r="AR9" i="102"/>
  <c r="AS9" i="102"/>
  <c r="AT9" i="102"/>
  <c r="AU9" i="102"/>
  <c r="AV9" i="102"/>
  <c r="AW9" i="102"/>
  <c r="AX9" i="102"/>
  <c r="AY9" i="102"/>
  <c r="AZ9" i="102"/>
  <c r="BA9" i="102"/>
  <c r="BB9" i="102"/>
  <c r="AJ8" i="102"/>
  <c r="J1199" i="15" l="1"/>
  <c r="J1200" i="15"/>
  <c r="J1201" i="15"/>
  <c r="J1202" i="15"/>
  <c r="J1203" i="15"/>
  <c r="J1204" i="15"/>
  <c r="J1205" i="15"/>
  <c r="J1206" i="15"/>
  <c r="J1207" i="15"/>
  <c r="J1208" i="15"/>
  <c r="J1209" i="15"/>
  <c r="J1198" i="15"/>
  <c r="J1197" i="15"/>
  <c r="J1196" i="15"/>
  <c r="J1195" i="15"/>
  <c r="J1194" i="15"/>
  <c r="J1193" i="15"/>
  <c r="J1192" i="15"/>
  <c r="J1191" i="15"/>
  <c r="J1190" i="15"/>
  <c r="J1189" i="15"/>
  <c r="J1188" i="15"/>
  <c r="J1187" i="15"/>
  <c r="J1186" i="15"/>
  <c r="J1185" i="15"/>
  <c r="J1184" i="15"/>
  <c r="J1183" i="15"/>
  <c r="J1182" i="15"/>
  <c r="J1181" i="15"/>
  <c r="J1180" i="15"/>
  <c r="J1179" i="15"/>
  <c r="J1178" i="15"/>
  <c r="J1177" i="15"/>
  <c r="J1159" i="15"/>
  <c r="J1160" i="15"/>
  <c r="J1161" i="15"/>
  <c r="J1162" i="15"/>
  <c r="J1163" i="15"/>
  <c r="J1164" i="15"/>
  <c r="J1165" i="15"/>
  <c r="J1166" i="15"/>
  <c r="J1167" i="15"/>
  <c r="J1168" i="15"/>
  <c r="J1169" i="15"/>
  <c r="J1170" i="15"/>
  <c r="J1171" i="15"/>
  <c r="J1172" i="15"/>
  <c r="J1173" i="15"/>
  <c r="J1174" i="15"/>
  <c r="J1175" i="15"/>
  <c r="J1176" i="15"/>
  <c r="AB9" i="103"/>
  <c r="AA9" i="103"/>
  <c r="Z9" i="103"/>
  <c r="Y9" i="103"/>
  <c r="X9" i="103"/>
  <c r="W9" i="103"/>
  <c r="V9" i="103"/>
  <c r="U9" i="103"/>
  <c r="T9" i="103"/>
  <c r="S9" i="103"/>
  <c r="R9" i="103"/>
  <c r="Q9" i="103"/>
  <c r="P9" i="103"/>
  <c r="O9" i="103"/>
  <c r="N9" i="103"/>
  <c r="M9" i="103"/>
  <c r="L9" i="103"/>
  <c r="K9" i="103"/>
  <c r="J9" i="103"/>
  <c r="I9" i="103"/>
  <c r="H9" i="103"/>
  <c r="G9" i="103"/>
  <c r="F9" i="103"/>
  <c r="E9" i="103"/>
  <c r="D9" i="103"/>
  <c r="C9" i="103"/>
  <c r="B9" i="103"/>
  <c r="C8" i="103"/>
  <c r="D8" i="103" s="1"/>
  <c r="F8" i="103" s="1"/>
  <c r="G8" i="103" s="1"/>
  <c r="H8" i="103" s="1"/>
  <c r="I8" i="103" s="1"/>
  <c r="J8" i="103" s="1"/>
  <c r="K8" i="103" s="1"/>
  <c r="L8" i="103" s="1"/>
  <c r="M8" i="103" s="1"/>
  <c r="N8" i="103" s="1"/>
  <c r="O8" i="103" s="1"/>
  <c r="P8" i="103" s="1"/>
  <c r="Q8" i="103" s="1"/>
  <c r="R8" i="103" s="1"/>
  <c r="S8" i="103" s="1"/>
  <c r="T8" i="103" s="1"/>
  <c r="U8" i="103" s="1"/>
  <c r="V8" i="103" s="1"/>
  <c r="W8" i="103" s="1"/>
  <c r="X8" i="103" s="1"/>
  <c r="Y8" i="103" s="1"/>
  <c r="Z8" i="103" s="1"/>
  <c r="AA8" i="103" s="1"/>
  <c r="AB8" i="103" s="1"/>
  <c r="AB5" i="103"/>
  <c r="AA5" i="103"/>
  <c r="Z5" i="103"/>
  <c r="Y5" i="103"/>
  <c r="X5" i="103"/>
  <c r="W5" i="103"/>
  <c r="V5" i="103"/>
  <c r="U5" i="103"/>
  <c r="T5" i="103"/>
  <c r="S5" i="103"/>
  <c r="R5" i="103"/>
  <c r="Q5" i="103"/>
  <c r="K5" i="103"/>
  <c r="J5" i="103"/>
  <c r="I5" i="103"/>
  <c r="AB1" i="103"/>
  <c r="AA1" i="103"/>
  <c r="Z1" i="103"/>
  <c r="Y1" i="103"/>
  <c r="X1" i="103"/>
  <c r="W1" i="103"/>
  <c r="V1" i="103"/>
  <c r="U1" i="103"/>
  <c r="T1" i="103"/>
  <c r="S1" i="103"/>
  <c r="R1" i="103"/>
  <c r="P1" i="103"/>
  <c r="O1" i="103"/>
  <c r="N1" i="103"/>
  <c r="M1" i="103"/>
  <c r="L1" i="103"/>
  <c r="K1" i="103"/>
  <c r="J1" i="103"/>
  <c r="I1" i="103"/>
  <c r="H1" i="103"/>
  <c r="G1" i="103"/>
  <c r="F1" i="103"/>
  <c r="E1" i="103"/>
  <c r="D1" i="103"/>
  <c r="C1" i="103"/>
  <c r="B1" i="103"/>
  <c r="J1151" i="15"/>
  <c r="J1152" i="15"/>
  <c r="J1153" i="15"/>
  <c r="J1154" i="15"/>
  <c r="J1155" i="15"/>
  <c r="J1156" i="15"/>
  <c r="J1157" i="15"/>
  <c r="J1158" i="15"/>
  <c r="BB1" i="102"/>
  <c r="C5" i="16"/>
  <c r="J1116" i="15"/>
  <c r="J1117" i="15"/>
  <c r="J1118" i="15"/>
  <c r="J1119" i="15"/>
  <c r="J1120" i="15"/>
  <c r="J1121" i="15"/>
  <c r="J1122" i="15"/>
  <c r="J1123" i="15"/>
  <c r="J1124" i="15"/>
  <c r="J1125" i="15"/>
  <c r="J1126" i="15"/>
  <c r="J1127" i="15"/>
  <c r="J1128" i="15"/>
  <c r="J1129" i="15"/>
  <c r="J1130" i="15"/>
  <c r="J1131" i="15"/>
  <c r="J1132" i="15"/>
  <c r="J1133" i="15"/>
  <c r="J1134" i="15"/>
  <c r="J1135" i="15"/>
  <c r="J1136" i="15"/>
  <c r="J1137" i="15"/>
  <c r="J1138" i="15"/>
  <c r="J1139" i="15"/>
  <c r="J1140" i="15"/>
  <c r="J1141" i="15"/>
  <c r="J1142" i="15"/>
  <c r="J1143" i="15"/>
  <c r="J1144" i="15"/>
  <c r="J1145" i="15"/>
  <c r="J1146" i="15"/>
  <c r="J1147" i="15"/>
  <c r="J1149" i="15"/>
  <c r="J1150" i="15"/>
  <c r="BB5" i="102"/>
  <c r="B37" i="16"/>
  <c r="J1108" i="15"/>
  <c r="J1109" i="15"/>
  <c r="J1110" i="15"/>
  <c r="J1111" i="15"/>
  <c r="J1112" i="15"/>
  <c r="J1113" i="15"/>
  <c r="J1114" i="15"/>
  <c r="J1115" i="15"/>
  <c r="V9" i="102" l="1"/>
  <c r="AC9" i="102"/>
  <c r="J1093" i="15" l="1"/>
  <c r="J1094" i="15"/>
  <c r="J1095" i="15"/>
  <c r="J1096" i="15"/>
  <c r="J1097" i="15"/>
  <c r="J1098" i="15"/>
  <c r="J1099" i="15"/>
  <c r="J1100" i="15"/>
  <c r="J1101" i="15"/>
  <c r="J1102" i="15"/>
  <c r="J1103" i="15"/>
  <c r="J1104" i="15"/>
  <c r="J1105" i="15"/>
  <c r="J1106" i="15"/>
  <c r="J1107" i="15"/>
  <c r="AD1" i="102"/>
  <c r="B43" i="16"/>
  <c r="A43" i="16" s="1"/>
  <c r="J1070" i="15"/>
  <c r="J1071" i="15"/>
  <c r="J1072" i="15"/>
  <c r="J1073" i="15"/>
  <c r="J1074" i="15"/>
  <c r="J1075" i="15"/>
  <c r="J1076" i="15"/>
  <c r="J1077" i="15"/>
  <c r="J1078" i="15"/>
  <c r="J1079" i="15"/>
  <c r="J1080" i="15"/>
  <c r="J1081" i="15"/>
  <c r="J1082" i="15"/>
  <c r="J1083" i="15"/>
  <c r="J1084" i="15"/>
  <c r="J1085" i="15"/>
  <c r="J1086" i="15"/>
  <c r="J1087" i="15"/>
  <c r="J1088" i="15"/>
  <c r="J1089" i="15"/>
  <c r="J1090" i="15"/>
  <c r="J1091" i="15"/>
  <c r="J1092" i="15"/>
  <c r="J1061" i="15"/>
  <c r="J1062" i="15"/>
  <c r="J1063" i="15"/>
  <c r="J1064" i="15"/>
  <c r="J1065" i="15"/>
  <c r="J1066" i="15"/>
  <c r="J1067" i="15"/>
  <c r="J1068" i="15"/>
  <c r="J1069" i="15"/>
  <c r="B42" i="16"/>
  <c r="A42" i="16" s="1"/>
  <c r="J1044" i="15"/>
  <c r="J1045" i="15"/>
  <c r="J1046" i="15"/>
  <c r="J1047" i="15"/>
  <c r="J1048" i="15"/>
  <c r="J1049" i="15"/>
  <c r="J1050" i="15"/>
  <c r="J1051" i="15"/>
  <c r="J1052" i="15"/>
  <c r="J1053" i="15"/>
  <c r="J1054" i="15"/>
  <c r="J1055" i="15"/>
  <c r="J1056" i="15"/>
  <c r="J1057" i="15"/>
  <c r="J1058" i="15"/>
  <c r="J1059" i="15"/>
  <c r="J1060" i="15"/>
  <c r="J1026" i="15"/>
  <c r="J1027" i="15"/>
  <c r="J1028" i="15"/>
  <c r="J1029" i="15"/>
  <c r="J1030" i="15"/>
  <c r="J1031" i="15"/>
  <c r="J1032" i="15"/>
  <c r="J1033" i="15"/>
  <c r="J1034" i="15"/>
  <c r="J1035" i="15"/>
  <c r="J1036" i="15"/>
  <c r="J1037" i="15"/>
  <c r="J1038" i="15"/>
  <c r="J1039" i="15"/>
  <c r="J1040" i="15"/>
  <c r="J1041" i="15"/>
  <c r="J1042" i="15"/>
  <c r="J1043" i="15"/>
  <c r="J1008" i="15"/>
  <c r="J1009" i="15"/>
  <c r="J1010" i="15"/>
  <c r="J1011" i="15"/>
  <c r="J1012" i="15"/>
  <c r="J1013" i="15"/>
  <c r="J1014" i="15"/>
  <c r="J1015" i="15"/>
  <c r="J1016" i="15"/>
  <c r="J1017" i="15"/>
  <c r="J1018" i="15"/>
  <c r="J1019" i="15"/>
  <c r="J1020" i="15"/>
  <c r="J1021" i="15"/>
  <c r="J1022" i="15"/>
  <c r="J1023" i="15"/>
  <c r="J1024" i="15"/>
  <c r="J1025" i="15"/>
  <c r="J1004" i="15"/>
  <c r="J1005" i="15"/>
  <c r="J1006" i="15"/>
  <c r="J1007" i="15"/>
  <c r="J985" i="15"/>
  <c r="J986" i="15"/>
  <c r="J987" i="15"/>
  <c r="J988" i="15"/>
  <c r="J989" i="15"/>
  <c r="J990" i="15"/>
  <c r="J991" i="15"/>
  <c r="J992" i="15"/>
  <c r="J993" i="15"/>
  <c r="J994" i="15"/>
  <c r="J995" i="15"/>
  <c r="J996" i="15"/>
  <c r="J997" i="15"/>
  <c r="J998" i="15"/>
  <c r="J999" i="15"/>
  <c r="J1000" i="15"/>
  <c r="J1001" i="15"/>
  <c r="J1002" i="15"/>
  <c r="J1003" i="15"/>
  <c r="B41" i="16"/>
  <c r="A41" i="16" s="1"/>
  <c r="J974" i="15"/>
  <c r="J975" i="15"/>
  <c r="J976" i="15"/>
  <c r="J977" i="15"/>
  <c r="J978" i="15"/>
  <c r="J979" i="15"/>
  <c r="J980" i="15"/>
  <c r="J981" i="15"/>
  <c r="J982" i="15"/>
  <c r="J983" i="15"/>
  <c r="J984" i="15"/>
  <c r="B40" i="16"/>
  <c r="J963" i="15"/>
  <c r="J969" i="15"/>
  <c r="J970" i="15"/>
  <c r="J964" i="15"/>
  <c r="J968" i="15"/>
  <c r="J972" i="15"/>
  <c r="J965" i="15"/>
  <c r="J967" i="15"/>
  <c r="J966" i="15"/>
  <c r="J973" i="15"/>
  <c r="J971" i="15"/>
  <c r="J962" i="15"/>
  <c r="J954" i="15"/>
  <c r="J934" i="15"/>
  <c r="J935" i="15"/>
  <c r="J936" i="15"/>
  <c r="J937" i="15"/>
  <c r="J938" i="15"/>
  <c r="J939" i="15"/>
  <c r="J940" i="15"/>
  <c r="J941" i="15"/>
  <c r="J942" i="15"/>
  <c r="J943" i="15"/>
  <c r="J944" i="15"/>
  <c r="J945" i="15"/>
  <c r="J946" i="15"/>
  <c r="J947" i="15"/>
  <c r="J948" i="15"/>
  <c r="J949" i="15"/>
  <c r="J950" i="15"/>
  <c r="J951" i="15"/>
  <c r="J952" i="15"/>
  <c r="J953" i="15"/>
  <c r="J955" i="15"/>
  <c r="J956" i="15"/>
  <c r="J957" i="15"/>
  <c r="J958" i="15"/>
  <c r="J959" i="15"/>
  <c r="J960" i="15"/>
  <c r="J961" i="15"/>
  <c r="L9" i="102"/>
  <c r="C9" i="102"/>
  <c r="D9" i="102"/>
  <c r="E9" i="102"/>
  <c r="F9" i="102"/>
  <c r="G9" i="102"/>
  <c r="H9" i="102"/>
  <c r="I9" i="102"/>
  <c r="K9" i="102"/>
  <c r="M9" i="102"/>
  <c r="N9" i="102"/>
  <c r="O9" i="102"/>
  <c r="Q9" i="102"/>
  <c r="R9" i="102"/>
  <c r="J930" i="15" l="1"/>
  <c r="J931" i="15"/>
  <c r="J932" i="15"/>
  <c r="J933" i="15"/>
  <c r="J925" i="15"/>
  <c r="J926" i="15"/>
  <c r="J927" i="15"/>
  <c r="J928" i="15"/>
  <c r="J929" i="15"/>
  <c r="AG8" i="91"/>
  <c r="AH8" i="91"/>
  <c r="AI8" i="91"/>
  <c r="AK8" i="91"/>
  <c r="AL8" i="91"/>
  <c r="AM8" i="91"/>
  <c r="AN8" i="91"/>
  <c r="AO8" i="91"/>
  <c r="AP8" i="91"/>
  <c r="AQ8" i="91"/>
  <c r="AR8" i="91"/>
  <c r="AS8" i="91"/>
  <c r="AT8" i="91"/>
  <c r="AU8" i="91"/>
  <c r="AV8" i="91"/>
  <c r="AW8" i="91"/>
  <c r="AX8" i="91"/>
  <c r="AY8" i="91"/>
  <c r="AZ8" i="91"/>
  <c r="BA8" i="91"/>
  <c r="BB8" i="91"/>
  <c r="U8" i="91"/>
  <c r="V8" i="91"/>
  <c r="W8" i="91"/>
  <c r="X8" i="91"/>
  <c r="Y8" i="91"/>
  <c r="Z8" i="91"/>
  <c r="AA8" i="91"/>
  <c r="AB8" i="91"/>
  <c r="AC8" i="91"/>
  <c r="AD8" i="91"/>
  <c r="AE8" i="91"/>
  <c r="AF8" i="91"/>
  <c r="S9" i="102"/>
  <c r="T9" i="102"/>
  <c r="U9" i="102"/>
  <c r="W9" i="102"/>
  <c r="X9" i="102"/>
  <c r="Y9" i="102"/>
  <c r="Z9" i="102"/>
  <c r="AA9" i="102"/>
  <c r="AB9" i="102"/>
  <c r="AD9" i="102"/>
  <c r="AE9" i="102"/>
  <c r="AF9" i="102"/>
  <c r="AG9" i="102"/>
  <c r="AH9" i="102"/>
  <c r="AI9" i="102"/>
  <c r="J922" i="15"/>
  <c r="J923" i="15"/>
  <c r="J924" i="15"/>
  <c r="J918" i="15"/>
  <c r="J919" i="15"/>
  <c r="J920" i="15"/>
  <c r="J921" i="15"/>
  <c r="E5" i="102"/>
  <c r="F5" i="102"/>
  <c r="G5" i="102"/>
  <c r="H5" i="102"/>
  <c r="I5" i="102"/>
  <c r="J5" i="102"/>
  <c r="K5" i="102"/>
  <c r="L5" i="102"/>
  <c r="M5" i="102"/>
  <c r="D5" i="102"/>
  <c r="C5" i="102"/>
  <c r="N1" i="102"/>
  <c r="AD1" i="91"/>
  <c r="J909" i="15"/>
  <c r="J910" i="15"/>
  <c r="J911" i="15"/>
  <c r="J912" i="15"/>
  <c r="J913" i="15"/>
  <c r="J914" i="15"/>
  <c r="J915" i="15"/>
  <c r="J916" i="15"/>
  <c r="J917" i="15"/>
  <c r="J905" i="15"/>
  <c r="J906" i="15"/>
  <c r="J907" i="15"/>
  <c r="J908" i="15"/>
  <c r="J897" i="15"/>
  <c r="J898" i="15"/>
  <c r="J899" i="15"/>
  <c r="J900" i="15"/>
  <c r="J901" i="15"/>
  <c r="J902" i="15"/>
  <c r="J903" i="15"/>
  <c r="J904" i="15"/>
  <c r="J887" i="15"/>
  <c r="J888" i="15"/>
  <c r="J889" i="15"/>
  <c r="J890" i="15"/>
  <c r="J891" i="15"/>
  <c r="J892" i="15"/>
  <c r="J893" i="15"/>
  <c r="J894" i="15"/>
  <c r="J895" i="15"/>
  <c r="J896" i="15"/>
  <c r="J885" i="15"/>
  <c r="J886" i="15"/>
  <c r="B39" i="16"/>
  <c r="A39" i="16" s="1"/>
  <c r="B38" i="16"/>
  <c r="A38" i="16" s="1"/>
  <c r="A37" i="16"/>
  <c r="J876" i="15"/>
  <c r="J877" i="15"/>
  <c r="J878" i="15"/>
  <c r="J879" i="15"/>
  <c r="J880" i="15"/>
  <c r="J881" i="15"/>
  <c r="J882" i="15"/>
  <c r="J883" i="15"/>
  <c r="J884" i="15"/>
  <c r="C8" i="102"/>
  <c r="D8" i="102" s="1"/>
  <c r="E8" i="102" s="1"/>
  <c r="F8" i="102" s="1"/>
  <c r="G8" i="102" s="1"/>
  <c r="H8" i="102" s="1"/>
  <c r="I8" i="102" s="1"/>
  <c r="J8" i="102" s="1"/>
  <c r="K8" i="102" s="1"/>
  <c r="L8" i="102" s="1"/>
  <c r="M8" i="102" s="1"/>
  <c r="N8" i="102" s="1"/>
  <c r="O8" i="102" s="1"/>
  <c r="P8" i="102" s="1"/>
  <c r="J869" i="15"/>
  <c r="J870" i="15"/>
  <c r="J871" i="15"/>
  <c r="J872" i="15"/>
  <c r="J873" i="15"/>
  <c r="J874" i="15"/>
  <c r="J875" i="15"/>
  <c r="J863" i="15"/>
  <c r="J864" i="15"/>
  <c r="J865" i="15"/>
  <c r="J866" i="15"/>
  <c r="J867" i="15"/>
  <c r="J868" i="15"/>
  <c r="BA1" i="102"/>
  <c r="AZ1" i="102"/>
  <c r="AY1" i="102"/>
  <c r="AX1" i="102"/>
  <c r="AW1" i="102"/>
  <c r="AV1" i="102"/>
  <c r="AU1" i="102"/>
  <c r="AT1" i="102"/>
  <c r="AS1" i="102"/>
  <c r="AR1" i="102"/>
  <c r="AP1" i="102"/>
  <c r="AO1" i="102"/>
  <c r="AN1" i="102"/>
  <c r="AM1" i="102"/>
  <c r="AL1" i="102"/>
  <c r="AK1" i="102"/>
  <c r="AJ1" i="102"/>
  <c r="AI1" i="102"/>
  <c r="AH1" i="102"/>
  <c r="AG1" i="102"/>
  <c r="AF1" i="102"/>
  <c r="AE1" i="102"/>
  <c r="AC1" i="102"/>
  <c r="AB1" i="102"/>
  <c r="AA1" i="102"/>
  <c r="Y1" i="102"/>
  <c r="X1" i="102"/>
  <c r="W1" i="102"/>
  <c r="V1" i="102"/>
  <c r="U1" i="102"/>
  <c r="T1" i="102"/>
  <c r="S1" i="102"/>
  <c r="R1" i="102"/>
  <c r="Q1" i="102"/>
  <c r="P1" i="102"/>
  <c r="O1" i="102"/>
  <c r="M1" i="102"/>
  <c r="L1" i="102"/>
  <c r="K1" i="102"/>
  <c r="J1" i="102"/>
  <c r="I1" i="102"/>
  <c r="H1" i="102"/>
  <c r="G1" i="102"/>
  <c r="F1" i="102"/>
  <c r="E1" i="102"/>
  <c r="D1" i="102"/>
  <c r="C1" i="102"/>
  <c r="B1" i="102"/>
  <c r="Q8" i="91"/>
  <c r="B12" i="16"/>
  <c r="B11" i="16"/>
  <c r="A11" i="16" s="1"/>
  <c r="J861" i="15"/>
  <c r="J862" i="15"/>
  <c r="C7" i="16"/>
  <c r="C8" i="16"/>
  <c r="C9" i="16"/>
  <c r="C10" i="16"/>
  <c r="C11" i="16"/>
  <c r="C12" i="16"/>
  <c r="C13" i="16"/>
  <c r="C14" i="16"/>
  <c r="B8" i="16"/>
  <c r="B9" i="16"/>
  <c r="B10" i="16"/>
  <c r="B14" i="16"/>
  <c r="B5" i="16"/>
  <c r="A5" i="16" s="1"/>
  <c r="J855" i="15"/>
  <c r="J856" i="15"/>
  <c r="J857" i="15"/>
  <c r="J858" i="15"/>
  <c r="J859" i="15"/>
  <c r="J860" i="15"/>
  <c r="J837" i="15"/>
  <c r="J838" i="15"/>
  <c r="J839" i="15"/>
  <c r="J840" i="15"/>
  <c r="J841" i="15"/>
  <c r="J842" i="15"/>
  <c r="J843" i="15"/>
  <c r="J844" i="15"/>
  <c r="J845" i="15"/>
  <c r="J846" i="15"/>
  <c r="J847" i="15"/>
  <c r="J848" i="15"/>
  <c r="J849" i="15"/>
  <c r="J850" i="15"/>
  <c r="J851" i="15"/>
  <c r="J852" i="15"/>
  <c r="J853" i="15"/>
  <c r="J854" i="15"/>
  <c r="J802" i="15"/>
  <c r="J803" i="15"/>
  <c r="J804" i="15"/>
  <c r="J805" i="15"/>
  <c r="J806" i="15"/>
  <c r="J807" i="15"/>
  <c r="J808" i="15"/>
  <c r="J809" i="15"/>
  <c r="J810" i="15"/>
  <c r="J811" i="15"/>
  <c r="J812" i="15"/>
  <c r="J813" i="15"/>
  <c r="J814" i="15"/>
  <c r="J815" i="15"/>
  <c r="J816" i="15"/>
  <c r="J817" i="15"/>
  <c r="J818" i="15"/>
  <c r="J819" i="15"/>
  <c r="J820" i="15"/>
  <c r="J821" i="15"/>
  <c r="J822" i="15"/>
  <c r="J823" i="15"/>
  <c r="J824" i="15"/>
  <c r="J825" i="15"/>
  <c r="J826" i="15"/>
  <c r="J827" i="15"/>
  <c r="J828" i="15"/>
  <c r="J829" i="15"/>
  <c r="J830" i="15"/>
  <c r="J831" i="15"/>
  <c r="J832" i="15"/>
  <c r="J833" i="15"/>
  <c r="J834" i="15"/>
  <c r="J835" i="15"/>
  <c r="J836" i="15"/>
  <c r="BB5" i="91"/>
  <c r="BA5" i="91"/>
  <c r="AZ5" i="91"/>
  <c r="AY5" i="91"/>
  <c r="AX5" i="91"/>
  <c r="AW5" i="91"/>
  <c r="AV5" i="91"/>
  <c r="AU5" i="91"/>
  <c r="AT5" i="91"/>
  <c r="AS5" i="91"/>
  <c r="AR5" i="91"/>
  <c r="AQ5" i="91"/>
  <c r="AP5" i="91"/>
  <c r="AO5" i="91"/>
  <c r="AN5" i="91"/>
  <c r="AM5" i="91"/>
  <c r="AL5" i="91"/>
  <c r="AK5" i="91"/>
  <c r="AI5" i="91"/>
  <c r="J771" i="15"/>
  <c r="J772" i="15"/>
  <c r="J773" i="15"/>
  <c r="J774" i="15"/>
  <c r="J775" i="15"/>
  <c r="J776" i="15"/>
  <c r="J777" i="15"/>
  <c r="J778" i="15"/>
  <c r="J779" i="15"/>
  <c r="J780" i="15"/>
  <c r="J781" i="15"/>
  <c r="J782" i="15"/>
  <c r="J783" i="15"/>
  <c r="J784" i="15"/>
  <c r="J785" i="15"/>
  <c r="J786" i="15"/>
  <c r="J787" i="15"/>
  <c r="J788" i="15"/>
  <c r="J789" i="15"/>
  <c r="J790" i="15"/>
  <c r="J791" i="15"/>
  <c r="J792" i="15"/>
  <c r="J793" i="15"/>
  <c r="J794" i="15"/>
  <c r="J795" i="15"/>
  <c r="J796" i="15"/>
  <c r="J797" i="15"/>
  <c r="J798" i="15"/>
  <c r="J799" i="15"/>
  <c r="J800" i="15"/>
  <c r="J801" i="15"/>
  <c r="A40" i="16"/>
  <c r="Q8" i="102" l="1"/>
  <c r="R8" i="102" s="1"/>
  <c r="S8" i="102" s="1"/>
  <c r="T8" i="102" s="1"/>
  <c r="U8" i="102" s="1"/>
  <c r="V8" i="102" s="1"/>
  <c r="W8" i="102" s="1"/>
  <c r="X8" i="102" s="1"/>
  <c r="Y8" i="102" s="1"/>
  <c r="Z8" i="102" s="1"/>
  <c r="AA8" i="102" s="1"/>
  <c r="AB8" i="102" s="1"/>
  <c r="AC8" i="102" s="1"/>
  <c r="AD8" i="102" s="1"/>
  <c r="AE8" i="102" s="1"/>
  <c r="AF8" i="102" s="1"/>
  <c r="AG8" i="102" s="1"/>
  <c r="AH8" i="102" s="1"/>
  <c r="AI8" i="102" s="1"/>
  <c r="AK8" i="102" s="1"/>
  <c r="AL8" i="102" s="1"/>
  <c r="AM8" i="102" s="1"/>
  <c r="AN8" i="102" s="1"/>
  <c r="AO8" i="102" s="1"/>
  <c r="AP8" i="102" s="1"/>
  <c r="AQ8" i="102" s="1"/>
  <c r="AR8" i="102" s="1"/>
  <c r="AS8" i="102" s="1"/>
  <c r="AT8" i="102" s="1"/>
  <c r="AU8" i="102" s="1"/>
  <c r="AV8" i="102" s="1"/>
  <c r="AW8" i="102" s="1"/>
  <c r="AX8" i="102" s="1"/>
  <c r="AY8" i="102" s="1"/>
  <c r="AZ8" i="102" s="1"/>
  <c r="BA8" i="102" s="1"/>
  <c r="BB8" i="102" s="1"/>
  <c r="J765" i="15" l="1"/>
  <c r="J766" i="15"/>
  <c r="J767" i="15"/>
  <c r="J768" i="15"/>
  <c r="J769" i="15"/>
  <c r="J770" i="15"/>
  <c r="T8" i="91"/>
  <c r="S8" i="91"/>
  <c r="R8" i="91"/>
  <c r="P8" i="91"/>
  <c r="O8" i="91"/>
  <c r="N8" i="91"/>
  <c r="M8" i="91"/>
  <c r="L8" i="91"/>
  <c r="K8" i="91"/>
  <c r="J8" i="91"/>
  <c r="I8" i="91"/>
  <c r="H8" i="91"/>
  <c r="G8" i="91"/>
  <c r="F8" i="91"/>
  <c r="E8" i="91"/>
  <c r="D8" i="91"/>
  <c r="C8" i="91"/>
  <c r="B8" i="91"/>
  <c r="C7" i="91"/>
  <c r="D7" i="91" s="1"/>
  <c r="E7" i="91" s="1"/>
  <c r="F7" i="91" s="1"/>
  <c r="G7" i="91" s="1"/>
  <c r="H7" i="91" s="1"/>
  <c r="I7" i="91" s="1"/>
  <c r="J7" i="91" s="1"/>
  <c r="K7" i="91" s="1"/>
  <c r="L7" i="91" s="1"/>
  <c r="M7" i="91" s="1"/>
  <c r="N7" i="91" s="1"/>
  <c r="O7" i="91" s="1"/>
  <c r="P7" i="91" s="1"/>
  <c r="Q7" i="91" s="1"/>
  <c r="R7" i="91" s="1"/>
  <c r="BB1" i="91"/>
  <c r="BA1" i="91"/>
  <c r="AZ1" i="91"/>
  <c r="AY1" i="91"/>
  <c r="AX1" i="91"/>
  <c r="AW1" i="91"/>
  <c r="AV1" i="91"/>
  <c r="AU1" i="91"/>
  <c r="AT1" i="91"/>
  <c r="AS1" i="91"/>
  <c r="AR1" i="91"/>
  <c r="AP1" i="91"/>
  <c r="AO1" i="91"/>
  <c r="AN1" i="91"/>
  <c r="AM1" i="91"/>
  <c r="AL1" i="91"/>
  <c r="AK1" i="91"/>
  <c r="AJ1" i="91"/>
  <c r="AI1" i="91"/>
  <c r="AH1" i="91"/>
  <c r="AG1" i="91"/>
  <c r="AF1" i="91"/>
  <c r="AE1" i="91"/>
  <c r="AC1" i="91"/>
  <c r="AB1" i="91"/>
  <c r="AA1" i="91"/>
  <c r="Z1" i="91"/>
  <c r="Y1" i="91"/>
  <c r="X1" i="91"/>
  <c r="W1" i="91"/>
  <c r="V1" i="91"/>
  <c r="U1" i="91"/>
  <c r="T1" i="91"/>
  <c r="S1" i="91"/>
  <c r="R1" i="91"/>
  <c r="Q1" i="91"/>
  <c r="P1" i="91"/>
  <c r="O1" i="91"/>
  <c r="N1" i="91"/>
  <c r="M1" i="91"/>
  <c r="L1" i="91"/>
  <c r="K1" i="91"/>
  <c r="J1" i="91"/>
  <c r="I1" i="91"/>
  <c r="H1" i="91"/>
  <c r="G1" i="91"/>
  <c r="F1" i="91"/>
  <c r="E1" i="91"/>
  <c r="D1" i="91"/>
  <c r="C1" i="91"/>
  <c r="B1" i="91"/>
  <c r="S7" i="91" l="1"/>
  <c r="T7" i="91" s="1"/>
  <c r="U7" i="91" s="1"/>
  <c r="V7" i="91" s="1"/>
  <c r="W7" i="91" s="1"/>
  <c r="X7" i="91" s="1"/>
  <c r="Y7" i="91" s="1"/>
  <c r="Z7" i="91" s="1"/>
  <c r="AA7" i="91" s="1"/>
  <c r="AB7" i="91" s="1"/>
  <c r="AC7" i="91" s="1"/>
  <c r="AD7" i="91" s="1"/>
  <c r="AE7" i="91" s="1"/>
  <c r="J716" i="15"/>
  <c r="J717" i="15"/>
  <c r="J718" i="15"/>
  <c r="J719" i="15"/>
  <c r="J720" i="15"/>
  <c r="J721" i="15"/>
  <c r="J722" i="15"/>
  <c r="J723" i="15"/>
  <c r="J724" i="15"/>
  <c r="J725" i="15"/>
  <c r="J726" i="15"/>
  <c r="J727" i="15"/>
  <c r="J728" i="15"/>
  <c r="J729" i="15"/>
  <c r="J730" i="15"/>
  <c r="J731" i="15"/>
  <c r="J732" i="15"/>
  <c r="J733" i="15"/>
  <c r="J734" i="15"/>
  <c r="J735" i="15"/>
  <c r="J736" i="15"/>
  <c r="J737" i="15"/>
  <c r="J738" i="15"/>
  <c r="J739" i="15"/>
  <c r="J740" i="15"/>
  <c r="J741" i="15"/>
  <c r="J742" i="15"/>
  <c r="J743" i="15"/>
  <c r="J744" i="15"/>
  <c r="J745" i="15"/>
  <c r="J746" i="15"/>
  <c r="J747" i="15"/>
  <c r="J748" i="15"/>
  <c r="J749" i="15"/>
  <c r="J750" i="15"/>
  <c r="J751" i="15"/>
  <c r="J752" i="15"/>
  <c r="J753" i="15"/>
  <c r="J754" i="15"/>
  <c r="J755" i="15"/>
  <c r="J756" i="15"/>
  <c r="J757" i="15"/>
  <c r="J758" i="15"/>
  <c r="J759" i="15"/>
  <c r="J760" i="15"/>
  <c r="J761" i="15"/>
  <c r="J762" i="15"/>
  <c r="J763" i="15"/>
  <c r="J764" i="15"/>
  <c r="C69" i="16"/>
  <c r="B69" i="16"/>
  <c r="A69" i="16" s="1"/>
  <c r="C68" i="16"/>
  <c r="B68" i="16"/>
  <c r="A68" i="16" s="1"/>
  <c r="C67" i="16"/>
  <c r="B67" i="16"/>
  <c r="A67" i="16" s="1"/>
  <c r="C66" i="16"/>
  <c r="B66" i="16"/>
  <c r="A66" i="16" s="1"/>
  <c r="C65" i="16"/>
  <c r="B65" i="16"/>
  <c r="A65" i="16" s="1"/>
  <c r="C64" i="16"/>
  <c r="B64" i="16"/>
  <c r="A64" i="16" s="1"/>
  <c r="C63" i="16"/>
  <c r="C74" i="16" s="1"/>
  <c r="B63" i="16"/>
  <c r="A63" i="16" s="1"/>
  <c r="BD1" i="43"/>
  <c r="BD8" i="43"/>
  <c r="BC1" i="43"/>
  <c r="BC8" i="43"/>
  <c r="AT8" i="43"/>
  <c r="AU8" i="43"/>
  <c r="AV8" i="43"/>
  <c r="AW8" i="43"/>
  <c r="AX8" i="43"/>
  <c r="AY8" i="43"/>
  <c r="AZ8" i="43"/>
  <c r="BA8" i="43"/>
  <c r="AR1" i="43"/>
  <c r="BB7" i="43"/>
  <c r="BC7" i="43" s="1"/>
  <c r="BD7" i="43" s="1"/>
  <c r="BB8" i="43"/>
  <c r="AF7" i="91" l="1"/>
  <c r="AG7" i="91" s="1"/>
  <c r="AH7" i="91" s="1"/>
  <c r="AI7" i="91" s="1"/>
  <c r="AJ7" i="91" s="1"/>
  <c r="AK7" i="91" s="1"/>
  <c r="AL7" i="91" s="1"/>
  <c r="AM7" i="91" s="1"/>
  <c r="AN7" i="91" s="1"/>
  <c r="AO7" i="91" s="1"/>
  <c r="AP7" i="91" s="1"/>
  <c r="AQ7" i="91" s="1"/>
  <c r="AR7" i="91" s="1"/>
  <c r="AS7" i="91" s="1"/>
  <c r="AT7" i="91" s="1"/>
  <c r="AU7" i="91" s="1"/>
  <c r="AV7" i="91" s="1"/>
  <c r="AW7" i="91" s="1"/>
  <c r="AX7" i="91" s="1"/>
  <c r="AY7" i="91" s="1"/>
  <c r="AZ7" i="91" s="1"/>
  <c r="BA7" i="91" s="1"/>
  <c r="BB7" i="91" s="1"/>
  <c r="AT1" i="43"/>
  <c r="AU1" i="43"/>
  <c r="AV1" i="43"/>
  <c r="AW1" i="43"/>
  <c r="AX1" i="43"/>
  <c r="AY1" i="43"/>
  <c r="AZ1" i="43"/>
  <c r="BA1" i="43"/>
  <c r="BB1" i="43"/>
  <c r="J715" i="15"/>
  <c r="J714" i="15"/>
  <c r="J713" i="15"/>
  <c r="J712" i="15"/>
  <c r="J711" i="15"/>
  <c r="J710" i="15"/>
  <c r="J709" i="15"/>
  <c r="J708" i="15"/>
  <c r="J707" i="15"/>
  <c r="J706" i="15"/>
  <c r="J705" i="15"/>
  <c r="J704" i="15"/>
  <c r="J703" i="15"/>
  <c r="J702" i="15"/>
  <c r="AR8" i="43"/>
  <c r="J696" i="15"/>
  <c r="J697" i="15"/>
  <c r="J698" i="15"/>
  <c r="J699" i="15"/>
  <c r="J700" i="15"/>
  <c r="J701" i="15"/>
  <c r="J695" i="15"/>
  <c r="AS8" i="43"/>
  <c r="J690" i="15"/>
  <c r="J691" i="15"/>
  <c r="J692" i="15"/>
  <c r="J693" i="15"/>
  <c r="J694" i="15"/>
  <c r="AQ1" i="43"/>
  <c r="AQ8" i="43"/>
  <c r="J689" i="15" l="1"/>
  <c r="AP1" i="43"/>
  <c r="AP8" i="43"/>
  <c r="AO8" i="43"/>
  <c r="AO1" i="43"/>
  <c r="BO1" i="8"/>
  <c r="BP1" i="8"/>
  <c r="BO8" i="8"/>
  <c r="BP8" i="8"/>
  <c r="AM1" i="43"/>
  <c r="AN1" i="43"/>
  <c r="AM8" i="43"/>
  <c r="AN8" i="43"/>
  <c r="J687" i="15"/>
  <c r="J688" i="15"/>
  <c r="AL1" i="43"/>
  <c r="AL8" i="43"/>
  <c r="BM8" i="8"/>
  <c r="BN1" i="8"/>
  <c r="BN8" i="8"/>
  <c r="J299" i="15"/>
  <c r="J683" i="15"/>
  <c r="J684" i="15"/>
  <c r="J685" i="15"/>
  <c r="J686" i="15"/>
  <c r="J657" i="15"/>
  <c r="J658" i="15"/>
  <c r="J659" i="15"/>
  <c r="J660" i="15"/>
  <c r="J661" i="15"/>
  <c r="J662" i="15"/>
  <c r="J663" i="15"/>
  <c r="J664" i="15"/>
  <c r="J665" i="15"/>
  <c r="J666" i="15"/>
  <c r="J667" i="15"/>
  <c r="J668" i="15"/>
  <c r="J669" i="15"/>
  <c r="J670" i="15"/>
  <c r="J671" i="15"/>
  <c r="J672" i="15"/>
  <c r="J673" i="15"/>
  <c r="J674" i="15"/>
  <c r="J675" i="15"/>
  <c r="J676" i="15"/>
  <c r="J677" i="15"/>
  <c r="J678" i="15"/>
  <c r="J679" i="15"/>
  <c r="J680" i="15"/>
  <c r="J681" i="15"/>
  <c r="J682" i="15"/>
  <c r="BL1" i="8"/>
  <c r="BM1" i="8"/>
  <c r="BL8" i="8"/>
  <c r="AJ1" i="43"/>
  <c r="AK1" i="43"/>
  <c r="AJ8" i="43"/>
  <c r="AK8" i="43"/>
  <c r="AI1" i="43"/>
  <c r="AI8" i="43"/>
  <c r="BK1" i="8"/>
  <c r="BK8" i="8"/>
  <c r="J345" i="15"/>
  <c r="J346" i="15"/>
  <c r="J347" i="15"/>
  <c r="J348" i="15"/>
  <c r="J328" i="15"/>
  <c r="J329" i="15"/>
  <c r="J330" i="15"/>
  <c r="J331" i="15"/>
  <c r="J332" i="15"/>
  <c r="J333" i="15"/>
  <c r="J334" i="15"/>
  <c r="J335" i="15"/>
  <c r="J336" i="15"/>
  <c r="J337" i="15"/>
  <c r="J307" i="15"/>
  <c r="J308" i="15"/>
  <c r="J309" i="15"/>
  <c r="J310" i="15"/>
  <c r="J311" i="15"/>
  <c r="J312" i="15"/>
  <c r="J274" i="15"/>
  <c r="J275" i="15"/>
  <c r="J276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648" i="15"/>
  <c r="J649" i="15"/>
  <c r="J650" i="15"/>
  <c r="J651" i="15"/>
  <c r="J652" i="15"/>
  <c r="J653" i="15"/>
  <c r="J654" i="15"/>
  <c r="J655" i="15"/>
  <c r="J656" i="15"/>
  <c r="BJ1" i="8"/>
  <c r="BJ8" i="8"/>
  <c r="AH1" i="43"/>
  <c r="AH8" i="43"/>
  <c r="J633" i="15"/>
  <c r="J634" i="15"/>
  <c r="J635" i="15"/>
  <c r="J636" i="15"/>
  <c r="J637" i="15"/>
  <c r="J638" i="15"/>
  <c r="J639" i="15"/>
  <c r="J640" i="15"/>
  <c r="J641" i="15"/>
  <c r="J642" i="15"/>
  <c r="J643" i="15"/>
  <c r="J644" i="15"/>
  <c r="J645" i="15"/>
  <c r="J646" i="15"/>
  <c r="J647" i="15"/>
  <c r="BI8" i="8"/>
  <c r="BI1" i="8"/>
  <c r="BH8" i="8"/>
  <c r="AG8" i="43"/>
  <c r="J613" i="15"/>
  <c r="J614" i="15"/>
  <c r="J615" i="15"/>
  <c r="J616" i="15"/>
  <c r="J617" i="15"/>
  <c r="J618" i="15"/>
  <c r="J619" i="15"/>
  <c r="J620" i="15"/>
  <c r="J621" i="15"/>
  <c r="J622" i="15"/>
  <c r="J623" i="15"/>
  <c r="J624" i="15"/>
  <c r="J625" i="15"/>
  <c r="J626" i="15"/>
  <c r="J627" i="15"/>
  <c r="J628" i="15"/>
  <c r="J629" i="15"/>
  <c r="J630" i="15"/>
  <c r="J631" i="15"/>
  <c r="J632" i="15"/>
  <c r="AG1" i="43" l="1"/>
  <c r="BG8" i="8"/>
  <c r="AF8" i="43"/>
  <c r="BH1" i="8"/>
  <c r="J596" i="15" l="1"/>
  <c r="J597" i="15"/>
  <c r="J598" i="15"/>
  <c r="J599" i="15"/>
  <c r="J600" i="15"/>
  <c r="J601" i="15"/>
  <c r="J602" i="15"/>
  <c r="J603" i="15"/>
  <c r="J604" i="15"/>
  <c r="J605" i="15"/>
  <c r="J606" i="15"/>
  <c r="J607" i="15"/>
  <c r="J608" i="15"/>
  <c r="J609" i="15"/>
  <c r="J610" i="15"/>
  <c r="J611" i="15"/>
  <c r="J612" i="15"/>
  <c r="J595" i="15"/>
  <c r="J594" i="15"/>
  <c r="BF8" i="8"/>
  <c r="BE8" i="8"/>
  <c r="BF1" i="8"/>
  <c r="BG1" i="8"/>
  <c r="AE1" i="43"/>
  <c r="AE8" i="43"/>
  <c r="J568" i="15"/>
  <c r="J569" i="15"/>
  <c r="J570" i="15"/>
  <c r="J571" i="15"/>
  <c r="J572" i="15"/>
  <c r="J573" i="15"/>
  <c r="J574" i="15"/>
  <c r="J575" i="15"/>
  <c r="J576" i="15"/>
  <c r="J577" i="15"/>
  <c r="J578" i="15"/>
  <c r="J579" i="15"/>
  <c r="J580" i="15"/>
  <c r="J581" i="15"/>
  <c r="J582" i="15"/>
  <c r="J583" i="15"/>
  <c r="J584" i="15"/>
  <c r="J585" i="15"/>
  <c r="J586" i="15"/>
  <c r="J587" i="15"/>
  <c r="J588" i="15"/>
  <c r="J589" i="15"/>
  <c r="J590" i="15"/>
  <c r="J591" i="15"/>
  <c r="J592" i="15"/>
  <c r="J593" i="15"/>
  <c r="BE1" i="8"/>
  <c r="BD8" i="8"/>
  <c r="J557" i="15"/>
  <c r="J547" i="15"/>
  <c r="J552" i="15"/>
  <c r="J553" i="15"/>
  <c r="J554" i="15"/>
  <c r="J555" i="15"/>
  <c r="J556" i="15"/>
  <c r="J558" i="15"/>
  <c r="J559" i="15"/>
  <c r="J560" i="15"/>
  <c r="J561" i="15"/>
  <c r="J562" i="15"/>
  <c r="J563" i="15"/>
  <c r="J564" i="15"/>
  <c r="J565" i="15"/>
  <c r="J566" i="15"/>
  <c r="J567" i="15"/>
  <c r="J548" i="15"/>
  <c r="J549" i="15"/>
  <c r="J550" i="15"/>
  <c r="J551" i="15"/>
  <c r="BC8" i="8"/>
  <c r="BD1" i="8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534" i="15"/>
  <c r="J535" i="15"/>
  <c r="J536" i="15"/>
  <c r="J537" i="15"/>
  <c r="J538" i="15"/>
  <c r="J539" i="15"/>
  <c r="J540" i="15"/>
  <c r="J541" i="15"/>
  <c r="J542" i="15"/>
  <c r="J543" i="15"/>
  <c r="J544" i="15"/>
  <c r="J545" i="15"/>
  <c r="J546" i="15"/>
  <c r="J496" i="15" l="1"/>
  <c r="J497" i="15"/>
  <c r="J498" i="15"/>
  <c r="J499" i="15"/>
  <c r="J500" i="15"/>
  <c r="J501" i="15"/>
  <c r="J502" i="15"/>
  <c r="J503" i="15"/>
  <c r="J504" i="15"/>
  <c r="J505" i="15"/>
  <c r="J506" i="15"/>
  <c r="J507" i="15"/>
  <c r="J508" i="15"/>
  <c r="J509" i="15"/>
  <c r="J510" i="15"/>
  <c r="J511" i="15"/>
  <c r="J512" i="15"/>
  <c r="J513" i="15"/>
  <c r="J514" i="15"/>
  <c r="J515" i="15"/>
  <c r="J516" i="15"/>
  <c r="J517" i="15"/>
  <c r="J518" i="15"/>
  <c r="J519" i="15"/>
  <c r="J520" i="15"/>
  <c r="J521" i="15"/>
  <c r="BA8" i="8"/>
  <c r="BB8" i="8"/>
  <c r="BB1" i="8"/>
  <c r="BC1" i="8"/>
  <c r="X8" i="43"/>
  <c r="AZ8" i="8"/>
  <c r="BA1" i="8"/>
  <c r="J495" i="15"/>
  <c r="J494" i="15"/>
  <c r="J493" i="15"/>
  <c r="J492" i="15"/>
  <c r="J491" i="15"/>
  <c r="J490" i="15"/>
  <c r="J489" i="15"/>
  <c r="J488" i="15"/>
  <c r="J487" i="15"/>
  <c r="J486" i="15"/>
  <c r="J485" i="15"/>
  <c r="J484" i="15"/>
  <c r="J483" i="15"/>
  <c r="J482" i="15"/>
  <c r="J481" i="15"/>
  <c r="J480" i="15"/>
  <c r="J479" i="15"/>
  <c r="J478" i="15"/>
  <c r="J477" i="15"/>
  <c r="J476" i="15"/>
  <c r="AY8" i="8"/>
  <c r="AZ1" i="8"/>
  <c r="J453" i="15"/>
  <c r="J454" i="15"/>
  <c r="J455" i="15"/>
  <c r="J456" i="15"/>
  <c r="J457" i="15"/>
  <c r="J458" i="15"/>
  <c r="J459" i="15"/>
  <c r="J460" i="15"/>
  <c r="J461" i="15"/>
  <c r="J462" i="15"/>
  <c r="J463" i="15"/>
  <c r="J464" i="15"/>
  <c r="J465" i="15"/>
  <c r="J466" i="15"/>
  <c r="J467" i="15"/>
  <c r="J468" i="15"/>
  <c r="J469" i="15"/>
  <c r="J470" i="15"/>
  <c r="J471" i="15"/>
  <c r="J472" i="15"/>
  <c r="J473" i="15"/>
  <c r="J474" i="15"/>
  <c r="J475" i="15"/>
  <c r="AX8" i="8"/>
  <c r="AY1" i="8"/>
  <c r="V8" i="43"/>
  <c r="J431" i="15" l="1"/>
  <c r="J432" i="15"/>
  <c r="J433" i="15"/>
  <c r="J434" i="15"/>
  <c r="J435" i="15"/>
  <c r="J436" i="15"/>
  <c r="J437" i="15"/>
  <c r="J438" i="15"/>
  <c r="J439" i="15"/>
  <c r="J440" i="15"/>
  <c r="J441" i="15"/>
  <c r="J442" i="15"/>
  <c r="J443" i="15"/>
  <c r="J444" i="15"/>
  <c r="J445" i="15"/>
  <c r="J446" i="15"/>
  <c r="J447" i="15"/>
  <c r="J448" i="15"/>
  <c r="J449" i="15"/>
  <c r="J450" i="15"/>
  <c r="J451" i="15"/>
  <c r="J452" i="15"/>
  <c r="AW8" i="8"/>
  <c r="AX1" i="8"/>
  <c r="U8" i="43"/>
  <c r="J417" i="15"/>
  <c r="J418" i="15"/>
  <c r="J419" i="15"/>
  <c r="J420" i="15"/>
  <c r="J421" i="15"/>
  <c r="J422" i="15"/>
  <c r="J423" i="15"/>
  <c r="J424" i="15"/>
  <c r="J425" i="15"/>
  <c r="J426" i="15"/>
  <c r="J427" i="15"/>
  <c r="J428" i="15"/>
  <c r="J429" i="15"/>
  <c r="J430" i="15"/>
  <c r="T8" i="43"/>
  <c r="AV8" i="8"/>
  <c r="AW1" i="8"/>
  <c r="J390" i="15"/>
  <c r="J391" i="15"/>
  <c r="J392" i="15"/>
  <c r="J393" i="15"/>
  <c r="J394" i="15"/>
  <c r="J395" i="15"/>
  <c r="J396" i="15"/>
  <c r="J397" i="15"/>
  <c r="J398" i="15"/>
  <c r="J399" i="15"/>
  <c r="J400" i="15"/>
  <c r="J401" i="15"/>
  <c r="J402" i="15"/>
  <c r="J403" i="15"/>
  <c r="J404" i="15"/>
  <c r="J405" i="15"/>
  <c r="J406" i="15"/>
  <c r="J407" i="15"/>
  <c r="J408" i="15"/>
  <c r="J409" i="15"/>
  <c r="J410" i="15"/>
  <c r="J411" i="15"/>
  <c r="J412" i="15"/>
  <c r="J413" i="15"/>
  <c r="J414" i="15"/>
  <c r="J415" i="15"/>
  <c r="J416" i="15"/>
  <c r="S8" i="43"/>
  <c r="AU8" i="8"/>
  <c r="AV1" i="8"/>
  <c r="J374" i="15"/>
  <c r="J375" i="15"/>
  <c r="J376" i="15"/>
  <c r="J377" i="15"/>
  <c r="J378" i="15"/>
  <c r="J379" i="15"/>
  <c r="J380" i="15"/>
  <c r="J381" i="15"/>
  <c r="J382" i="15"/>
  <c r="J383" i="15"/>
  <c r="J384" i="15"/>
  <c r="J385" i="15"/>
  <c r="J386" i="15"/>
  <c r="J387" i="15"/>
  <c r="J388" i="15"/>
  <c r="J389" i="15"/>
  <c r="AS8" i="8"/>
  <c r="AT8" i="8"/>
  <c r="AT1" i="8"/>
  <c r="AU1" i="8"/>
  <c r="Q8" i="43"/>
  <c r="J359" i="15" l="1"/>
  <c r="J360" i="15"/>
  <c r="J361" i="15"/>
  <c r="J362" i="15"/>
  <c r="J363" i="15"/>
  <c r="J364" i="15"/>
  <c r="J365" i="15"/>
  <c r="J366" i="15"/>
  <c r="J367" i="15"/>
  <c r="J368" i="15"/>
  <c r="J369" i="15"/>
  <c r="J370" i="15"/>
  <c r="J371" i="15"/>
  <c r="J372" i="15"/>
  <c r="J373" i="15"/>
  <c r="AR8" i="8"/>
  <c r="P8" i="43"/>
  <c r="AS1" i="8"/>
  <c r="J349" i="15"/>
  <c r="J350" i="15"/>
  <c r="J351" i="15"/>
  <c r="J352" i="15"/>
  <c r="J353" i="15"/>
  <c r="J354" i="15"/>
  <c r="J355" i="15"/>
  <c r="J356" i="15"/>
  <c r="J357" i="15"/>
  <c r="J358" i="15"/>
  <c r="AQ8" i="8"/>
  <c r="O8" i="43" l="1"/>
  <c r="AR1" i="8"/>
  <c r="A14" i="16" l="1"/>
  <c r="A12" i="16"/>
  <c r="J324" i="15"/>
  <c r="J325" i="15"/>
  <c r="J326" i="15"/>
  <c r="J327" i="15"/>
  <c r="J338" i="15"/>
  <c r="J339" i="15"/>
  <c r="J340" i="15"/>
  <c r="J341" i="15"/>
  <c r="J342" i="15"/>
  <c r="J343" i="15"/>
  <c r="J344" i="15"/>
  <c r="AP8" i="8"/>
  <c r="AQ1" i="8"/>
  <c r="N8" i="43"/>
  <c r="J313" i="15" l="1"/>
  <c r="J314" i="15"/>
  <c r="J315" i="15"/>
  <c r="J316" i="15"/>
  <c r="J317" i="15"/>
  <c r="J318" i="15"/>
  <c r="J319" i="15"/>
  <c r="J320" i="15"/>
  <c r="J321" i="15"/>
  <c r="J322" i="15"/>
  <c r="J323" i="15"/>
  <c r="AO8" i="8"/>
  <c r="D5" i="16" l="1"/>
  <c r="D16" i="16"/>
  <c r="D11" i="16"/>
  <c r="D10" i="16"/>
  <c r="AP1" i="8"/>
  <c r="J302" i="15"/>
  <c r="J303" i="15"/>
  <c r="J304" i="15"/>
  <c r="J305" i="15"/>
  <c r="J306" i="15"/>
  <c r="J301" i="15"/>
  <c r="J14" i="15"/>
  <c r="J153" i="15"/>
  <c r="J91" i="15"/>
  <c r="J92" i="15"/>
  <c r="AM8" i="8"/>
  <c r="AN8" i="8"/>
  <c r="AN1" i="8"/>
  <c r="AO1" i="8"/>
  <c r="K8" i="43"/>
  <c r="D68" i="16" l="1"/>
  <c r="D64" i="16"/>
  <c r="D65" i="16"/>
  <c r="D66" i="16"/>
  <c r="D67" i="16"/>
  <c r="D69" i="16"/>
  <c r="D63" i="16"/>
  <c r="D74" i="16" s="1"/>
  <c r="J290" i="15"/>
  <c r="J291" i="15"/>
  <c r="J292" i="15"/>
  <c r="J293" i="15"/>
  <c r="J294" i="15"/>
  <c r="J295" i="15"/>
  <c r="J296" i="15"/>
  <c r="J297" i="15"/>
  <c r="J298" i="15"/>
  <c r="J300" i="15"/>
  <c r="J279" i="15"/>
  <c r="J281" i="15"/>
  <c r="J282" i="15"/>
  <c r="J283" i="15"/>
  <c r="J284" i="15"/>
  <c r="J285" i="15"/>
  <c r="J286" i="15"/>
  <c r="J287" i="15"/>
  <c r="J288" i="15"/>
  <c r="J289" i="15"/>
  <c r="AL8" i="8"/>
  <c r="AM1" i="8"/>
  <c r="J8" i="43"/>
  <c r="AK8" i="8"/>
  <c r="D12" i="16" l="1"/>
  <c r="D13" i="16"/>
  <c r="D14" i="16"/>
  <c r="AL1" i="8"/>
  <c r="J280" i="15"/>
  <c r="J278" i="15"/>
  <c r="J277" i="15"/>
  <c r="AJ8" i="8" l="1"/>
  <c r="AK1" i="8"/>
  <c r="AI8" i="8"/>
  <c r="AJ1" i="8"/>
  <c r="AH8" i="8"/>
  <c r="AI1" i="8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AF8" i="8"/>
  <c r="AG8" i="8"/>
  <c r="AG1" i="8"/>
  <c r="AH1" i="8"/>
  <c r="F8" i="43"/>
  <c r="G1" i="43"/>
  <c r="H1" i="43"/>
  <c r="I1" i="43"/>
  <c r="J1" i="43"/>
  <c r="K1" i="43"/>
  <c r="L1" i="43"/>
  <c r="M1" i="43"/>
  <c r="N1" i="43"/>
  <c r="O1" i="43"/>
  <c r="P1" i="43"/>
  <c r="Q1" i="43"/>
  <c r="R1" i="43"/>
  <c r="S1" i="43"/>
  <c r="T1" i="43"/>
  <c r="U1" i="43"/>
  <c r="V1" i="43"/>
  <c r="W1" i="43"/>
  <c r="X1" i="43"/>
  <c r="Y1" i="43"/>
  <c r="Z1" i="43"/>
  <c r="AA1" i="43"/>
  <c r="AB1" i="43"/>
  <c r="AC1" i="43"/>
  <c r="AD1" i="43"/>
  <c r="F1" i="43"/>
  <c r="AE8" i="8" l="1"/>
  <c r="AF1" i="8"/>
  <c r="J185" i="15"/>
  <c r="J186" i="15"/>
  <c r="J187" i="15"/>
  <c r="J188" i="15"/>
  <c r="J189" i="15"/>
  <c r="J190" i="15"/>
  <c r="J191" i="15"/>
  <c r="J192" i="15"/>
  <c r="J193" i="15"/>
  <c r="J182" i="15"/>
  <c r="J183" i="15"/>
  <c r="J184" i="15"/>
  <c r="AD8" i="8"/>
  <c r="AE1" i="8"/>
  <c r="G8" i="43"/>
  <c r="H8" i="43"/>
  <c r="I8" i="43"/>
  <c r="L8" i="43"/>
  <c r="M8" i="43"/>
  <c r="R8" i="43"/>
  <c r="W8" i="43"/>
  <c r="Y8" i="43"/>
  <c r="Z8" i="43"/>
  <c r="AA8" i="43"/>
  <c r="AB8" i="43"/>
  <c r="AC8" i="43"/>
  <c r="AD8" i="43"/>
  <c r="G7" i="43"/>
  <c r="H7" i="43" s="1"/>
  <c r="I7" i="43" s="1"/>
  <c r="J7" i="43" s="1"/>
  <c r="K7" i="43" s="1"/>
  <c r="L7" i="43" s="1"/>
  <c r="M7" i="43" s="1"/>
  <c r="N7" i="43" s="1"/>
  <c r="O7" i="43" s="1"/>
  <c r="P7" i="43" s="1"/>
  <c r="Q7" i="43" s="1"/>
  <c r="R7" i="43" s="1"/>
  <c r="S7" i="43" s="1"/>
  <c r="T7" i="43" s="1"/>
  <c r="U7" i="43" s="1"/>
  <c r="V7" i="43" s="1"/>
  <c r="W7" i="43" s="1"/>
  <c r="X7" i="43" s="1"/>
  <c r="Y7" i="43" s="1"/>
  <c r="Z7" i="43" s="1"/>
  <c r="AA7" i="43" s="1"/>
  <c r="AB7" i="43" s="1"/>
  <c r="AC7" i="43" s="1"/>
  <c r="AD7" i="43" s="1"/>
  <c r="AE7" i="43" s="1"/>
  <c r="AF7" i="43" s="1"/>
  <c r="AG7" i="43" s="1"/>
  <c r="AH7" i="43" s="1"/>
  <c r="AI7" i="43" s="1"/>
  <c r="AJ7" i="43" s="1"/>
  <c r="AK7" i="43" s="1"/>
  <c r="AL7" i="43" s="1"/>
  <c r="AM7" i="43" s="1"/>
  <c r="AN7" i="43" s="1"/>
  <c r="AO7" i="43" s="1"/>
  <c r="AP7" i="43" s="1"/>
  <c r="AQ7" i="43" s="1"/>
  <c r="AR7" i="43" s="1"/>
  <c r="AS7" i="43" s="1"/>
  <c r="E8" i="43"/>
  <c r="D8" i="43"/>
  <c r="C8" i="43"/>
  <c r="B8" i="43"/>
  <c r="E1" i="43"/>
  <c r="D1" i="43"/>
  <c r="C1" i="43"/>
  <c r="B1" i="43"/>
  <c r="AC8" i="8"/>
  <c r="AD1" i="8" l="1"/>
  <c r="J172" i="15"/>
  <c r="J173" i="15"/>
  <c r="J174" i="15"/>
  <c r="J175" i="15"/>
  <c r="J176" i="15"/>
  <c r="J177" i="15"/>
  <c r="J178" i="15"/>
  <c r="J179" i="15"/>
  <c r="J180" i="15"/>
  <c r="J181" i="15"/>
  <c r="AB8" i="8"/>
  <c r="AC1" i="8"/>
  <c r="J170" i="15"/>
  <c r="J171" i="15"/>
  <c r="J154" i="15"/>
  <c r="J158" i="15" l="1"/>
  <c r="J159" i="15"/>
  <c r="J160" i="15"/>
  <c r="J161" i="15"/>
  <c r="J162" i="15"/>
  <c r="J163" i="15"/>
  <c r="J164" i="15"/>
  <c r="J165" i="15"/>
  <c r="J166" i="15"/>
  <c r="J167" i="15"/>
  <c r="J168" i="15"/>
  <c r="J169" i="15"/>
  <c r="AA8" i="8"/>
  <c r="AB1" i="8" l="1"/>
  <c r="J143" i="15"/>
  <c r="J144" i="15"/>
  <c r="J145" i="15"/>
  <c r="J146" i="15"/>
  <c r="J147" i="15"/>
  <c r="J148" i="15"/>
  <c r="J149" i="15"/>
  <c r="J150" i="15"/>
  <c r="J151" i="15"/>
  <c r="J152" i="15"/>
  <c r="J155" i="15"/>
  <c r="J156" i="15"/>
  <c r="J157" i="15"/>
  <c r="D15" i="16" l="1"/>
  <c r="J83" i="15"/>
  <c r="J140" i="15"/>
  <c r="J142" i="15"/>
  <c r="J141" i="15"/>
  <c r="J106" i="15" l="1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Z8" i="8" l="1"/>
  <c r="Y8" i="8"/>
  <c r="X8" i="8"/>
  <c r="Z1" i="8"/>
  <c r="AA1" i="8"/>
  <c r="Y1" i="8"/>
  <c r="U8" i="8"/>
  <c r="V8" i="8"/>
  <c r="W8" i="8"/>
  <c r="W7" i="8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AJ7" i="8" s="1"/>
  <c r="AK7" i="8" s="1"/>
  <c r="AL7" i="8" s="1"/>
  <c r="AM7" i="8" s="1"/>
  <c r="AN7" i="8" s="1"/>
  <c r="AO7" i="8" s="1"/>
  <c r="AP7" i="8" s="1"/>
  <c r="AQ7" i="8" s="1"/>
  <c r="AR7" i="8" s="1"/>
  <c r="AS7" i="8" s="1"/>
  <c r="AT7" i="8" s="1"/>
  <c r="AU7" i="8" s="1"/>
  <c r="AV7" i="8" s="1"/>
  <c r="AW7" i="8" s="1"/>
  <c r="AX7" i="8" s="1"/>
  <c r="AY7" i="8" s="1"/>
  <c r="AZ7" i="8" s="1"/>
  <c r="BA7" i="8" s="1"/>
  <c r="BB7" i="8" s="1"/>
  <c r="BC7" i="8" s="1"/>
  <c r="BD7" i="8" s="1"/>
  <c r="BE7" i="8" s="1"/>
  <c r="BF7" i="8" s="1"/>
  <c r="BG7" i="8" s="1"/>
  <c r="BH7" i="8" s="1"/>
  <c r="BI7" i="8" s="1"/>
  <c r="BJ7" i="8" s="1"/>
  <c r="BK7" i="8" s="1"/>
  <c r="BL7" i="8" s="1"/>
  <c r="BM7" i="8" s="1"/>
  <c r="BN7" i="8" s="1"/>
  <c r="BO7" i="8" s="1"/>
  <c r="BP7" i="8" s="1"/>
  <c r="A9" i="16"/>
  <c r="A10" i="16"/>
  <c r="J99" i="15"/>
  <c r="J100" i="15"/>
  <c r="J101" i="15"/>
  <c r="J102" i="15"/>
  <c r="J103" i="15"/>
  <c r="J104" i="15"/>
  <c r="J105" i="15"/>
  <c r="J96" i="15"/>
  <c r="J97" i="15"/>
  <c r="J98" i="15"/>
  <c r="J95" i="15"/>
  <c r="X1" i="8"/>
  <c r="J89" i="15"/>
  <c r="J90" i="15"/>
  <c r="J93" i="15"/>
  <c r="J94" i="15"/>
  <c r="W1" i="8"/>
  <c r="J84" i="15"/>
  <c r="J85" i="15"/>
  <c r="J80" i="15"/>
  <c r="J81" i="15"/>
  <c r="J82" i="15"/>
  <c r="J86" i="15"/>
  <c r="J87" i="15"/>
  <c r="J88" i="15"/>
  <c r="V1" i="8"/>
  <c r="J75" i="15"/>
  <c r="J76" i="15"/>
  <c r="J77" i="15"/>
  <c r="J78" i="15"/>
  <c r="J79" i="15"/>
  <c r="T8" i="8"/>
  <c r="S8" i="8"/>
  <c r="T1" i="8"/>
  <c r="U1" i="8"/>
  <c r="J74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60" i="15"/>
  <c r="J61" i="15"/>
  <c r="R8" i="8"/>
  <c r="J45" i="15"/>
  <c r="J46" i="15"/>
  <c r="J43" i="15"/>
  <c r="J54" i="15"/>
  <c r="J57" i="15"/>
  <c r="J52" i="15"/>
  <c r="J49" i="15"/>
  <c r="J56" i="15"/>
  <c r="J58" i="15"/>
  <c r="J50" i="15"/>
  <c r="J48" i="15"/>
  <c r="J59" i="15"/>
  <c r="J47" i="15"/>
  <c r="J51" i="15"/>
  <c r="J55" i="15"/>
  <c r="J53" i="15"/>
  <c r="Q8" i="8"/>
  <c r="R1" i="8"/>
  <c r="J39" i="15"/>
  <c r="J40" i="15"/>
  <c r="J41" i="15"/>
  <c r="J42" i="15"/>
  <c r="J44" i="15"/>
  <c r="Q1" i="8"/>
  <c r="J38" i="15"/>
  <c r="J36" i="15"/>
  <c r="J37" i="15"/>
  <c r="P1" i="8"/>
  <c r="P8" i="8"/>
  <c r="O1" i="8"/>
  <c r="O8" i="8"/>
  <c r="N8" i="8"/>
  <c r="J26" i="15"/>
  <c r="J27" i="15"/>
  <c r="J28" i="15"/>
  <c r="J29" i="15"/>
  <c r="J30" i="15"/>
  <c r="J31" i="15"/>
  <c r="J32" i="15"/>
  <c r="J33" i="15"/>
  <c r="J34" i="15"/>
  <c r="J35" i="15"/>
  <c r="G8" i="8" l="1"/>
  <c r="F8" i="8"/>
  <c r="D8" i="8"/>
  <c r="E8" i="8"/>
  <c r="H8" i="8"/>
  <c r="I8" i="8"/>
  <c r="J8" i="8"/>
  <c r="K8" i="8"/>
  <c r="L8" i="8"/>
  <c r="M8" i="8"/>
  <c r="C8" i="8"/>
  <c r="N1" i="8"/>
  <c r="M1" i="8"/>
  <c r="J22" i="15"/>
  <c r="J23" i="15"/>
  <c r="J24" i="15"/>
  <c r="J25" i="15"/>
  <c r="D9" i="16" l="1"/>
  <c r="J20" i="15"/>
  <c r="J21" i="15"/>
  <c r="J17" i="15" l="1"/>
  <c r="J18" i="15"/>
  <c r="J19" i="15"/>
  <c r="A8" i="16"/>
  <c r="D7" i="16"/>
  <c r="J15" i="15"/>
  <c r="J16" i="15"/>
  <c r="J7" i="15"/>
  <c r="J5" i="15"/>
  <c r="J8" i="15"/>
  <c r="J6" i="15"/>
  <c r="J11" i="15"/>
  <c r="J10" i="15"/>
  <c r="J9" i="15"/>
  <c r="J13" i="15"/>
  <c r="J12" i="15"/>
  <c r="D8" i="16" l="1"/>
  <c r="A6" i="16"/>
  <c r="G1" i="8"/>
  <c r="B3" i="8"/>
  <c r="B8" i="8" s="1"/>
  <c r="J4" i="15"/>
  <c r="D6" i="16" l="1"/>
  <c r="J2" i="15"/>
  <c r="J3" i="15"/>
  <c r="I1" i="8" l="1"/>
  <c r="J1" i="8"/>
  <c r="K1" i="8"/>
  <c r="L1" i="8"/>
  <c r="E3" i="8" l="1"/>
  <c r="E1" i="8"/>
  <c r="D1" i="8"/>
  <c r="C1" i="8"/>
  <c r="B1" i="8"/>
  <c r="H1" i="8"/>
</calcChain>
</file>

<file path=xl/sharedStrings.xml><?xml version="1.0" encoding="utf-8"?>
<sst xmlns="http://schemas.openxmlformats.org/spreadsheetml/2006/main" count="19622" uniqueCount="6566">
  <si>
    <t>Pass Q'ty</t>
    <phoneticPr fontId="3" type="noConversion"/>
  </si>
  <si>
    <t>Yield Rate</t>
    <phoneticPr fontId="3" type="noConversion"/>
  </si>
  <si>
    <t>Input Q'ty</t>
  </si>
  <si>
    <t>Failed Q'ty</t>
  </si>
  <si>
    <t>Sat &amp; Sun</t>
  </si>
  <si>
    <t>Running Q'ty</t>
  </si>
  <si>
    <t>SSE-NVL72-CC</t>
  </si>
  <si>
    <t>SSE-NVL72SW-N5500</t>
  </si>
  <si>
    <t>SRK-48VLPG-GB200-EXT-01</t>
  </si>
  <si>
    <t>SRK-01KLRK-SWRAIL-05</t>
  </si>
  <si>
    <t>SRK-01DTPF-33B1-01</t>
  </si>
  <si>
    <t>SRK-01DTPM-PMB1-01</t>
  </si>
  <si>
    <t>CBL-SRK-C6-YL7FT-P</t>
  </si>
  <si>
    <t>CBL-C6-YL6FT-P</t>
  </si>
  <si>
    <t>SRK-52SE-06-TW008</t>
  </si>
  <si>
    <t>SRK-27LNAS-MKIT-A1C</t>
  </si>
  <si>
    <t>PN</t>
  </si>
  <si>
    <t>Description</t>
  </si>
  <si>
    <t>SRK-01DTPW-5KB1-01</t>
  </si>
  <si>
    <t>Cable</t>
  </si>
  <si>
    <t>Power Shelf Control Module</t>
  </si>
  <si>
    <t>Power Supply Unit</t>
  </si>
  <si>
    <t>Rail</t>
  </si>
  <si>
    <t>CC Mounting Kit</t>
  </si>
  <si>
    <t>Wooden Crate</t>
  </si>
  <si>
    <t>Rack Frame</t>
  </si>
  <si>
    <t>Cable Cartridge</t>
  </si>
  <si>
    <t>NVSwitch</t>
  </si>
  <si>
    <t>HDS-SEN-MZTL63T8HFLTAW7</t>
  </si>
  <si>
    <t>SAMSUNG SSD E1.S</t>
  </si>
  <si>
    <t>SRK-01LNPF-33B1R-01</t>
  </si>
  <si>
    <t>LiteOn Power Shelf Right Input</t>
  </si>
  <si>
    <t>GVData</t>
  </si>
  <si>
    <t>ew0KICAiZG9jSUQiOiAiZDAxYTczOWQtZDkyYS00OWI4LTliOGUtZTgzNWQ2MTczYzk2Ig0KfQ==</t>
  </si>
  <si>
    <t>GVData0</t>
  </si>
  <si>
    <t>(end)</t>
  </si>
  <si>
    <t>PIO-121GL-NB3-LC5-TW008</t>
  </si>
  <si>
    <t>10/29/2025</t>
  </si>
  <si>
    <t>RK111</t>
  </si>
  <si>
    <t>REPLACE</t>
  </si>
  <si>
    <t>Failure ID</t>
  </si>
  <si>
    <t>Fix Date</t>
  </si>
  <si>
    <t>Error Code</t>
  </si>
  <si>
    <t>Action</t>
  </si>
  <si>
    <t>Defect P/N</t>
  </si>
  <si>
    <t>Defect Part S/N</t>
  </si>
  <si>
    <t>New Part S/N</t>
  </si>
  <si>
    <t>Form Factor</t>
  </si>
  <si>
    <t>Production Line</t>
  </si>
  <si>
    <t>Fail By</t>
  </si>
  <si>
    <t>SRS-GB300-NVL72-M4-TW008</t>
  </si>
  <si>
    <t>SR021027259879</t>
  </si>
  <si>
    <t>RK098</t>
  </si>
  <si>
    <t>Rack</t>
  </si>
  <si>
    <t>TWSPLG</t>
  </si>
  <si>
    <t>InTest</t>
  </si>
  <si>
    <t>P25A03262</t>
  </si>
  <si>
    <t>10/29/2025 7:38:56 AM</t>
  </si>
  <si>
    <t>PS015</t>
  </si>
  <si>
    <t>第6個 power BMC 卡 LED異常 和 速率異常100M/S_TW3600_更換power BMC 卡</t>
  </si>
  <si>
    <t>SV25380359</t>
  </si>
  <si>
    <t>SV25380370</t>
  </si>
  <si>
    <t>P25A03291</t>
  </si>
  <si>
    <t>10/29/2025 9:44:05 AM</t>
  </si>
  <si>
    <t>SR021028251215</t>
  </si>
  <si>
    <t>第10台 單機 可正常開機 無法連線 且 遠端BMC連線無效_TW3600_更換單機</t>
  </si>
  <si>
    <t>A968459X5A10392</t>
  </si>
  <si>
    <t>Description</t>
    <phoneticPr fontId="7" type="noConversion"/>
  </si>
  <si>
    <t>PIO-121GL-NB3-LC5-TW008</t>
    <phoneticPr fontId="7" type="noConversion"/>
  </si>
  <si>
    <t>GB300 L10</t>
    <phoneticPr fontId="7" type="noConversion"/>
  </si>
  <si>
    <t>FAIL Issue</t>
    <phoneticPr fontId="7" type="noConversion"/>
  </si>
  <si>
    <t>Part Description</t>
  </si>
  <si>
    <t>Replace Component</t>
    <phoneticPr fontId="11" type="noConversion"/>
  </si>
  <si>
    <t>Fail Q'ty</t>
    <phoneticPr fontId="11" type="noConversion"/>
  </si>
  <si>
    <t>Weight %</t>
    <phoneticPr fontId="11" type="noConversion"/>
  </si>
  <si>
    <t>Total</t>
    <phoneticPr fontId="11" type="noConversion"/>
  </si>
  <si>
    <t>列標籤</t>
  </si>
  <si>
    <t>總計</t>
  </si>
  <si>
    <t>10/30/2025</t>
  </si>
  <si>
    <t>Use to replace L10 servers that have failed Rburn test from the rack. (更換Rack Rburn test fail的 L10系統)</t>
  </si>
  <si>
    <t>10/30/2025 12:08:15 AM</t>
  </si>
  <si>
    <t>RK205</t>
  </si>
  <si>
    <t>GPU not detected 0009:06.00.0</t>
  </si>
  <si>
    <t>A968459X5A09028</t>
  </si>
  <si>
    <t>11/1-11/2</t>
    <phoneticPr fontId="7" type="noConversion"/>
  </si>
  <si>
    <t>11/1/2025 10:35:07 PM</t>
  </si>
  <si>
    <t>SR021101259934</t>
  </si>
  <si>
    <t>RK099</t>
  </si>
  <si>
    <t>11/1/2025</t>
  </si>
  <si>
    <t>power燈不亮</t>
  </si>
  <si>
    <t>A968459X5A11327</t>
  </si>
  <si>
    <t>11/1/2025 9:29:43 PM</t>
  </si>
  <si>
    <t>SR021030259476</t>
  </si>
  <si>
    <t>NVIDIA SMI tool only detected 3 GPU and it does not match the requesed 4</t>
  </si>
  <si>
    <t>A968459X5A09026</t>
  </si>
  <si>
    <t>11/1/2025 10:41:30 PM</t>
  </si>
  <si>
    <t>SR021030256516</t>
  </si>
  <si>
    <t>機箱不良 左後方</t>
  </si>
  <si>
    <t>A968459X5A09031</t>
  </si>
  <si>
    <t>11/1/2025 10:32:17 PM</t>
  </si>
  <si>
    <t>不開機</t>
  </si>
  <si>
    <t>A968459X5A10455</t>
  </si>
  <si>
    <t>A968459X5A10394</t>
  </si>
  <si>
    <t>11/2/2025 1:58:29 AM</t>
  </si>
  <si>
    <t>11/2/2025</t>
  </si>
  <si>
    <t>Chassis_0_LeakDetector_0_ColdPlate' reading of 0.000000 (Volts) is below the 1.300000 lower critical</t>
  </si>
  <si>
    <t>A968459X5A10386</t>
  </si>
  <si>
    <t>11/2/2025 1:25:16 AM</t>
  </si>
  <si>
    <t>Cannot power by power button and WebGUI. Power On failed log in SEL</t>
  </si>
  <si>
    <t>A968459X5A10402</t>
  </si>
  <si>
    <t>A968459X5A10437</t>
  </si>
  <si>
    <t>11/2/2025 12:55:18 AM</t>
  </si>
  <si>
    <t>SR021101253206</t>
  </si>
  <si>
    <t>MB002</t>
  </si>
  <si>
    <t>DOA - Unable to power on (無法開機,無電源)</t>
  </si>
  <si>
    <t>A968459X5A08946</t>
  </si>
  <si>
    <t>11/3/2025 2:30:39 PM</t>
  </si>
  <si>
    <t>RK110</t>
  </si>
  <si>
    <t>11/3/2025</t>
  </si>
  <si>
    <t>COMPUTE_NODE_8 NVRM invalid state or config @(Rack slot 18, CBC 2, 4x19 connector 2) [link_downed error value of 1 exceeded threshold of 0 on (0009:06:00.0_SN_1763925822295, nvlink 1)] @(Rack slot 18, CBC 1, 4x19 connector 1, column 18, pins A/B, G/H, C/D, E/F) PEER (Rack slot 9, CBC 1, 8x10 connector 1, column 1, pins C/D, G/H, A/B, E/F, port acp105)_TW3600_更換單機</t>
  </si>
  <si>
    <t>A968459X5A08922</t>
  </si>
  <si>
    <t>A968459X5A09029</t>
  </si>
  <si>
    <t>11/3/2025 12:46:18 PM</t>
  </si>
  <si>
    <t>SR021101254955</t>
  </si>
  <si>
    <t>不開機_TW640_更換單機</t>
  </si>
  <si>
    <t>A968459X5A10446</t>
  </si>
  <si>
    <t>A968459X5A10562</t>
  </si>
  <si>
    <t xml:space="preserve">L11 Finished Goods CUMULATIVE </t>
    <phoneticPr fontId="14" type="noConversion"/>
  </si>
  <si>
    <t>RK024</t>
  </si>
  <si>
    <t>P25B00351</t>
  </si>
  <si>
    <t>11/4/2025 11:59:20 AM</t>
  </si>
  <si>
    <t>11/4/2025</t>
  </si>
  <si>
    <t>Rack0_SW2_acp93 CC0_C5_Lane_5 link_none_TW3600_更換NVLSwitch</t>
  </si>
  <si>
    <t>MT2529605BGB</t>
  </si>
  <si>
    <t>MT25336014ZG</t>
  </si>
  <si>
    <t>P25B00358</t>
  </si>
  <si>
    <t>11/4/2025 12:55:35 PM</t>
  </si>
  <si>
    <t>SR021030253812</t>
  </si>
  <si>
    <t>Rack0_SW7_acp8 CC3_C1_Lane_14 link_bad_quality_TW3600_更換Cable cartridge</t>
  </si>
  <si>
    <t>SSE-NVL72SW-N5500</t>
    <phoneticPr fontId="7" type="noConversion"/>
  </si>
  <si>
    <t>SSE-NVL72-CC</t>
    <phoneticPr fontId="7" type="noConversion"/>
  </si>
  <si>
    <t>Rack S/N</t>
    <phoneticPr fontId="7" type="noConversion"/>
  </si>
  <si>
    <t>A968459X5A08915</t>
    <phoneticPr fontId="7" type="noConversion"/>
  </si>
  <si>
    <t>P25A03454</t>
    <phoneticPr fontId="7" type="noConversion"/>
  </si>
  <si>
    <t>P25B00141</t>
    <phoneticPr fontId="7" type="noConversion"/>
  </si>
  <si>
    <t>P25B00136</t>
    <phoneticPr fontId="7" type="noConversion"/>
  </si>
  <si>
    <t>P25B00144</t>
    <phoneticPr fontId="7" type="noConversion"/>
  </si>
  <si>
    <t>P25B00140</t>
    <phoneticPr fontId="7" type="noConversion"/>
  </si>
  <si>
    <t>P25B00163</t>
    <phoneticPr fontId="7" type="noConversion"/>
  </si>
  <si>
    <t>P25B00159</t>
    <phoneticPr fontId="7" type="noConversion"/>
  </si>
  <si>
    <t>P25B00156</t>
    <phoneticPr fontId="7" type="noConversion"/>
  </si>
  <si>
    <t>P25B00195</t>
    <phoneticPr fontId="7" type="noConversion"/>
  </si>
  <si>
    <t>P25B00190</t>
    <phoneticPr fontId="7" type="noConversion"/>
  </si>
  <si>
    <t>P25B00416</t>
  </si>
  <si>
    <t>11/5/2025 12:50:59 AM</t>
  </si>
  <si>
    <t>SR021103256952</t>
  </si>
  <si>
    <t>11/5/2025</t>
  </si>
  <si>
    <t>位置:http://10.160.100.12/logs/xAI/2025/November/SR021103256952/04/R-BURN/A968459X5A10427/7CC255910DE3/</t>
  </si>
  <si>
    <t>P25B00460</t>
  </si>
  <si>
    <t>11/5/2025 10:11:14 AM</t>
  </si>
  <si>
    <t>SR021103252664</t>
  </si>
  <si>
    <t>有過電 無法開機 (STBY_POWER_PG-I failed to assert after 20.0 seconds. Disabling STBY_POWER_EN)_TW3600_更換單機</t>
  </si>
  <si>
    <t>A968459X5B00470</t>
  </si>
  <si>
    <t>P25B00474</t>
  </si>
  <si>
    <t>11/5/2025 1:03:18 PM</t>
  </si>
  <si>
    <t>switch_tray,Rack0_SW0_acp64,CC3_C15_Lane_0, link_none,0_TW3600_更換CC3</t>
  </si>
  <si>
    <t>A968459X5B00026</t>
    <phoneticPr fontId="7" type="noConversion"/>
  </si>
  <si>
    <t>P25B00545</t>
  </si>
  <si>
    <t>11/5/2025 8:11:33 PM</t>
  </si>
  <si>
    <t>A968459X5B00022</t>
  </si>
  <si>
    <t>A968459X5B00253</t>
  </si>
  <si>
    <t>P25B00546</t>
  </si>
  <si>
    <t>11/5/2025 8:13:57 PM</t>
  </si>
  <si>
    <t>SR021103253681</t>
  </si>
  <si>
    <t>A968459X5B00101</t>
  </si>
  <si>
    <t>A968459X5B00050</t>
  </si>
  <si>
    <t>P25B00755</t>
  </si>
  <si>
    <t>11/7/2025 2:44:39 AM</t>
  </si>
  <si>
    <t>SR021105256796</t>
  </si>
  <si>
    <t>11/7/2025</t>
  </si>
  <si>
    <t>A968459X5A10580</t>
  </si>
  <si>
    <t>P25B00756</t>
  </si>
  <si>
    <t>11/7/2025 2:45:49 AM</t>
  </si>
  <si>
    <t>A968459X5A08963</t>
  </si>
  <si>
    <t>P25B00765</t>
  </si>
  <si>
    <t>11/7/2025 1:46:10 PM</t>
  </si>
  <si>
    <t>Sensor 'Chassis_0_LeakDetector_0_ColdPlate' reading of 0.000000 (Volts) is below the 1.300000 lower critical threshold._TW3600_更換單機</t>
  </si>
  <si>
    <t>A968459X5A09431</t>
  </si>
  <si>
    <t>P25B00845</t>
  </si>
  <si>
    <t>11/7/2025 3:09:17 PM</t>
  </si>
  <si>
    <t>COMPUTE_NODE_15 | DGX-000000000125 | CableCartridgeEepromCheck | cable_cartridge | | GPU | | Error while invoking api /redfish/v1/Chassis/CBC_2. Error message =&gt; The requested resource of type Chassis named 'CBC_2' was not found._TW3600_更換單機</t>
  </si>
  <si>
    <t>A968459X5A08966</t>
  </si>
  <si>
    <t>A968459X5A08925</t>
  </si>
  <si>
    <t>Fail Stage</t>
    <phoneticPr fontId="7" type="noConversion"/>
  </si>
  <si>
    <t>P25B00869</t>
  </si>
  <si>
    <t>11/7/2025 6:26:51 PM</t>
  </si>
  <si>
    <t>SR021105259364</t>
  </si>
  <si>
    <t>P25B00890</t>
  </si>
  <si>
    <t>11/7/2025 10:20:26 PM</t>
  </si>
  <si>
    <t>SR021106258634</t>
  </si>
  <si>
    <t>A968459X5B00062</t>
  </si>
  <si>
    <t>P25B00952</t>
  </si>
  <si>
    <t>11/8/2025 10:10:52 PM</t>
  </si>
  <si>
    <t>SR021106255795</t>
  </si>
  <si>
    <t>11/8/2025</t>
  </si>
  <si>
    <t>Cable cartridge Defect</t>
  </si>
  <si>
    <t>P25B00969</t>
  </si>
  <si>
    <t>11/9/2025 12:13:30 PM</t>
  </si>
  <si>
    <t>SR021106255139</t>
  </si>
  <si>
    <t>11/9/2025</t>
  </si>
  <si>
    <t>Rack0_SW8_acp73,CC0_C0_Lane_17, link_none (Bent Pin)_TW3600_更換CC0</t>
  </si>
  <si>
    <t>P25B00970</t>
  </si>
  <si>
    <t>11/9/2025 12:46:33 PM</t>
  </si>
  <si>
    <t>SR021106259634</t>
  </si>
  <si>
    <t>Rack0_SW0_acp47 CC2_C11_Lane_0 link_none_TW3600_更換單機</t>
  </si>
  <si>
    <t>A968459X5A15605</t>
  </si>
  <si>
    <t>P25B00971</t>
  </si>
  <si>
    <t>11/9/2025 12:49:02 PM</t>
  </si>
  <si>
    <t>SR021106252253</t>
  </si>
  <si>
    <t>COMPUTE_NODE_17 | DGX-000000000125 | CableCartridgeEepromCheck | cable_cartridge | | GPU | | Error while invoking api /redfish/v1/Chassis/CBC_2. Error message =&gt; The requested resource of type Chassis named 'CBC_2' was not found._TW3600_更換單機</t>
  </si>
  <si>
    <t>A968459X5A15604</t>
  </si>
  <si>
    <t>P25B00981</t>
  </si>
  <si>
    <t>11/9/2025 2:23:52 PM</t>
  </si>
  <si>
    <t>SR021106254604</t>
  </si>
  <si>
    <t>RK107</t>
  </si>
  <si>
    <t>Sensor 'Chassis_0_LeakDetector_0_ColdPlate' reading of 1.285600 (Volts) is below the 1.300000 lower critical threshold_TW3600_更換單機</t>
  </si>
  <si>
    <t>A968459X5A15603</t>
  </si>
  <si>
    <t>P25B01078</t>
  </si>
  <si>
    <t>11/10/2025 1:17:33 PM</t>
  </si>
  <si>
    <t>SR021106251002</t>
  </si>
  <si>
    <t>RK023</t>
  </si>
  <si>
    <t>11/10/2025</t>
  </si>
  <si>
    <t>11/6 可正常更新成功 ，有IP 但無法連線_TW3600_更換NVLswitch</t>
  </si>
  <si>
    <t>MT2527605A8T</t>
  </si>
  <si>
    <t>MT253460006X</t>
  </si>
  <si>
    <t>P25B01121</t>
  </si>
  <si>
    <t>11/10/2025 4:21:30 PM</t>
  </si>
  <si>
    <t>SR021106251049</t>
  </si>
  <si>
    <t>NVLINK Switch Functional Issue</t>
  </si>
  <si>
    <t>MT2532600FR7</t>
  </si>
  <si>
    <t>P25B01143</t>
  </si>
  <si>
    <t>11/10/2025 5:58:16 PM</t>
  </si>
  <si>
    <t>RK022</t>
  </si>
  <si>
    <t>無法更新</t>
  </si>
  <si>
    <t>DGPST253700LQ</t>
  </si>
  <si>
    <t>DGPST253701GC</t>
  </si>
  <si>
    <t>NVLINK SLOT5 BENT PIN</t>
    <phoneticPr fontId="7" type="noConversion"/>
  </si>
  <si>
    <t>P25B01291</t>
  </si>
  <si>
    <t>11/12/2025 10:00:39 AM</t>
  </si>
  <si>
    <t>SR021110256189</t>
  </si>
  <si>
    <t>11/12/2025</t>
  </si>
  <si>
    <t>Rack0_SW6_acp19,CC2_C4_Lane_12, link_none 大量CC2 FAIL_TW3600_更換CC2</t>
  </si>
  <si>
    <t>P25B01218</t>
  </si>
  <si>
    <t>11/12/2025 7:33:35 AM</t>
  </si>
  <si>
    <t>SR021110256854</t>
  </si>
  <si>
    <t>COMPUTE_NODE_10 | DGX-000000000126 | CableCartridgeEepromCheck | cable_cartridge | | GPU | | Got exit code 7 while executing ('curl', '--silent', '--insecure', '--user', 'smctest:Supermicro@123', 'https://10.100.30.11/redfish/v1/Chassis/CBC_0')_TW3600_更換單機</t>
  </si>
  <si>
    <t>A968459X5B02289</t>
  </si>
  <si>
    <t>P25B01268</t>
  </si>
  <si>
    <t>11/12/2025 8:26:46 AM</t>
  </si>
  <si>
    <t>RK109</t>
  </si>
  <si>
    <t>power LED 異常黯淡_TW3600_更換單機</t>
  </si>
  <si>
    <t>A968459X5B00421</t>
  </si>
  <si>
    <t>A968459X5B02044</t>
  </si>
  <si>
    <t>P25B01365</t>
  </si>
  <si>
    <t>11/12/2025 3:10:39 PM</t>
  </si>
  <si>
    <t>SR021110253703</t>
  </si>
  <si>
    <t>開機一下後 自動關機_TW3600_更換單機</t>
  </si>
  <si>
    <t>P25B01432</t>
  </si>
  <si>
    <t>11/12/2025 10:47:12 PM</t>
  </si>
  <si>
    <t>SR021110253399</t>
  </si>
  <si>
    <t>RK203</t>
  </si>
  <si>
    <t>control board 橘燈不亮</t>
  </si>
  <si>
    <t>SV25380737</t>
  </si>
  <si>
    <t>SV25380633</t>
  </si>
  <si>
    <t>P25B01437</t>
  </si>
  <si>
    <t>11/12/2025 11:08:21 PM</t>
  </si>
  <si>
    <t>Chassis_0_LeakDetector_0_ColdPlate</t>
  </si>
  <si>
    <t>A968459X5A10476</t>
  </si>
  <si>
    <t>P25B01632</t>
  </si>
  <si>
    <t>11/13/2025 4:54:11 PM</t>
  </si>
  <si>
    <t>SR021110252810</t>
  </si>
  <si>
    <t>MB041</t>
  </si>
  <si>
    <t>11/13/2025</t>
  </si>
  <si>
    <t>BMC can't connect</t>
  </si>
  <si>
    <t>A968459X5B02695</t>
  </si>
  <si>
    <t>P25B01638</t>
  </si>
  <si>
    <t>11/13/2025 5:05:14 PM</t>
  </si>
  <si>
    <t>CableCartridgeEepromCheck | cable_cartridge| GPU | Got exit code 7 while executing ('curl', '--silent', '--insecure', '--user', 'smctest:Supermicro@123', 'https://10.100.30.7/redfish/v1/Chassis/CBC_0') 7CC25590EBBE</t>
  </si>
  <si>
    <t>A968459X5B02686</t>
  </si>
  <si>
    <t>P25B01643</t>
  </si>
  <si>
    <t>11/13/2025 5:20:18 PM</t>
  </si>
  <si>
    <t>DGX-000000000126 | CableCartridgeEepromCheck | cable_cartridge | GPU | Got exit code 7 while executing ('curl', '--silent', '--insecure', '--user', 'smctest:Supermicro@123', 'https://10.100.30.7/redfish/v1/Chassis/CBC_0')</t>
  </si>
  <si>
    <t>A968459X5B02684</t>
  </si>
  <si>
    <t>P25B01644</t>
  </si>
  <si>
    <t>P25B01658</t>
  </si>
  <si>
    <t>11/13/2025 8:01:59 PM</t>
  </si>
  <si>
    <t>SR021110258229</t>
  </si>
  <si>
    <t>紀錄Rack0_SW7_acp86 CC1_C3_Lane_15 link_none</t>
  </si>
  <si>
    <t>P25B01807</t>
  </si>
  <si>
    <t>11/14/2025 3:18:40 PM</t>
  </si>
  <si>
    <t>SR021110252828</t>
  </si>
  <si>
    <t>11/14/2025</t>
  </si>
  <si>
    <t>COMPUTE_NODE_5 | DGX-000000000125 | CableCartridgeEepromCheck | cable_cartridge | | GPU | | Error while invoking api /redfish/v1/Chassis/CBC_2. Error message =&gt; The requested resource of type Chassis named 'CBC_2' was not found._TW3600_更換單機</t>
  </si>
  <si>
    <t>A968459X5B04189</t>
  </si>
  <si>
    <t>P25B01834</t>
  </si>
  <si>
    <t>11/14/2025 6:18:16 PM</t>
  </si>
  <si>
    <t>SR021114258617</t>
  </si>
  <si>
    <t>RK001</t>
  </si>
  <si>
    <t>shutdown unexpectedly due to GPU critical log in BMC SEL.</t>
  </si>
  <si>
    <t>A968459X5B01069</t>
  </si>
  <si>
    <t>P25B01789</t>
  </si>
  <si>
    <t>11/14/2025 2:09:16 PM</t>
  </si>
  <si>
    <t>SR021110259150</t>
  </si>
  <si>
    <t>Rack0_SW0_acp133 CC0_C15_Lane_1 link_none (第16台單機位置 Bent Pin)_TW3600_更換CC0</t>
  </si>
  <si>
    <t>P25B01686</t>
  </si>
  <si>
    <t>11/14/2025 1:10:12 AM</t>
  </si>
  <si>
    <t>unreached</t>
  </si>
  <si>
    <t>MT2531601TWE</t>
  </si>
  <si>
    <t>MT2531601U58</t>
  </si>
  <si>
    <t>P25B01830</t>
  </si>
  <si>
    <t>11/14/2025 5:32:15 PM</t>
  </si>
  <si>
    <t>SR021110256394</t>
  </si>
  <si>
    <t>RK105</t>
  </si>
  <si>
    <t>GB200 Leakage sensor issue</t>
  </si>
  <si>
    <t>A968459X5B04363</t>
  </si>
  <si>
    <t>P25B01837</t>
  </si>
  <si>
    <t>11/14/2025 7:40:10 PM</t>
  </si>
  <si>
    <t>SR021110253924</t>
  </si>
  <si>
    <t>Got exit code 7 while executing ('curl', '--silent', '--insecure', '--user', 'smctest:Supermicro@123', 'https://10.100.30.1/redfish/v1/Chassis/CBC_0')</t>
  </si>
  <si>
    <t>A968459X5B01067</t>
  </si>
  <si>
    <t>P25B01763</t>
  </si>
  <si>
    <t>11/14/2025 10:25:33 AM</t>
  </si>
  <si>
    <t>M.2 美光 混到 三星櫃_TW3600_更換單機 (良品)</t>
  </si>
  <si>
    <t>A968459X5B01053</t>
  </si>
  <si>
    <t>P25B01682</t>
  </si>
  <si>
    <t>11/14/2025 12:58:58 AM</t>
  </si>
  <si>
    <t>can't power on</t>
  </si>
  <si>
    <t>A968459X5B03575</t>
  </si>
  <si>
    <t>P25B01839</t>
  </si>
  <si>
    <t>11/14/2025 7:43:23 PM</t>
  </si>
  <si>
    <t>SR021110258936</t>
  </si>
  <si>
    <t>A968459X5B00929</t>
  </si>
  <si>
    <t>P25B01672</t>
  </si>
  <si>
    <t>11/14/2025 12:13:46 AM</t>
  </si>
  <si>
    <t>SR021110258310</t>
  </si>
  <si>
    <t>Error while invoking api /redfish/v1/Chassis/CBC_1. Error message =&gt; The requested resource of type Chassis named 'CBC_1' was not found</t>
  </si>
  <si>
    <t>A968459X5B01068</t>
  </si>
  <si>
    <t>P25B01780</t>
  </si>
  <si>
    <t>11/14/2025 12:36:14 PM</t>
  </si>
  <si>
    <t>The leak sensor Ch0LeaDet1ColPla reading 0V shows a shorted sensor-TW3839更換單機</t>
  </si>
  <si>
    <t>A968459X5B01054</t>
  </si>
  <si>
    <t>P25B01822</t>
  </si>
  <si>
    <t>11/14/2025 4:43:37 PM</t>
  </si>
  <si>
    <t>SRK-01DTPF-33B1R-01</t>
  </si>
  <si>
    <t>DGPSU254300RM</t>
  </si>
  <si>
    <t>DGPSU254300AB</t>
  </si>
  <si>
    <t>P25B01792</t>
  </si>
  <si>
    <t>11/14/2025 2:49:09 PM</t>
  </si>
  <si>
    <t>按壓POWER鈕無反應 , 可遠端啟動 但有電無畫面_TW3600_更換單機</t>
  </si>
  <si>
    <t>A968459X5B00921</t>
  </si>
  <si>
    <t>SRK-01DTPF-33B1R-01</t>
    <phoneticPr fontId="7" type="noConversion"/>
  </si>
  <si>
    <t>SRK-01DTPF-33B1R-01</t>
    <phoneticPr fontId="7" type="noConversion"/>
  </si>
  <si>
    <t>Delta Power Shelf Left Input</t>
    <phoneticPr fontId="7" type="noConversion"/>
  </si>
  <si>
    <t>Delta power shelf right input</t>
    <phoneticPr fontId="7" type="noConversion"/>
  </si>
  <si>
    <t>11/13/2025 5:38:49 PM</t>
  </si>
  <si>
    <t>A968459X5B03578</t>
  </si>
  <si>
    <t>P25B01949</t>
  </si>
  <si>
    <t>11/15/2025 3:26:07 PM</t>
  </si>
  <si>
    <t>SR021114257977</t>
  </si>
  <si>
    <t>11/15/2025</t>
  </si>
  <si>
    <t>Cable cartridge Defect Rack0_SW5_acp81,CC0_C2_Lane_11</t>
  </si>
  <si>
    <t>P25B01965</t>
  </si>
  <si>
    <t>11/15/2025 4:06:41 PM</t>
  </si>
  <si>
    <t>SR021114253622</t>
  </si>
  <si>
    <t>RK204</t>
  </si>
  <si>
    <t>Error while invoking api /redfish/v1/Chassis/CBC_3. Error message =&gt; The requested resource of type Chassis named 'CBC_3' was not found.</t>
  </si>
  <si>
    <t>A968459X5B04632</t>
  </si>
  <si>
    <t>P25B01975</t>
  </si>
  <si>
    <t>11/15/2025 6:08:26 PM</t>
  </si>
  <si>
    <t>SR021114257106</t>
  </si>
  <si>
    <t>RK002</t>
  </si>
  <si>
    <t>A968459X5B04414</t>
  </si>
  <si>
    <t>P25B01979</t>
  </si>
  <si>
    <t>SR021114257861</t>
  </si>
  <si>
    <t>Got exit code 7 while executing ('curl', '--silent', '--insecure', '--user', 'smctest:Supermicro@123', 'https://10.100.30.9/redfish/v1/Chassis/CBC_0')</t>
  </si>
  <si>
    <t>A968459X5B04401</t>
  </si>
  <si>
    <t>11/15/2025 7:51:07 PM</t>
  </si>
  <si>
    <t>P25B01996</t>
  </si>
  <si>
    <t>11/15/2025 9:05:23 PM</t>
  </si>
  <si>
    <t>MT25336027DY</t>
  </si>
  <si>
    <t>MT2532602609</t>
  </si>
  <si>
    <t>P25B02014</t>
  </si>
  <si>
    <t>11/15/2025 11:38:53 PM</t>
  </si>
  <si>
    <t>Cable cartridge Defect Rack0_SW3_acp88 CC3_C3_Lane_7 link_none</t>
  </si>
  <si>
    <t>P25B02025</t>
  </si>
  <si>
    <t>11/16/2025 3:18:03 AM</t>
  </si>
  <si>
    <t>SR021114251193</t>
  </si>
  <si>
    <t>11/16/2025</t>
  </si>
  <si>
    <t>Leakage sensor issue</t>
  </si>
  <si>
    <t>A968459X5B01446</t>
  </si>
  <si>
    <t>P25B02032</t>
  </si>
  <si>
    <t>11/16/2025 7:59:05 AM</t>
  </si>
  <si>
    <t>PCIe Width Status for Mellanox AOC (0016:01:00.0) drops to x2, the defined Width is x16 - warning 降速-TW3839跟換單機</t>
  </si>
  <si>
    <t>A968459X5B05856</t>
  </si>
  <si>
    <t>P25B02044</t>
  </si>
  <si>
    <t>11/16/2025 2:24:25 PM</t>
  </si>
  <si>
    <t>SR021115255847</t>
  </si>
  <si>
    <t>美光機台 混 三星櫃_TW3600_更換單機</t>
  </si>
  <si>
    <t>A968459X5B03916</t>
  </si>
  <si>
    <t>P25B02099</t>
  </si>
  <si>
    <t>11/17/2025 9:12:36 AM</t>
  </si>
  <si>
    <t>RK201</t>
  </si>
  <si>
    <t>11/17/2025</t>
  </si>
  <si>
    <t>NVL Switch 10.10.47.173 unreachable-更換nv switch-TW3839</t>
  </si>
  <si>
    <t>MT2531602AJB</t>
  </si>
  <si>
    <t>MT2531601ZHN</t>
  </si>
  <si>
    <t>P25B02112</t>
  </si>
  <si>
    <t>11/17/2025 10:40:09 AM</t>
  </si>
  <si>
    <t>SR021114253580</t>
  </si>
  <si>
    <t>COMPUTE_NODE_11 | MODS-000000000140 | ThermalSteadyState | powersync | | CPU, GPU | 0019:06:00.0_SN_1654025011734 | [raw_lane_ber error value of 1e-05 exceeded threshold of 1e-06 on (0019:06:00.0_SN_1654025011734, nvlink 8)] @(Rack slot 21, CBC 3, 4x19 connector 3, column 11, pins C/D, E/F) PEER (Rack slot 13, CBC 3, 8x10 connector 5, column 7, pins J/K, N/P, port acp47)_TW3600_更換單機</t>
  </si>
  <si>
    <t>A968459X5B03987</t>
  </si>
  <si>
    <t>P25B02120</t>
  </si>
  <si>
    <t>11/17/2025 12:01:42 PM</t>
  </si>
  <si>
    <t>compute fd test is failed on Node_2 and it is caused by rack slot13, before swap nvsw location it is failed on rack slot12_TW3600_更換nvlswitch</t>
  </si>
  <si>
    <t>MT25336001D1</t>
  </si>
  <si>
    <t>MT2531601Z0N</t>
  </si>
  <si>
    <t>P25B02123</t>
  </si>
  <si>
    <t>11/17/2025 12:57:02 PM</t>
  </si>
  <si>
    <t>SR021115257941</t>
  </si>
  <si>
    <t>Rack0_SW4_acp106,CC1_C8_Lane_9, link_none (單機第9,10位置 bent pin)_TW3600_更換CC1</t>
  </si>
  <si>
    <t>P25B02133</t>
  </si>
  <si>
    <t>11/17/2025 2:54:07 PM</t>
  </si>
  <si>
    <t>自動關機-更換單機tw3839</t>
  </si>
  <si>
    <t>A968459X5B03991</t>
  </si>
  <si>
    <t>P25B02139</t>
  </si>
  <si>
    <t>11/17/2025 3:14:54 PM</t>
  </si>
  <si>
    <t>COMPUTE_NODE_7 | DGX-000000000125 | CableCartridgeEepromCheck | cable_cartridge | | GPU | | Error while invoking api /redfish/v1/Chassis/CBC_3. Error message =&gt; The requested resource of type Chassis named 'CBC_3' was not found._TW3600_更換單機</t>
  </si>
  <si>
    <t>A968459X5B03911</t>
  </si>
  <si>
    <t>11/15-11/16</t>
    <phoneticPr fontId="7" type="noConversion"/>
  </si>
  <si>
    <t>P25B02189</t>
  </si>
  <si>
    <t>11/17/2025 10:55:45 PM</t>
  </si>
  <si>
    <t>SR021114252995</t>
  </si>
  <si>
    <t>紀錄10.160.100.10/logs/xAI/2025/November/SR021114252995/17/R-BURN/A968459X5B03679/905A083237C7/gb300_compute_nvidia_L11_field_diag_summary.log</t>
  </si>
  <si>
    <t>P25B02190</t>
  </si>
  <si>
    <t>11/18/2025 4:49:56 PM</t>
  </si>
  <si>
    <t>SR021114251420</t>
  </si>
  <si>
    <t>紀錄10.160.100.12/logs/xAI/2025/November/SR021114251420/17/R-BURN/A968459X5B04400/905A0832391E/Failure-Records-Full.txt_old_17Nov_22.35.37</t>
  </si>
  <si>
    <t>P25B02317</t>
  </si>
  <si>
    <t>11/18/2025 2:54:47 PM</t>
  </si>
  <si>
    <t>SR021115254781</t>
  </si>
  <si>
    <t>11/18/2025</t>
  </si>
  <si>
    <t>無法開機 自動關機-更換單機TW3839</t>
  </si>
  <si>
    <t>A968459X5B03909</t>
  </si>
  <si>
    <t>P25B02321</t>
  </si>
  <si>
    <t>11/18/2025 3:17:42 PM</t>
  </si>
  <si>
    <t>SR021115257719</t>
  </si>
  <si>
    <t>The BIOS Attributes are Empty - [FAILED]-更換單機TW3839</t>
  </si>
  <si>
    <t>A968459X5B03908</t>
  </si>
  <si>
    <t>P25B02327</t>
  </si>
  <si>
    <t>11/18/2025 3:59:35 PM</t>
  </si>
  <si>
    <t>r 'Chassis_0_LeakDetector_0_ColdPlate' reading of 0.054000 (Volts) is below the 1.300000 lower critical threshold.</t>
  </si>
  <si>
    <t>A968459X5B03906</t>
  </si>
  <si>
    <t>P25B02347</t>
  </si>
  <si>
    <t>11/18/2025 6:23:13 PM</t>
  </si>
  <si>
    <t>紀錄10.160.100.12/logs/xAI/2025/November/SR021115257941/18/R-BURN/A968459X5B00326/905A08323C4B/</t>
  </si>
  <si>
    <t>P25B02381</t>
  </si>
  <si>
    <t>11/19/2025 1:11:25 AM</t>
  </si>
  <si>
    <t>RK008</t>
  </si>
  <si>
    <t>11/19/2025</t>
  </si>
  <si>
    <t>out of 16 fan only 12 fan shows</t>
  </si>
  <si>
    <t>A968459X5B03982</t>
  </si>
  <si>
    <t>P25B02395</t>
  </si>
  <si>
    <t>11/19/2025 3:06:16 AM</t>
  </si>
  <si>
    <t>SR021115256936</t>
  </si>
  <si>
    <t>A968459X5B03994</t>
  </si>
  <si>
    <t>P25B02510</t>
  </si>
  <si>
    <t>SR021117253315</t>
  </si>
  <si>
    <t>Power Shelf無法更新(跟著POWER機箱)</t>
  </si>
  <si>
    <t>DGPSU25430033</t>
  </si>
  <si>
    <t>P25B02518</t>
  </si>
  <si>
    <t>11/19/2025 2:31:47 PM</t>
  </si>
  <si>
    <t>Power Shelf更新異常</t>
  </si>
  <si>
    <t>DGPSU254300TW</t>
  </si>
  <si>
    <t>DGPSU254300DY</t>
  </si>
  <si>
    <t>P25B02519</t>
  </si>
  <si>
    <t>11/19/2025 2:34:32 PM</t>
  </si>
  <si>
    <t>Cable cartridge Defect bent pin</t>
  </si>
  <si>
    <t>P25B02535</t>
  </si>
  <si>
    <t>11/19/2025 3:18:28 PM</t>
  </si>
  <si>
    <t>Could not find the specified device</t>
  </si>
  <si>
    <t>A968459X5B04022</t>
  </si>
  <si>
    <t>P25B02541</t>
  </si>
  <si>
    <t>11/19/2025 4:51:05 PM</t>
  </si>
  <si>
    <t>SR021117252169</t>
  </si>
  <si>
    <t>NVLINK Switch Functional Issue UNABLE TO UPDATE</t>
  </si>
  <si>
    <t>MT25286045UR</t>
  </si>
  <si>
    <t>MT25316009K3</t>
  </si>
  <si>
    <t>P25B02551</t>
  </si>
  <si>
    <t>11/19/2025 5:13:28 PM</t>
  </si>
  <si>
    <t>SR021117253397</t>
  </si>
  <si>
    <t>A968459X5B08385</t>
  </si>
  <si>
    <t>P25B02563</t>
  </si>
  <si>
    <t>11/19/2025 5:44:20 PM</t>
  </si>
  <si>
    <t>SR021115257661</t>
  </si>
  <si>
    <t>http://10.160.100.10/logs/xAI/2025/November/SR021115257661/19/R-BURN/A968459X5B05481/905A08323C40/</t>
  </si>
  <si>
    <t>A968459X5B03980</t>
  </si>
  <si>
    <t>P25B02565</t>
  </si>
  <si>
    <t>11/19/2025 6:26:13 PM</t>
  </si>
  <si>
    <t>SR021117251393</t>
  </si>
  <si>
    <t>SLOT10_BENTPIN</t>
  </si>
  <si>
    <t>P25B02573</t>
  </si>
  <si>
    <t>11/19/2025 9:43:24 PM</t>
  </si>
  <si>
    <t>紀錄10.160.100.12/logs/xAI/2025/November/SR021115255847/19/R-BURN/A968459X5B04922/905A08324696/gb300_compute_nvidia_L11_field_diag_summary.log</t>
  </si>
  <si>
    <t>A968459X5B03542</t>
  </si>
  <si>
    <t>A968459X5B03898</t>
  </si>
  <si>
    <t>P25B02575</t>
  </si>
  <si>
    <t>11/19/2025 8:35:36 PM</t>
  </si>
  <si>
    <t>SR021118253995</t>
  </si>
  <si>
    <t>A968459X5B03246</t>
  </si>
  <si>
    <t>A968459X5B03249</t>
  </si>
  <si>
    <t>Cable Cartridge L11 FD Test [FAIL]</t>
  </si>
  <si>
    <t>11/20/2025</t>
  </si>
  <si>
    <t>GB200 L11 Compute Tray Nvidia Field Diag Test fail</t>
  </si>
  <si>
    <t>P25B02604</t>
  </si>
  <si>
    <t>11/20/2025 1:01:32 AM</t>
  </si>
  <si>
    <t>SR021115253517</t>
  </si>
  <si>
    <t>unable to power on always shutdown</t>
  </si>
  <si>
    <t>A968459X5B04024</t>
  </si>
  <si>
    <t>P25B02606</t>
  </si>
  <si>
    <t>11/20/2025 1:41:45 AM</t>
  </si>
  <si>
    <t>SR021118257763</t>
  </si>
  <si>
    <t>PDU Unable to power on (PDU無作用/不開機)</t>
  </si>
  <si>
    <t>A968459X5B00989</t>
  </si>
  <si>
    <t>P25B02677</t>
  </si>
  <si>
    <t>11/20/2025 12:50:34 PM</t>
  </si>
  <si>
    <t>SR021118256394</t>
  </si>
  <si>
    <t>REPAIR</t>
  </si>
  <si>
    <t>power led no light_更換POWER_TW640</t>
  </si>
  <si>
    <t>SV25382217</t>
  </si>
  <si>
    <t>SV25382234</t>
  </si>
  <si>
    <t>P25B02680</t>
  </si>
  <si>
    <t>SR021118257814</t>
  </si>
  <si>
    <t>DGPST254400PP</t>
  </si>
  <si>
    <t>P25B02695</t>
  </si>
  <si>
    <t>SR021118252547</t>
  </si>
  <si>
    <t>POWER 7 無法更新,換過其他台試過，已驗證為POWER本身機台問題</t>
  </si>
  <si>
    <t>DGPSU254300SX</t>
  </si>
  <si>
    <t>P25B02696</t>
  </si>
  <si>
    <t>SR021119252516</t>
  </si>
  <si>
    <t>POWER7的P1與P6無法運轉, 已驗證為固定電源位置問題</t>
  </si>
  <si>
    <t>DGPSU254300GW</t>
  </si>
  <si>
    <t>11/21/2025 9:24:15 AM</t>
  </si>
  <si>
    <t>Power Shelf無法更新(跟著POWER機箱)_換機箱_協助過帳</t>
  </si>
  <si>
    <t>DGPSU25430023</t>
  </si>
  <si>
    <t>11/20/2025 11:29:09 PM</t>
  </si>
  <si>
    <t>DGPST254400LL</t>
  </si>
  <si>
    <t>11/20/2025 11:38:45 PM</t>
  </si>
  <si>
    <t>DGPSU25430024</t>
  </si>
  <si>
    <t>11/20/2025 11:10:11 PM</t>
  </si>
  <si>
    <t>P25B02737</t>
  </si>
  <si>
    <t>11/20/2025 8:10:51 PM</t>
  </si>
  <si>
    <t>P25B02739</t>
  </si>
  <si>
    <t>11/20/2025 8:27:30 PM</t>
  </si>
  <si>
    <t>A968459X5B07205</t>
  </si>
  <si>
    <t>P25B02741</t>
  </si>
  <si>
    <t>11/20/2025 8:31:18 PM</t>
  </si>
  <si>
    <t>A968459X5B07188</t>
  </si>
  <si>
    <t>SR021119255408</t>
  </si>
  <si>
    <t>11/21/2025</t>
  </si>
  <si>
    <t>A968459X5B08436</t>
  </si>
  <si>
    <t>P25B02766</t>
  </si>
  <si>
    <t>11/21/2025 1:01:27 AM</t>
  </si>
  <si>
    <t>RK007</t>
  </si>
  <si>
    <t>Chassis defect</t>
  </si>
  <si>
    <t>A968459X5B08463</t>
  </si>
  <si>
    <t>P25B02780</t>
  </si>
  <si>
    <t>MT25426017U1</t>
  </si>
  <si>
    <t>P25B02781</t>
  </si>
  <si>
    <t>11/21/2025 2:28:29 AM</t>
  </si>
  <si>
    <t>A968459X5B08327</t>
  </si>
  <si>
    <t>P25B02887</t>
  </si>
  <si>
    <t>11/21/2025 1:28:18 PM</t>
  </si>
  <si>
    <t>SR021118254785</t>
  </si>
  <si>
    <t>無法開機_更換單機_TW718</t>
  </si>
  <si>
    <t>A968459X5B03975</t>
  </si>
  <si>
    <t>P25B02907</t>
  </si>
  <si>
    <t>SR021119254472</t>
  </si>
  <si>
    <t>powershelf 無法更新</t>
  </si>
  <si>
    <t>P25B03062</t>
  </si>
  <si>
    <t>11/22/2025 3:43:58 PM</t>
  </si>
  <si>
    <t>SR021120257587</t>
  </si>
  <si>
    <t>RK101</t>
  </si>
  <si>
    <t>11/22/2025</t>
  </si>
  <si>
    <t>#157 power shift #6update FAIL 跟著側板(SV25382684) 換#8側板正常_CMOS重跑OK</t>
  </si>
  <si>
    <t>P25B03063</t>
  </si>
  <si>
    <t>11/22/2025 3:23:20 PM</t>
  </si>
  <si>
    <t>SR021120256610</t>
  </si>
  <si>
    <t>GB200 L11 NVLink Switch Information Consistent Check fail</t>
  </si>
  <si>
    <t>P25B03065</t>
  </si>
  <si>
    <t>11/22/2025 3:48:50 PM</t>
  </si>
  <si>
    <t>SR021120252835</t>
  </si>
  <si>
    <t>P25B03067</t>
  </si>
  <si>
    <t>11/22/2025 3:55:36 PM</t>
  </si>
  <si>
    <t>SR021120251115</t>
  </si>
  <si>
    <t>Power Shelf Defective</t>
  </si>
  <si>
    <t>P25B03080</t>
  </si>
  <si>
    <t>11/22/2025 5:42:16 PM</t>
  </si>
  <si>
    <t>RK200</t>
  </si>
  <si>
    <t>GB200 L11 Bring Up fail has missing information or could not be fully detected at /redfish/v1/Chassis/PowerShelf_0/PowerSubsystem/PowerSupplies/1</t>
  </si>
  <si>
    <t>P25B03083</t>
  </si>
  <si>
    <t>11/22/2025 5:57:42 PM</t>
  </si>
  <si>
    <t>RK106</t>
  </si>
  <si>
    <t>System sensor missing (only 71 NVLink status shows OK, expected 72)</t>
  </si>
  <si>
    <t>P25B03084</t>
  </si>
  <si>
    <t>11/22/2025 5:58:48 PM</t>
  </si>
  <si>
    <t>P25B03086</t>
  </si>
  <si>
    <t>11/22/2025 6:03:58 PM</t>
  </si>
  <si>
    <t>P25B03092</t>
  </si>
  <si>
    <t>11/23/2025 8:34:56 PM</t>
  </si>
  <si>
    <t>FIX</t>
  </si>
  <si>
    <t>DOA - Switch no function/power (Switch無作用/無電源)</t>
  </si>
  <si>
    <t>P25B03097</t>
  </si>
  <si>
    <t>11/22/2025 7:34:08 PM</t>
  </si>
  <si>
    <t>SR021120257589</t>
  </si>
  <si>
    <t>P25B03102</t>
  </si>
  <si>
    <t>11/22/2025 8:20:55 PM</t>
  </si>
  <si>
    <t>SR021118252670</t>
  </si>
  <si>
    <t>Cable cartridge Defect (Bend pin)</t>
  </si>
  <si>
    <t>P25B03104</t>
  </si>
  <si>
    <t>11/22/2025 8:59:39 PM</t>
  </si>
  <si>
    <t>71 NVLink status</t>
  </si>
  <si>
    <t>P25B03107</t>
  </si>
  <si>
    <t>11/22/2025 9:46:41 PM</t>
  </si>
  <si>
    <t>RK120</t>
  </si>
  <si>
    <t>IPMI no response/ no IP detected</t>
  </si>
  <si>
    <t>P25B03121</t>
  </si>
  <si>
    <t>11/22/2025 10:10:00 PM</t>
  </si>
  <si>
    <t>SR021120253120</t>
  </si>
  <si>
    <t>System sensor fail</t>
  </si>
  <si>
    <t>P25B03123</t>
  </si>
  <si>
    <t>11/22/2025 10:23:12 PM</t>
  </si>
  <si>
    <t>Cannot power on faild log in BMC SEL</t>
  </si>
  <si>
    <t>P25B03124</t>
  </si>
  <si>
    <t>11/22/2025 10:24:53 PM</t>
  </si>
  <si>
    <t>SR021119258145</t>
  </si>
  <si>
    <t>P25B03135</t>
  </si>
  <si>
    <t>11/22/2025 11:21:51 PM</t>
  </si>
  <si>
    <t>P25B03138</t>
  </si>
  <si>
    <t>11/23/2025 12:31:13 AM</t>
  </si>
  <si>
    <t>11/23/2025</t>
  </si>
  <si>
    <t>P25B03141</t>
  </si>
  <si>
    <t>11/23/2025 12:42:59 AM</t>
  </si>
  <si>
    <t>SR021120259624</t>
  </si>
  <si>
    <t>RK209</t>
  </si>
  <si>
    <t>L11 GPU Burn Test ECC detected an uncorrectable error</t>
  </si>
  <si>
    <t>P25B03152</t>
  </si>
  <si>
    <t>11/23/2025 1:42:33 AM</t>
  </si>
  <si>
    <t>SR021120257214</t>
  </si>
  <si>
    <t>RK102</t>
  </si>
  <si>
    <t>BMC flash fail</t>
  </si>
  <si>
    <t>P25B03172</t>
  </si>
  <si>
    <t>11/23/2025 3:36:25 PM</t>
  </si>
  <si>
    <t>SR021120253962</t>
  </si>
  <si>
    <t>SR021122254667</t>
  </si>
  <si>
    <t>P25B03186</t>
  </si>
  <si>
    <t>11/23/2025 5:11:43 PM</t>
  </si>
  <si>
    <t>P25B03187</t>
  </si>
  <si>
    <t>11/23/2025 5:20:00 PM</t>
  </si>
  <si>
    <t>SR021118255581</t>
  </si>
  <si>
    <t>ECC detected an uncorrectable error</t>
  </si>
  <si>
    <t>P25B03193</t>
  </si>
  <si>
    <t>11/23/2025 6:36:01 PM</t>
  </si>
  <si>
    <t>Cable cartridge Defect/ bent pin</t>
  </si>
  <si>
    <t>P25B03198</t>
  </si>
  <si>
    <t>11/23/2025 7:54:12 PM</t>
  </si>
  <si>
    <t>SR021122259974</t>
  </si>
  <si>
    <t>MB007</t>
  </si>
  <si>
    <t>Causes system automatically reboot (自動重開機)auto shutdown</t>
  </si>
  <si>
    <t>P25B03200</t>
  </si>
  <si>
    <t>11/23/2025 8:15:51 PM</t>
  </si>
  <si>
    <t>SR021120251493</t>
  </si>
  <si>
    <t>SR021118252612</t>
  </si>
  <si>
    <t>P25B03238</t>
  </si>
  <si>
    <t>11/24/2025 9:26:00 AM</t>
  </si>
  <si>
    <t>SR021120251508</t>
  </si>
  <si>
    <t>11/24/2025</t>
  </si>
  <si>
    <t>P25B03239</t>
  </si>
  <si>
    <t>11/24/2025 9:37:34 AM</t>
  </si>
  <si>
    <t>P25B02977</t>
  </si>
  <si>
    <t>11/21/2025 6:35:02 PM</t>
  </si>
  <si>
    <t>SR021119251778</t>
  </si>
  <si>
    <t>FAN MISSING</t>
  </si>
  <si>
    <t>P25B02980</t>
  </si>
  <si>
    <t>11/21/2025 6:40:25 PM</t>
  </si>
  <si>
    <t>Unable to power on (無法開機,無電源)</t>
  </si>
  <si>
    <t>P25B03001</t>
  </si>
  <si>
    <t>11/21/2025 10:04:10 PM</t>
  </si>
  <si>
    <t>SR021119256369</t>
  </si>
  <si>
    <t>P25B03060</t>
  </si>
  <si>
    <t>11/22/2025 5:57:16 PM</t>
  </si>
  <si>
    <t>#156 power shift #5update FAIL 固定位置(DGPSU254300TZ) 換#6側板一樣</t>
  </si>
  <si>
    <t>P25B03061</t>
  </si>
  <si>
    <t>#157 power shift #5update FAIL 跟著側板(SV25382293) 換#7側板正常_CMOS重跑OK</t>
  </si>
  <si>
    <t>A968459X5B06261</t>
  </si>
  <si>
    <t>DGPSU254300TZ</t>
  </si>
  <si>
    <t>DGPSU2543002K</t>
  </si>
  <si>
    <t>SV25382293</t>
  </si>
  <si>
    <t>SV25382684</t>
  </si>
  <si>
    <t>MT25416041EB</t>
  </si>
  <si>
    <t>MT25336019JB</t>
  </si>
  <si>
    <t>001823800DC9</t>
  </si>
  <si>
    <t>001823800E0E</t>
  </si>
  <si>
    <t>DGPSU254300J7</t>
  </si>
  <si>
    <t>DGPSU254300YW</t>
  </si>
  <si>
    <t>MT2533601END</t>
  </si>
  <si>
    <t>MT25326027PT</t>
  </si>
  <si>
    <t>MT25416046FD</t>
  </si>
  <si>
    <t>MT2532602JGJ</t>
  </si>
  <si>
    <t>A968459X5B06265</t>
  </si>
  <si>
    <t>A968459X5B08395</t>
  </si>
  <si>
    <t>A968459X5B08747</t>
  </si>
  <si>
    <t>A968459X5B11213</t>
  </si>
  <si>
    <t>A968459X5A08954</t>
  </si>
  <si>
    <t>MT2533602LJJ</t>
  </si>
  <si>
    <t>MT25416010L9</t>
  </si>
  <si>
    <t>A968459X5B08494</t>
  </si>
  <si>
    <t>A968459X5B08506</t>
  </si>
  <si>
    <t>A968459X5B08851</t>
  </si>
  <si>
    <t>TX2-5S</t>
  </si>
  <si>
    <t>A968459X5B08875</t>
  </si>
  <si>
    <t>A968459X5B03993</t>
  </si>
  <si>
    <t>A968459X5B00962</t>
  </si>
  <si>
    <t>MT2541603WHK</t>
  </si>
  <si>
    <t>MT25336019HZ</t>
  </si>
  <si>
    <t>A968459X5B08394</t>
  </si>
  <si>
    <t>A968459X5B08209</t>
  </si>
  <si>
    <t>DGPSU254300QA</t>
  </si>
  <si>
    <t>DGPSU25430027</t>
  </si>
  <si>
    <t>11/21/2025 11:35:04 PM</t>
  </si>
  <si>
    <t>11/21/2025 8:30:21 PM</t>
  </si>
  <si>
    <t>MT25336019J0</t>
  </si>
  <si>
    <t>P25B03265</t>
  </si>
  <si>
    <t>SR021120255357</t>
  </si>
  <si>
    <t>NT012</t>
  </si>
  <si>
    <t>L11 TEST:CC2測試異常</t>
  </si>
  <si>
    <t>P25B03282</t>
  </si>
  <si>
    <t>11/24/2025 4:25:00 PM</t>
  </si>
  <si>
    <t>P25B03284</t>
  </si>
  <si>
    <t>11/24/2025 4:50:47 PM</t>
  </si>
  <si>
    <t>SR021122258418</t>
  </si>
  <si>
    <t>Cable cartridge Defect BENT PIN</t>
  </si>
  <si>
    <t>11/24/2025 10:45:08 PM</t>
  </si>
  <si>
    <t>P25B03297</t>
  </si>
  <si>
    <t>11/24/2025 6:16:05 PM</t>
  </si>
  <si>
    <t>Cable cartridge Defect (Bend Pin)</t>
  </si>
  <si>
    <t>P25B03302</t>
  </si>
  <si>
    <t>11/24/2025 7:39:15 PM</t>
  </si>
  <si>
    <t>燒機0018:06:00.0_SN_1654025117338 | ECC detected an uncorrectable error in FB @(Rack slot 21, CBC 4, 4x19 connector 4)</t>
  </si>
  <si>
    <t>A968459X5B04028</t>
  </si>
  <si>
    <t>P25B03310</t>
  </si>
  <si>
    <t>11/24/2025 8:33:46 PM</t>
  </si>
  <si>
    <t>RK202</t>
  </si>
  <si>
    <t>ECC detected an uncorrectable error in FB @(Rack slot 25, CBC 1, 4x19 connector</t>
  </si>
  <si>
    <t>A968459X5B08072</t>
  </si>
  <si>
    <t>SR021120257281</t>
  </si>
  <si>
    <t>P25B03318</t>
  </si>
  <si>
    <t>11/24/2025 9:05:50 PM</t>
  </si>
  <si>
    <t>SR021122256523</t>
  </si>
  <si>
    <t>紀錄BMC EventLog: Sensor 'Chassis_0_LeakDetector_1_Manifold' reading of 0.203900 (Volts) is below the 1.300000 lower critical threshold.</t>
  </si>
  <si>
    <t>A968459X5B04029</t>
  </si>
  <si>
    <t>P25B03332</t>
  </si>
  <si>
    <t>11/24/2025 11:06:13 PM</t>
  </si>
  <si>
    <t>node 10, 1 GPU MISSING</t>
  </si>
  <si>
    <t>A968459X5B11192</t>
  </si>
  <si>
    <t>P25B03335</t>
  </si>
  <si>
    <t>11/24/2025 11:23:51 PM</t>
  </si>
  <si>
    <t>NODE 5, 1 GPU MISSING</t>
  </si>
  <si>
    <t>A968459X5B09222</t>
  </si>
  <si>
    <t>P25B03354</t>
  </si>
  <si>
    <t>11/25/2025 12:17:02 AM</t>
  </si>
  <si>
    <t>SR021122251559</t>
  </si>
  <si>
    <t>11/25/2025</t>
  </si>
  <si>
    <t>Power Shelf Defective / UNABLE TO UPDATE</t>
  </si>
  <si>
    <t>DGPST254400PA</t>
  </si>
  <si>
    <t>DGPST253701DK</t>
  </si>
  <si>
    <t>P25B03368</t>
  </si>
  <si>
    <t>11/25/2025 1:26:49 AM</t>
  </si>
  <si>
    <t>SR021122258222</t>
  </si>
  <si>
    <t>SLOT16 Bent pin</t>
  </si>
  <si>
    <t>P25B03369</t>
  </si>
  <si>
    <t>11/25/2025 1:28:22 AM</t>
  </si>
  <si>
    <t>SLOT17 Bent PIN</t>
  </si>
  <si>
    <t>P25B03374</t>
  </si>
  <si>
    <t>11/25/2025 1:42:44 AM</t>
  </si>
  <si>
    <t>P25B03445</t>
  </si>
  <si>
    <t>SR021125251418</t>
  </si>
  <si>
    <t>AS001</t>
  </si>
  <si>
    <t>L11 Bring-up - PMB電池脫落</t>
  </si>
  <si>
    <t>SV25382827</t>
  </si>
  <si>
    <t>P25B03452</t>
  </si>
  <si>
    <t>11/25/2025 4:53:28 PM</t>
  </si>
  <si>
    <t>SR021125255042</t>
  </si>
  <si>
    <t>P25B03454</t>
  </si>
  <si>
    <t>11/25/2025 5:11:53 PM</t>
  </si>
  <si>
    <t>SR021122259062</t>
  </si>
  <si>
    <t>Unable to power on always shutting down</t>
  </si>
  <si>
    <t>A968459X5B09654</t>
  </si>
  <si>
    <t>P25B03456</t>
  </si>
  <si>
    <t>11/25/2025 5:20:14 PM</t>
  </si>
  <si>
    <t>A968459X5B08501</t>
  </si>
  <si>
    <t>P25B03477</t>
  </si>
  <si>
    <t>11/25/2025 7:53:10 PM</t>
  </si>
  <si>
    <t>SR021122259980</t>
  </si>
  <si>
    <t>Missing one GPU</t>
  </si>
  <si>
    <t>A968459X5B08841</t>
  </si>
  <si>
    <t>P25B03479</t>
  </si>
  <si>
    <t>11/25/2025 8:08:39 PM</t>
  </si>
  <si>
    <t>0019:06:00.0_SN_1654125050567 | C2C bus error @(Rack slot 5, CBC 3, 4x19 connector 3) change new</t>
  </si>
  <si>
    <t>A968459X5B08570</t>
  </si>
  <si>
    <t>P25B03480</t>
  </si>
  <si>
    <t>11/25/2025 8:10:22 PM</t>
  </si>
  <si>
    <t>SR021125257651</t>
  </si>
  <si>
    <t>L11 FAIL DOA - Unable to power on</t>
  </si>
  <si>
    <t>A968459X5B04706</t>
  </si>
  <si>
    <t>P25B03487</t>
  </si>
  <si>
    <t>11/25/2025 9:07:11 PM</t>
  </si>
  <si>
    <t>SR021120251722</t>
  </si>
  <si>
    <t>NVSwitch 1 [Pci 009b:00:201.0] nvlink 11 is in an unexpected state @(Rack slot 11, CBC 4, 8x10 connector 8, column 4, pins C/D,</t>
  </si>
  <si>
    <t>A968459X5B08536</t>
  </si>
  <si>
    <t>P25B03505</t>
  </si>
  <si>
    <t>11/25/2025 10:42:40 PM</t>
  </si>
  <si>
    <t>0008:06:00.0_SN_1654225048820 | Acceptable temperature limits exceeded or the thermal sensor is broken or miscalibrated @(Rack slot 18, CBC 2, 4x19 connector 2)</t>
  </si>
  <si>
    <t>A968459X5B11809</t>
  </si>
  <si>
    <t>P25B03514</t>
  </si>
  <si>
    <t>11/25/2025 11:23:32 PM</t>
  </si>
  <si>
    <t>SR021125251566</t>
  </si>
  <si>
    <t>L11 NIC-1 Information NULL</t>
  </si>
  <si>
    <t>A968459X5B09464</t>
  </si>
  <si>
    <t>P25B03515</t>
  </si>
  <si>
    <t>11/25/2025 11:30:27 PM</t>
  </si>
  <si>
    <t>MT25416010TP</t>
  </si>
  <si>
    <t>MT25336019HW</t>
  </si>
  <si>
    <t>11/26/2025</t>
  </si>
  <si>
    <t>P25B03525</t>
  </si>
  <si>
    <t>11/26/2025 12:50:43 AM</t>
  </si>
  <si>
    <t>Causes system automatically reboot L11</t>
  </si>
  <si>
    <t>A968459X5B10960</t>
  </si>
  <si>
    <t>P25B03532</t>
  </si>
  <si>
    <t>11/26/2025 1:39:10 AM</t>
  </si>
  <si>
    <t>SR021125254027</t>
  </si>
  <si>
    <t>DGPST2544003Y</t>
  </si>
  <si>
    <t>DGPST254400B0</t>
  </si>
  <si>
    <t>P25B03539</t>
  </si>
  <si>
    <t>11/26/2025 9:29:27 AM</t>
  </si>
  <si>
    <t>SR021125254018</t>
  </si>
  <si>
    <t>PowerShelf#2 Firmware check FAIL(PMB煥到別台OK)_TW2930_更換SRK-01DTPF-33B1-01</t>
  </si>
  <si>
    <t>DGPST2544000R</t>
  </si>
  <si>
    <t>DGPST2544008M</t>
  </si>
  <si>
    <t>P25B03558</t>
  </si>
  <si>
    <t>11/26/2025 9:28:07 AM</t>
  </si>
  <si>
    <t>GPU GB300 LOG 少MAXQ</t>
  </si>
  <si>
    <t>P25B03562</t>
  </si>
  <si>
    <t>11/26/2025 10:03:17 AM</t>
  </si>
  <si>
    <t>SR021125257657</t>
  </si>
  <si>
    <t>面板LED燈號不亮_更換單機_TW640</t>
  </si>
  <si>
    <t>11/26/2025 5:13:47 PM</t>
  </si>
  <si>
    <t>SV25384295</t>
  </si>
  <si>
    <t>P25B03569</t>
  </si>
  <si>
    <t>11/26/2025 11:50:49 AM</t>
  </si>
  <si>
    <t>SR021125251404</t>
  </si>
  <si>
    <t>會自動關機_更換單機_TW640</t>
  </si>
  <si>
    <t>A968459X5B08810</t>
  </si>
  <si>
    <t>P25B03632</t>
  </si>
  <si>
    <t>11/26/2025 3:55:49 PM</t>
  </si>
  <si>
    <t>L11 CC3_C0_Lane_10 ,link_bad_quality_high_ber</t>
  </si>
  <si>
    <t>NVLINK Switch Functional Issue</t>
    <phoneticPr fontId="7" type="noConversion"/>
  </si>
  <si>
    <t>P25B03687</t>
  </si>
  <si>
    <t>11/26/2025 7:50:48 PM</t>
  </si>
  <si>
    <t>Error while invoking api /redfish/v1/Chassis/CBC_1. Error message =&gt; The requested resource of type Chassis named 'CBC_1' was not found.</t>
  </si>
  <si>
    <t>A968459X5B11808</t>
  </si>
  <si>
    <t>P25B03693</t>
  </si>
  <si>
    <t>11/26/2025 8:38:14 PM</t>
  </si>
  <si>
    <t>SR021125255948</t>
  </si>
  <si>
    <t>Chassis_0_LeakDetector_1_Manifold</t>
  </si>
  <si>
    <t>A968459X5B07175</t>
  </si>
  <si>
    <t>P25B03699</t>
  </si>
  <si>
    <t>11/26/2025 9:52:58 PM</t>
  </si>
  <si>
    <t>Got exit code 7 while executing ('curl', '--silent', '--insecure', '--user', 'smctest:Supermicro@123', 'https://10.100.30.8/redfish/v1/Chassis/CBC_0')</t>
  </si>
  <si>
    <t>A968459X5B11592</t>
  </si>
  <si>
    <t>P25B03704</t>
  </si>
  <si>
    <t>11/26/2025 10:25:19 PM</t>
  </si>
  <si>
    <t>Cable cartridge Defect ( BEND PIN)</t>
  </si>
  <si>
    <t>P25B03705</t>
  </si>
  <si>
    <t>11/26/2025 10:27:20 PM</t>
  </si>
  <si>
    <t>SR021125259844</t>
  </si>
  <si>
    <t>DGPST25440031</t>
  </si>
  <si>
    <t>DGPST2544005N</t>
  </si>
  <si>
    <t>P25B03724</t>
  </si>
  <si>
    <t>11/26/2025 11:08:08 PM</t>
  </si>
  <si>
    <t>SR021125255218</t>
  </si>
  <si>
    <t>NVLINK Switch Functional Issue (UNABLE TO UPDATE)</t>
  </si>
  <si>
    <t>MT2523603MHJ</t>
  </si>
  <si>
    <t>MT25316000TT</t>
  </si>
  <si>
    <t>P25B03728</t>
  </si>
  <si>
    <t>11/26/2025 11:38:09 PM</t>
  </si>
  <si>
    <t>SR021125258769</t>
  </si>
  <si>
    <t>L11 SERVER AUTO SHUTDOWN</t>
  </si>
  <si>
    <t>A968459X5B08356</t>
  </si>
  <si>
    <t>P25B03750</t>
  </si>
  <si>
    <t>11/27/2025 1:15:20 AM</t>
  </si>
  <si>
    <t>SR021125254889</t>
  </si>
  <si>
    <t>11/27/2025</t>
  </si>
  <si>
    <t>DGPST2544004L</t>
  </si>
  <si>
    <t>DGPST2544008P</t>
  </si>
  <si>
    <t>P25B03871</t>
  </si>
  <si>
    <t>11/27/2025 2:03:46 PM</t>
  </si>
  <si>
    <t>SR021125252361</t>
  </si>
  <si>
    <t>NVLINK Switch 無法更新</t>
  </si>
  <si>
    <t>MT25316026H7</t>
  </si>
  <si>
    <t>MT2533601GHN</t>
  </si>
  <si>
    <t>P25B03913</t>
  </si>
  <si>
    <t>11/27/2025 5:17:51 PM</t>
  </si>
  <si>
    <t>L11 AUTOMATICALLY SHUTDOWN(POWER OFF)</t>
  </si>
  <si>
    <t>A968459X5B11580</t>
  </si>
  <si>
    <t>L11 Power Shelf fail/ can't update</t>
    <phoneticPr fontId="7" type="noConversion"/>
  </si>
  <si>
    <t>L11 Power Shelf Defective</t>
    <phoneticPr fontId="7" type="noConversion"/>
  </si>
  <si>
    <t>P25B03963</t>
  </si>
  <si>
    <t>11/27/2025 8:59:04 PM</t>
  </si>
  <si>
    <t>Error while invoking api /redfish/v1/Chassis/CBC_2. Error message =&gt; The requested resource of type Chassis named 'CBC_2' was not found.</t>
  </si>
  <si>
    <t>A968459X5B12009</t>
  </si>
  <si>
    <t>11/28/2025</t>
  </si>
  <si>
    <t>P25B04124</t>
  </si>
  <si>
    <t>11/28/2025 2:10:29 PM</t>
  </si>
  <si>
    <t>SR021127252352</t>
  </si>
  <si>
    <t>PowerShelf#4 Firmware fail,PMB已交換驗證,固定位置</t>
  </si>
  <si>
    <t>DGPST254401AG</t>
  </si>
  <si>
    <t>DGPST254400GQ</t>
  </si>
  <si>
    <t>P25B04158</t>
  </si>
  <si>
    <t>11/28/2025 3:59:36 PM</t>
  </si>
  <si>
    <t>SR021125253458</t>
  </si>
  <si>
    <t>FAILD TO UPDATE</t>
  </si>
  <si>
    <t>MT254460218P</t>
  </si>
  <si>
    <t>MT25306031E3</t>
  </si>
  <si>
    <t>P25B04159</t>
  </si>
  <si>
    <t>11/28/2025 4:22:50 PM</t>
  </si>
  <si>
    <t>MT25306031AU</t>
  </si>
  <si>
    <t>P25B04182</t>
  </si>
  <si>
    <t>11/28/2025 5:27:04 PM</t>
  </si>
  <si>
    <t>A968459X5B13002</t>
  </si>
  <si>
    <t>P25B04195</t>
  </si>
  <si>
    <t>11/28/2025 8:18:44 PM</t>
  </si>
  <si>
    <t>SR021127254121</t>
  </si>
  <si>
    <t>L11 Power Shelf Defective</t>
  </si>
  <si>
    <t>DGPSU254301FA</t>
  </si>
  <si>
    <t>THASP254700QK</t>
  </si>
  <si>
    <t>P25B04196</t>
  </si>
  <si>
    <t>11/28/2025 8:20:01 PM</t>
  </si>
  <si>
    <t>A968459X5B13006</t>
  </si>
  <si>
    <t>P25B04199</t>
  </si>
  <si>
    <t>11/28/2025 8:48:07 PM</t>
  </si>
  <si>
    <t>SR021127254872</t>
  </si>
  <si>
    <t>DGPST254401DX</t>
  </si>
  <si>
    <t>DGPST254401AT</t>
  </si>
  <si>
    <t>P25B04200</t>
  </si>
  <si>
    <t>11/28/2025 8:39:54 PM</t>
  </si>
  <si>
    <t>SR021127258184</t>
  </si>
  <si>
    <t>L11 Fail to update firmware</t>
  </si>
  <si>
    <t>SV25384124</t>
  </si>
  <si>
    <t>SV25382408</t>
  </si>
  <si>
    <t>P25B04203</t>
  </si>
  <si>
    <t>11/28/2025 8:54:16 PM</t>
  </si>
  <si>
    <t>chassis handle deffected</t>
  </si>
  <si>
    <t>A968459X5B14020</t>
  </si>
  <si>
    <t>P25B04208</t>
  </si>
  <si>
    <t>11/28/2025 9:28:16 PM</t>
  </si>
  <si>
    <t>SR021127253789</t>
  </si>
  <si>
    <t>L11 Cable cartridge Defect(BENT PIN)</t>
  </si>
  <si>
    <t>P25B04216</t>
  </si>
  <si>
    <t>11/28/2025 11:21:31 PM</t>
  </si>
  <si>
    <t>SR021127255418</t>
  </si>
  <si>
    <t>BMC slot NO light</t>
  </si>
  <si>
    <t>DGPSU254300H8</t>
  </si>
  <si>
    <t>DGPSU254300Y7</t>
  </si>
  <si>
    <t>11/29/2025</t>
  </si>
  <si>
    <t>P25B04401</t>
  </si>
  <si>
    <t>11/29/2025 6:06:01 PM</t>
  </si>
  <si>
    <t>SR021127257134</t>
  </si>
  <si>
    <t>L11 AUTOMATICALLY SHUTDOWN</t>
  </si>
  <si>
    <t>A968459X5B14792</t>
  </si>
  <si>
    <t>A968459X5B15325</t>
  </si>
  <si>
    <t>unable to power on</t>
  </si>
  <si>
    <t>SR021127255640</t>
  </si>
  <si>
    <t>P25B04436</t>
  </si>
  <si>
    <t>11/29/2025 9:43:49 PM</t>
  </si>
  <si>
    <t>A968459X5B14414</t>
  </si>
  <si>
    <t>P25B04440</t>
  </si>
  <si>
    <t>11/29/2025 10:04:34 PM</t>
  </si>
  <si>
    <t>SR021127256254</t>
  </si>
  <si>
    <t>DGPSU254301EW</t>
  </si>
  <si>
    <t>DGPSU254301FD</t>
  </si>
  <si>
    <t>P25B04441</t>
  </si>
  <si>
    <t>11/29/2025 10:05:35 PM</t>
  </si>
  <si>
    <t>SR021127259420</t>
  </si>
  <si>
    <t>Power Shelf Defective(CHASSIS)</t>
  </si>
  <si>
    <t>DGPSU254301HQ</t>
  </si>
  <si>
    <t>THASP254700QW</t>
  </si>
  <si>
    <t>P25B04442</t>
  </si>
  <si>
    <t>11/29/2025 10:06:56 PM</t>
  </si>
  <si>
    <t>DGPST2544019E</t>
  </si>
  <si>
    <t>DGPST254400GR</t>
  </si>
  <si>
    <t>P25B04443</t>
  </si>
  <si>
    <t>11/29/2025 10:12:00 PM</t>
  </si>
  <si>
    <t>DGPSU254301F3</t>
  </si>
  <si>
    <t>DGPSU254300TC</t>
  </si>
  <si>
    <t>P25B04448</t>
  </si>
  <si>
    <t>11/29/2025 10:56:43 PM</t>
  </si>
  <si>
    <t>SR021127254489</t>
  </si>
  <si>
    <t>A968459X5B15323</t>
  </si>
  <si>
    <t>P25B04456</t>
  </si>
  <si>
    <t>11/29/2025 11:23:47 PM</t>
  </si>
  <si>
    <t>Cable cartridge Defect( BENT PIN)</t>
  </si>
  <si>
    <t>P25B04460</t>
  </si>
  <si>
    <t>11/30/2025 1:29:03 AM</t>
  </si>
  <si>
    <t>SR021127251982</t>
  </si>
  <si>
    <t>11/30/2025</t>
  </si>
  <si>
    <t>10.10.97.166 unreachable</t>
  </si>
  <si>
    <t>A968459X5B08079</t>
  </si>
  <si>
    <t>A968459X5B15322</t>
  </si>
  <si>
    <t>P25B04485</t>
  </si>
  <si>
    <t>11/30/2025 9:17:51 AM</t>
  </si>
  <si>
    <t>Rack0_SW1_acp81 CC0_C2_Lane_3 link_none ( 單機 第3和第5 位置 Beant PIN )_TW3600_更換CC0</t>
  </si>
  <si>
    <t>P25B04487</t>
  </si>
  <si>
    <t>11/30/2025 9:32:23 AM</t>
  </si>
  <si>
    <t>SR021127255142</t>
  </si>
  <si>
    <t>不開機_更換單機_TW640</t>
  </si>
  <si>
    <t>P25B04489</t>
  </si>
  <si>
    <t>11/30/2025 9:54:39 AM</t>
  </si>
  <si>
    <t>PowerShelf 無法更新_TW3600_更換PowerShelf</t>
  </si>
  <si>
    <t>DGPSU254301EA</t>
  </si>
  <si>
    <t>DGPSU254301F8</t>
  </si>
  <si>
    <t>P25B04494</t>
  </si>
  <si>
    <t>11/30/2025 1:16:39 PM</t>
  </si>
  <si>
    <t>SR021127254308</t>
  </si>
  <si>
    <t>開機一段時間後 自動關機(補水過無效) _TW3600_更換單機</t>
  </si>
  <si>
    <t>A968459X5B14984</t>
  </si>
  <si>
    <t>P25B04534</t>
  </si>
  <si>
    <t>11/30/2025 5:35:27 PM</t>
  </si>
  <si>
    <t>SR021128251526</t>
  </si>
  <si>
    <t>Sensor 'Chassis_0_LeakDetector_0_Manifold' reading of 2.262400 (Volts) is above the 2.000000 upper critical threshold.</t>
  </si>
  <si>
    <t>A968459X5B08631</t>
  </si>
  <si>
    <t>P25B04544</t>
  </si>
  <si>
    <t>11/30/2025 10:13:38 PM</t>
  </si>
  <si>
    <t>SR021127257651</t>
  </si>
  <si>
    <t>A968459X5B14362</t>
  </si>
  <si>
    <t>P25C00037</t>
  </si>
  <si>
    <t>12/1/2025 7:49:18 AM</t>
  </si>
  <si>
    <t>12/1/2025</t>
  </si>
  <si>
    <t>Rack0_SW7_acp60 CC3_C14_Lane_14 link_none_TW3600_更換CC3</t>
  </si>
  <si>
    <t>P25C00038</t>
  </si>
  <si>
    <t>12/1/2025 8:01:24 AM</t>
  </si>
  <si>
    <t>SR021128255366</t>
  </si>
  <si>
    <t>無法更新_TW3600_更換POWER 小卡</t>
  </si>
  <si>
    <t>SV25384208</t>
  </si>
  <si>
    <t>SV25382898</t>
  </si>
  <si>
    <t>P25C00052</t>
  </si>
  <si>
    <t>12/1/2025 10:05:35 AM</t>
  </si>
  <si>
    <t>SR021127257132</t>
  </si>
  <si>
    <t>L11 Power Shelf update fail,更換SRK-01DTPF-33B1-01_PM894_協助過帳</t>
  </si>
  <si>
    <t>DGPST254401FZ</t>
  </si>
  <si>
    <t>DGPST254401AX</t>
  </si>
  <si>
    <t>P25C00053</t>
  </si>
  <si>
    <t>12/1/2025 10:07:23 AM</t>
  </si>
  <si>
    <t>SR021127255532</t>
  </si>
  <si>
    <t>DGPST25440024</t>
  </si>
  <si>
    <t>DGPST254401AW</t>
  </si>
  <si>
    <t>P25C00064</t>
  </si>
  <si>
    <t>12/1/2025 10:16:07 AM</t>
  </si>
  <si>
    <t>SR021128252888</t>
  </si>
  <si>
    <t>MT2530601XME</t>
  </si>
  <si>
    <t>MT25306031AK</t>
  </si>
  <si>
    <t>P25C00084</t>
  </si>
  <si>
    <t>12/1/2025 3:13:52 PM</t>
  </si>
  <si>
    <t>SR021127257895</t>
  </si>
  <si>
    <t>L11 TEST:CC2測試異常_PM894_協助過帳</t>
  </si>
  <si>
    <t>P25C00085</t>
  </si>
  <si>
    <t>12/1/2025 12:58:38 PM</t>
  </si>
  <si>
    <t>SR021128252997</t>
  </si>
  <si>
    <t>SRK-01DTPM-PMB1-01 LED燈號橘燈_更換_TW640</t>
  </si>
  <si>
    <t>SV25383231</t>
  </si>
  <si>
    <t>SV25384267</t>
  </si>
  <si>
    <t>P25C00089</t>
  </si>
  <si>
    <t>12/1/2025 1:52:05 PM</t>
  </si>
  <si>
    <t>SR021128259439</t>
  </si>
  <si>
    <t>DGPSU254300KE</t>
  </si>
  <si>
    <t>DGPSU254300LF</t>
  </si>
  <si>
    <t>P25C00091</t>
  </si>
  <si>
    <t>12/1/2025 2:03:32 PM</t>
  </si>
  <si>
    <t>SR021128258926</t>
  </si>
  <si>
    <t>Power Shelf 功能正常,LAN右上燈號異常亮黃燈</t>
  </si>
  <si>
    <t>SV25383490</t>
  </si>
  <si>
    <t>SV25384057</t>
  </si>
  <si>
    <t>P25C00093</t>
  </si>
  <si>
    <t>12/1/2025 2:18:09 PM</t>
  </si>
  <si>
    <t>A968459X5B06909</t>
  </si>
  <si>
    <t>P25C00094</t>
  </si>
  <si>
    <t>12/1/2025 2:19:27 PM</t>
  </si>
  <si>
    <t>SR021128251533</t>
  </si>
  <si>
    <t>A968459X5B08417</t>
  </si>
  <si>
    <t>P25C00095</t>
  </si>
  <si>
    <t>A968459X5B07185</t>
  </si>
  <si>
    <t>P25C00096</t>
  </si>
  <si>
    <t>A968459X5B08102</t>
  </si>
  <si>
    <t>P25C00097</t>
  </si>
  <si>
    <t>12/1/2025 2:28:28 PM</t>
  </si>
  <si>
    <t>SR021128258595</t>
  </si>
  <si>
    <t>DGPSU254301DE</t>
  </si>
  <si>
    <t>DGPSU2543018L</t>
  </si>
  <si>
    <t>Unable to power on</t>
  </si>
  <si>
    <t>P25C00132</t>
  </si>
  <si>
    <t>12/1/2025 6:12:35 PM</t>
  </si>
  <si>
    <t>computer switch LED unable to power on</t>
  </si>
  <si>
    <t>P25C00139</t>
  </si>
  <si>
    <t>12/1/2025 6:27:16 PM</t>
  </si>
  <si>
    <t>Chassis 0 LeakDetector 1 ColdPlate</t>
  </si>
  <si>
    <t>A968459X5B15298</t>
  </si>
  <si>
    <t>P25C00143</t>
  </si>
  <si>
    <t>12/1/2025 6:33:14 PM</t>
  </si>
  <si>
    <t>L11 NVLINK Switch Functional Issue/UPDATE FAIL</t>
  </si>
  <si>
    <t>MT2542600NTV</t>
  </si>
  <si>
    <t>MT25336019JN</t>
  </si>
  <si>
    <t>P25C00162</t>
  </si>
  <si>
    <t>12/1/2025 10:04:44 PM</t>
  </si>
  <si>
    <t>SR021128252559</t>
  </si>
  <si>
    <t>Cable cartridge Defect ( BEND PIN)2024425880492 , 2024425880285</t>
  </si>
  <si>
    <t>12/1/2025 11:36:05 PM</t>
  </si>
  <si>
    <t>lost one fan</t>
  </si>
  <si>
    <t>A968459X5B14764</t>
  </si>
  <si>
    <t>P25C00198</t>
  </si>
  <si>
    <t>12/2/2025 1:04:35 AM</t>
  </si>
  <si>
    <t>12/2/2025</t>
  </si>
  <si>
    <t>only 0 Fabric state shows OK</t>
  </si>
  <si>
    <t>A968459X5B16371</t>
  </si>
  <si>
    <t>P25C00239</t>
  </si>
  <si>
    <t>12/2/2025 8:06:33 AM</t>
  </si>
  <si>
    <t>SR021128251737</t>
  </si>
  <si>
    <t>Power Shelf更新FAIL_更換_TW640</t>
  </si>
  <si>
    <t>DGPSU254301CS</t>
  </si>
  <si>
    <t>DGPSU2543018M</t>
  </si>
  <si>
    <t>P25C00265</t>
  </si>
  <si>
    <t>12/2/2025 9:09:01 AM</t>
  </si>
  <si>
    <t>CABLE CARTRIDGE DEFECT</t>
  </si>
  <si>
    <t>P25C00286</t>
  </si>
  <si>
    <t>12/2/2025 12:35:49 PM</t>
  </si>
  <si>
    <t>L11 TEST:NVLSWITCH Hardware Error</t>
  </si>
  <si>
    <t>MT25416006JZ</t>
  </si>
  <si>
    <t>MT2531602W6U</t>
  </si>
  <si>
    <t>P25C00308</t>
  </si>
  <si>
    <t>12/2/2025 2:48:44 PM</t>
  </si>
  <si>
    <t>SR021128251728</t>
  </si>
  <si>
    <t>SSE-NVL72-CC BENT PIN</t>
  </si>
  <si>
    <t>P25C00319</t>
  </si>
  <si>
    <t>12/2/2025 3:35:40 PM</t>
  </si>
  <si>
    <t>SR021128258542</t>
  </si>
  <si>
    <t>L11 Compute Node Information Consistent Check fail / NVRM FAIL</t>
  </si>
  <si>
    <t>A968459X5B14278</t>
    <phoneticPr fontId="7" type="noConversion"/>
  </si>
  <si>
    <t>P25C00335</t>
  </si>
  <si>
    <t>12/2/2025 7:37:31 PM</t>
  </si>
  <si>
    <t>L11 Rack0_SW5_acp91,CC2_C4_Lane_11, link_ba_T2人員更換NVSwitch_協助作帳</t>
  </si>
  <si>
    <t>MT2541601QFM</t>
  </si>
  <si>
    <t>MT25336008G4</t>
  </si>
  <si>
    <t>P25C00336</t>
  </si>
  <si>
    <t>12/2/2025 6:26:16 PM</t>
  </si>
  <si>
    <t>SR021128257503</t>
  </si>
  <si>
    <t>SLOT#19 Bent PIN</t>
  </si>
  <si>
    <t>P25C00338</t>
  </si>
  <si>
    <t>12/2/2025 6:35:33 PM</t>
  </si>
  <si>
    <t>SLOT#15 BENT PIN</t>
  </si>
  <si>
    <t>P25C00346</t>
  </si>
  <si>
    <t>12/2/2025 8:11:29 PM</t>
  </si>
  <si>
    <t>SR021127257391</t>
  </si>
  <si>
    <t>Shutdown unexpectedly GP20 Alert run power fault in bmc sell</t>
  </si>
  <si>
    <t>A968459X5B14948</t>
  </si>
  <si>
    <t>P25C00348</t>
  </si>
  <si>
    <t>12/3/2025 12:35:47 AM</t>
  </si>
  <si>
    <t>SR021128252584</t>
  </si>
  <si>
    <t>L11 NVLink SW back port cause BENT PIN</t>
  </si>
  <si>
    <t>MT2542602DM2</t>
  </si>
  <si>
    <t>P25C00379</t>
  </si>
  <si>
    <t>12/2/2025 11:04:30 PM</t>
  </si>
  <si>
    <t>SR021201256175</t>
  </si>
  <si>
    <t>L11 Compute Node Information Consistent Check fail</t>
  </si>
  <si>
    <t>A968459X5B14278</t>
  </si>
  <si>
    <t>P25C00404</t>
  </si>
  <si>
    <t>12/3/2025 1:45:19 AM</t>
  </si>
  <si>
    <t>SR021201258613</t>
  </si>
  <si>
    <t>12/3/2025</t>
  </si>
  <si>
    <t>BMC board bettery damege</t>
  </si>
  <si>
    <t>SV25383314</t>
  </si>
  <si>
    <t>RK112</t>
  </si>
  <si>
    <t>無法載入燒機</t>
  </si>
  <si>
    <t>P25C00475</t>
  </si>
  <si>
    <t>12/3/2025 9:15:29 AM</t>
  </si>
  <si>
    <t>sensor Cha0LeaDete1Mani on the cold plates</t>
  </si>
  <si>
    <t>A968459X5B14941</t>
  </si>
  <si>
    <t>P25C00495</t>
  </si>
  <si>
    <t>12/3/2025 12:45:44 PM</t>
  </si>
  <si>
    <t>SR021201258245</t>
  </si>
  <si>
    <t>L11 test fail_PM1120_協助過帳</t>
  </si>
  <si>
    <t>SV25380739</t>
  </si>
  <si>
    <t>SV25383444</t>
  </si>
  <si>
    <t>P25C00509</t>
  </si>
  <si>
    <t>RK019</t>
  </si>
  <si>
    <t>LCS-SCDM-027VP44001</t>
  </si>
  <si>
    <t>LM018UB547000305C0</t>
  </si>
  <si>
    <t>P25C00523</t>
  </si>
  <si>
    <t>12/3/2025 3:21:13 PM</t>
  </si>
  <si>
    <t>DGPST2544009B</t>
  </si>
  <si>
    <t>DGPST254401AZ</t>
  </si>
  <si>
    <t>SCDM</t>
    <phoneticPr fontId="7" type="noConversion"/>
  </si>
  <si>
    <t>12/3/2025 5:07:19 PM</t>
  </si>
  <si>
    <t>(Hot water pipe) The gas valve above the CDM pipe is malfunctioning, preventing air from escaping_Transfer to QA August_need FA</t>
  </si>
  <si>
    <t>LM018UB548000548C0</t>
  </si>
  <si>
    <t>P25C00552</t>
  </si>
  <si>
    <t>12/3/2025 4:53:28 PM</t>
  </si>
  <si>
    <t>SR021201256499</t>
  </si>
  <si>
    <t>L11 Unable to power on</t>
  </si>
  <si>
    <t>A968459X5B15423</t>
  </si>
  <si>
    <t>P25C00563</t>
  </si>
  <si>
    <t>12/3/2025 6:15:04 PM</t>
  </si>
  <si>
    <t>Rack0_SW2_acp12,CC3_C2_Lane_</t>
  </si>
  <si>
    <t>P25C00580</t>
  </si>
  <si>
    <t>12/3/2025 8:59:32 PM</t>
  </si>
  <si>
    <t>SR021201256050</t>
  </si>
  <si>
    <t>no nvlink LED connection light</t>
  </si>
  <si>
    <t>A968459X5B14926</t>
  </si>
  <si>
    <t>P25C00594</t>
  </si>
  <si>
    <t>12/3/2025 10:16:30 PM</t>
  </si>
  <si>
    <t>SR021201254854</t>
  </si>
  <si>
    <t>L11 位置來料不良BENT PIN</t>
  </si>
  <si>
    <t>P25C00634</t>
  </si>
  <si>
    <t>12/4/2025 2:00:14 AM</t>
  </si>
  <si>
    <t>SR021201257428</t>
  </si>
  <si>
    <t>12/4/2025</t>
  </si>
  <si>
    <t>來料不良BENT PIN</t>
  </si>
  <si>
    <t>P25C00665</t>
  </si>
  <si>
    <t>12/4/2025 8:19:24 AM</t>
  </si>
  <si>
    <t>SR021201255012</t>
  </si>
  <si>
    <t>L11 TEST:PowerShelf #3 update fail_PM894_協助過帳</t>
  </si>
  <si>
    <t>DGPSU254300HE</t>
  </si>
  <si>
    <t>DGPSU254300KM</t>
  </si>
  <si>
    <t>P25C00695</t>
  </si>
  <si>
    <t>12/4/2025 10:37:11 AM</t>
  </si>
  <si>
    <t>NVL Switch L11 FD Test _[FAIL]Rack0_SW1_acp91,CC2_C4_Lane_3_PM894_協助過帳</t>
  </si>
  <si>
    <t>MT25336008GB</t>
  </si>
  <si>
    <t>SR021201251406</t>
  </si>
  <si>
    <t>P25C00794</t>
  </si>
  <si>
    <t>12/4/2025 4:18:20 PM</t>
  </si>
  <si>
    <t>MB058</t>
  </si>
  <si>
    <t>L11 NVL LED no function(front)</t>
  </si>
  <si>
    <t>A968459X5B08556</t>
  </si>
  <si>
    <t>P25C00836</t>
  </si>
  <si>
    <t>12/4/2025 8:29:04 PM</t>
  </si>
  <si>
    <t>SR021201259368</t>
  </si>
  <si>
    <t>GP006</t>
  </si>
  <si>
    <t>L11 NVRM invalid state or config @(Rack slot 21, CBC 2, 4x19 connector 2)</t>
  </si>
  <si>
    <t>A968459X5B14821</t>
  </si>
  <si>
    <t>P25C00874</t>
  </si>
  <si>
    <t>12/4/2025 11:13:15 PM</t>
  </si>
  <si>
    <t>P25C00817</t>
  </si>
  <si>
    <t>12/4/2025 6:36:23 PM</t>
  </si>
  <si>
    <t>SR021201251255</t>
  </si>
  <si>
    <t>unable gto power on</t>
  </si>
  <si>
    <t>A968459X5C00162</t>
  </si>
  <si>
    <t>P25C00873</t>
  </si>
  <si>
    <t>12/4/2025 10:35:27 PM</t>
  </si>
  <si>
    <t>P25C00912</t>
  </si>
  <si>
    <t>12/5/2025 2:03:08 AM</t>
  </si>
  <si>
    <t>SR021201252586</t>
  </si>
  <si>
    <t>12/5/2025</t>
  </si>
  <si>
    <t>Unable to update</t>
  </si>
  <si>
    <t>MT2532601F7X</t>
  </si>
  <si>
    <t>MT25416010MV</t>
  </si>
  <si>
    <t>P25C01039</t>
  </si>
  <si>
    <t>12/5/2025 1:51:59 PM</t>
  </si>
  <si>
    <t>Rack0_SW2_acp42,CC1_C10_Lane_4, link_none,0, 0,</t>
  </si>
  <si>
    <t>P25C01033</t>
  </si>
  <si>
    <t>12/5/2025 1:10:32 PM</t>
  </si>
  <si>
    <t>only 54 NVLink status shows</t>
  </si>
  <si>
    <t>A968459X5B14867</t>
  </si>
  <si>
    <t>P25C01040</t>
  </si>
  <si>
    <t>Rack0_SW0_acp23,CC2_C5_Lane_0, link_none,0, 0,</t>
  </si>
  <si>
    <t>P25C01029</t>
  </si>
  <si>
    <t>12/5/2025 12:43:44 PM</t>
  </si>
  <si>
    <t>SR021201252322</t>
  </si>
  <si>
    <t>自動關機</t>
  </si>
  <si>
    <t>A968459X5B16679</t>
  </si>
  <si>
    <t>P25C01019</t>
  </si>
  <si>
    <t>12/5/2025 12:36:55 PM</t>
  </si>
  <si>
    <t>SR021128252340</t>
  </si>
  <si>
    <t>SWITCH_NODE_9, NVLINK 8, Chassis Slot 18</t>
  </si>
  <si>
    <t>A968459X5B09394</t>
  </si>
  <si>
    <t>P25C00954</t>
  </si>
  <si>
    <t>12/5/2025 7:56:20 AM</t>
  </si>
  <si>
    <t>SR021201252719</t>
  </si>
  <si>
    <t>nvswitch 無法更新_更換_TW640</t>
  </si>
  <si>
    <t>MT2532601D9J</t>
  </si>
  <si>
    <t>MT253060313Q</t>
  </si>
  <si>
    <t>P25C00986</t>
  </si>
  <si>
    <t>12/5/2025 9:41:17 AM</t>
  </si>
  <si>
    <t>SRS-GB300-NVL72-M0-MA023</t>
  </si>
  <si>
    <t>SR021203252589</t>
  </si>
  <si>
    <t>Cable cartridge Defect comp_tray Rack0_SW7_acp23 CC2_C5_Lane_14</t>
  </si>
  <si>
    <t>P25C01018</t>
  </si>
  <si>
    <t>SR021203253700</t>
  </si>
  <si>
    <t>L11 TEST:PowerShelf #1 update fail</t>
  </si>
  <si>
    <t>613339RBX04X1537223</t>
  </si>
  <si>
    <t>P25C01061</t>
  </si>
  <si>
    <t>12/5/2025 5:11:05 PM</t>
  </si>
  <si>
    <t>SR021201258976</t>
  </si>
  <si>
    <t>MT2532602FGF</t>
  </si>
  <si>
    <t>MT253060313R</t>
  </si>
  <si>
    <t>P25C01102</t>
  </si>
  <si>
    <t>12/5/2025 10:04:17 PM</t>
  </si>
  <si>
    <t>L11 Power Shelf Defective (LED not working)</t>
  </si>
  <si>
    <t>SRK-01LNPM-PMB1-01</t>
  </si>
  <si>
    <t>614MP1RBX03X15360DA</t>
  </si>
  <si>
    <t>614MP1RBX03X15401FN</t>
  </si>
  <si>
    <t>P25C01103</t>
  </si>
  <si>
    <t>12/5/2025 10:05:45 PM</t>
  </si>
  <si>
    <t>LED NO LIGHT</t>
  </si>
  <si>
    <t>MT253060313T</t>
  </si>
  <si>
    <t>P25C01135</t>
  </si>
  <si>
    <t>12/6/2025 1:39:34 AM</t>
  </si>
  <si>
    <t>12/6/2025</t>
  </si>
  <si>
    <t>LED no light # 2</t>
  </si>
  <si>
    <t>MT2532601AKL</t>
  </si>
  <si>
    <t>P25C01229</t>
  </si>
  <si>
    <t>12/6/2025 3:21:31 PM</t>
  </si>
  <si>
    <t>SR021204253712</t>
  </si>
  <si>
    <t>Fail to boot PXE</t>
  </si>
  <si>
    <t>ARS-121GL-NB3-LCC-R1</t>
  </si>
  <si>
    <t>A964512X5B10330</t>
  </si>
  <si>
    <t>P25C01231</t>
  </si>
  <si>
    <t>12/6/2025 3:30:10 PM</t>
  </si>
  <si>
    <t>cannot power on power faild log in BMC SEL</t>
  </si>
  <si>
    <t>A964512X5B10331</t>
  </si>
  <si>
    <t>P25C01236</t>
  </si>
  <si>
    <t>12/6/2025 4:05:23 PM</t>
  </si>
  <si>
    <t>SR021128252289</t>
  </si>
  <si>
    <t>NVLINK Switch Functional Issue unable to update</t>
  </si>
  <si>
    <t>MT25466017KH</t>
  </si>
  <si>
    <t>MT25306031AJ</t>
  </si>
  <si>
    <t>P25C01237</t>
  </si>
  <si>
    <t>12/6/2025 4:08:29 PM</t>
  </si>
  <si>
    <t>SR021203255867</t>
  </si>
  <si>
    <t>CH001</t>
  </si>
  <si>
    <t>Control panel switch failure (power/reset button/LED) LED not working</t>
  </si>
  <si>
    <t>A964512X5C00554</t>
  </si>
  <si>
    <t>12/5/2025 9:01:04 PM</t>
  </si>
  <si>
    <t>ARS-121GL-NB3-LCC-R1</t>
    <phoneticPr fontId="7" type="noConversion"/>
  </si>
  <si>
    <t>SRK-01LNPM-PMB1-01</t>
    <phoneticPr fontId="7" type="noConversion"/>
  </si>
  <si>
    <t>LiteOn power shelf control module</t>
    <phoneticPr fontId="7" type="noConversion"/>
  </si>
  <si>
    <t>Rack P/N</t>
    <phoneticPr fontId="7" type="noConversion"/>
  </si>
  <si>
    <t>P25C01273</t>
  </si>
  <si>
    <t>12/6/2025 6:31:26 PM</t>
  </si>
  <si>
    <t>SR021203252105</t>
  </si>
  <si>
    <t>can't power on ROOT FAILURE log in BMC SEL</t>
  </si>
  <si>
    <t>A964512X5C01049</t>
  </si>
  <si>
    <t>P25C01287</t>
  </si>
  <si>
    <t>SR021204251173</t>
  </si>
  <si>
    <t>A964512X5C02191</t>
  </si>
  <si>
    <t>P25C01290</t>
  </si>
  <si>
    <t>12/6/2025 8:36:16 PM</t>
  </si>
  <si>
    <t>SR021203254681</t>
  </si>
  <si>
    <t>CC FD test faild on CBC-2 CHASSIS NAMED CBC-2 WAS NOT FOUND</t>
  </si>
  <si>
    <t>A964512X5C01122</t>
  </si>
  <si>
    <t>P25C01306</t>
  </si>
  <si>
    <t>12/6/2025 10:33:54 PM</t>
  </si>
  <si>
    <t>L11 System sensor missing (only 54 NVLink status shows OK, expected 72)</t>
  </si>
  <si>
    <t>A964512X5C01639</t>
  </si>
  <si>
    <t>P25C01313</t>
  </si>
  <si>
    <t>12/6/2025 10:59:21 PM</t>
  </si>
  <si>
    <t>SR021203251137</t>
  </si>
  <si>
    <t>sw2-cc0-c1 link none failed on both 2 racks</t>
  </si>
  <si>
    <t>MT2542600XF8</t>
  </si>
  <si>
    <t>MT2531602FM6</t>
  </si>
  <si>
    <t>P25C01354</t>
  </si>
  <si>
    <t>12/7/2025 9:58:16 AM</t>
  </si>
  <si>
    <t>12/7/2025</t>
  </si>
  <si>
    <t>Rack0_SW2_acp137,CC0_C16_Lane_5, link_none,0, 0,</t>
  </si>
  <si>
    <t>MT2542601XAD</t>
  </si>
  <si>
    <t>P25C01375</t>
  </si>
  <si>
    <t>12/7/2025 5:00:51 PM</t>
  </si>
  <si>
    <t>System lspci tool only detected 3 GPU and it does not match the requesed 4</t>
  </si>
  <si>
    <t>A964512X5B10341</t>
  </si>
  <si>
    <t>P25C01384</t>
  </si>
  <si>
    <t>12/7/2025 8:54:08 PM</t>
  </si>
  <si>
    <t>SR021204255982</t>
  </si>
  <si>
    <t>Error while invoking api /redfish/v1/Chassis/CBC_0. Error message =&gt; The requested resource of type Chassis named 'CBC_0' was not found.</t>
  </si>
  <si>
    <t>A968459X5C01459</t>
  </si>
  <si>
    <t>P25C01387</t>
  </si>
  <si>
    <t>12/7/2025 9:58:44 PM</t>
  </si>
  <si>
    <t>SR021204254109</t>
  </si>
  <si>
    <t>A968459X5C01458</t>
  </si>
  <si>
    <t>12/8/2025</t>
  </si>
  <si>
    <t>P25C01453</t>
  </si>
  <si>
    <t>12/8/2025 9:48:45 AM</t>
  </si>
  <si>
    <t>SR021203255841</t>
  </si>
  <si>
    <t>A964512X5C00780</t>
  </si>
  <si>
    <t>A968459X5A10392</t>
    <phoneticPr fontId="7" type="noConversion"/>
  </si>
  <si>
    <t>A968459X5A10400</t>
    <phoneticPr fontId="7" type="noConversion"/>
  </si>
  <si>
    <t>A968459X5A10455</t>
    <phoneticPr fontId="7" type="noConversion"/>
  </si>
  <si>
    <t>A968459X5A11343</t>
    <phoneticPr fontId="7" type="noConversion"/>
  </si>
  <si>
    <t>A968459X5A09462</t>
    <phoneticPr fontId="7" type="noConversion"/>
  </si>
  <si>
    <t>A968459X5A09672</t>
    <phoneticPr fontId="7" type="noConversion"/>
  </si>
  <si>
    <t>A968459X5A10402</t>
    <phoneticPr fontId="7" type="noConversion"/>
  </si>
  <si>
    <t>A968459X5A11341</t>
    <phoneticPr fontId="7" type="noConversion"/>
  </si>
  <si>
    <t>A968459X5A10446</t>
    <phoneticPr fontId="7" type="noConversion"/>
  </si>
  <si>
    <t>A968459X5A10584</t>
    <phoneticPr fontId="7" type="noConversion"/>
  </si>
  <si>
    <t>A968459X5A08966</t>
    <phoneticPr fontId="7" type="noConversion"/>
  </si>
  <si>
    <t>A968459X5A15670</t>
    <phoneticPr fontId="7" type="noConversion"/>
  </si>
  <si>
    <t>A968459X5B00392</t>
    <phoneticPr fontId="7" type="noConversion"/>
  </si>
  <si>
    <t>A968459X5B01293</t>
    <phoneticPr fontId="7" type="noConversion"/>
  </si>
  <si>
    <t>A968459X5B01450</t>
    <phoneticPr fontId="7" type="noConversion"/>
  </si>
  <si>
    <t>A968459X5B02275</t>
    <phoneticPr fontId="7" type="noConversion"/>
  </si>
  <si>
    <t>A968459X5B00421</t>
    <phoneticPr fontId="7" type="noConversion"/>
  </si>
  <si>
    <t>A968459X5B01928</t>
    <phoneticPr fontId="7" type="noConversion"/>
  </si>
  <si>
    <t>A968459X5B03593</t>
    <phoneticPr fontId="7" type="noConversion"/>
  </si>
  <si>
    <t>A968459X5B02291</t>
    <phoneticPr fontId="7" type="noConversion"/>
  </si>
  <si>
    <t>A968459X5B02279</t>
    <phoneticPr fontId="7" type="noConversion"/>
  </si>
  <si>
    <t>A968459X5B02695</t>
    <phoneticPr fontId="7" type="noConversion"/>
  </si>
  <si>
    <t>A968459X5B01058</t>
    <phoneticPr fontId="7" type="noConversion"/>
  </si>
  <si>
    <t>A968459X5B00297</t>
    <phoneticPr fontId="7" type="noConversion"/>
  </si>
  <si>
    <t>A968459X5A09007</t>
    <phoneticPr fontId="7" type="noConversion"/>
  </si>
  <si>
    <t>A968459X5B00216</t>
    <phoneticPr fontId="7" type="noConversion"/>
  </si>
  <si>
    <t>A968459X5B03178</t>
    <phoneticPr fontId="7" type="noConversion"/>
  </si>
  <si>
    <t>A968459X5B02674</t>
    <phoneticPr fontId="7" type="noConversion"/>
  </si>
  <si>
    <t>A968459X5B00919</t>
    <phoneticPr fontId="7" type="noConversion"/>
  </si>
  <si>
    <t>A968459X5B01028</t>
    <phoneticPr fontId="7" type="noConversion"/>
  </si>
  <si>
    <t>A968459X5B01288</t>
    <phoneticPr fontId="7" type="noConversion"/>
  </si>
  <si>
    <t>A968459X5B03169</t>
    <phoneticPr fontId="7" type="noConversion"/>
  </si>
  <si>
    <t>A968459X5B01056</t>
    <phoneticPr fontId="7" type="noConversion"/>
  </si>
  <si>
    <t>A968459X5B04185</t>
    <phoneticPr fontId="7" type="noConversion"/>
  </si>
  <si>
    <t>A968459X5B01066</t>
    <phoneticPr fontId="7" type="noConversion"/>
  </si>
  <si>
    <t>A968459X5B03556</t>
    <phoneticPr fontId="7" type="noConversion"/>
  </si>
  <si>
    <t>A968459X5B03528</t>
    <phoneticPr fontId="7" type="noConversion"/>
  </si>
  <si>
    <t>A968459X5B01887</t>
    <phoneticPr fontId="7" type="noConversion"/>
  </si>
  <si>
    <t>A968459X5B06510</t>
    <phoneticPr fontId="7" type="noConversion"/>
  </si>
  <si>
    <t>A968459X5B04659</t>
    <phoneticPr fontId="7" type="noConversion"/>
  </si>
  <si>
    <t>A968459X5B03681</t>
    <phoneticPr fontId="7" type="noConversion"/>
  </si>
  <si>
    <t>A968459X5B03831</t>
    <phoneticPr fontId="7" type="noConversion"/>
  </si>
  <si>
    <t>A968459X5B03545</t>
    <phoneticPr fontId="7" type="noConversion"/>
  </si>
  <si>
    <t>A968459X5B04626</t>
    <phoneticPr fontId="7" type="noConversion"/>
  </si>
  <si>
    <t>A968459X5B06262</t>
    <phoneticPr fontId="7" type="noConversion"/>
  </si>
  <si>
    <t>A968459X5B05477</t>
    <phoneticPr fontId="7" type="noConversion"/>
  </si>
  <si>
    <t>A968459X5B04911</t>
    <phoneticPr fontId="7" type="noConversion"/>
  </si>
  <si>
    <t>A968459X5B07353</t>
    <phoneticPr fontId="7" type="noConversion"/>
  </si>
  <si>
    <t>A968459X5B06573</t>
    <phoneticPr fontId="7" type="noConversion"/>
  </si>
  <si>
    <t>A968459X5B05148</t>
    <phoneticPr fontId="7" type="noConversion"/>
  </si>
  <si>
    <t>A968459X5B07233</t>
    <phoneticPr fontId="7" type="noConversion"/>
  </si>
  <si>
    <t>A968459X5B01936</t>
    <phoneticPr fontId="7" type="noConversion"/>
  </si>
  <si>
    <t>A968459X5B08463</t>
    <phoneticPr fontId="7" type="noConversion"/>
  </si>
  <si>
    <t>A968459X5B08088</t>
    <phoneticPr fontId="7" type="noConversion"/>
  </si>
  <si>
    <t>A968459X5B07224</t>
    <phoneticPr fontId="7" type="noConversion"/>
  </si>
  <si>
    <t>A968459X5B08848</t>
    <phoneticPr fontId="7" type="noConversion"/>
  </si>
  <si>
    <t>A968459X5A08929</t>
    <phoneticPr fontId="7" type="noConversion"/>
  </si>
  <si>
    <t>A968459X5B05971</t>
    <phoneticPr fontId="7" type="noConversion"/>
  </si>
  <si>
    <t>A968459X5B00994</t>
    <phoneticPr fontId="7" type="noConversion"/>
  </si>
  <si>
    <t>A968459X5B07140</t>
    <phoneticPr fontId="7" type="noConversion"/>
  </si>
  <si>
    <t>A968459X5B03993</t>
    <phoneticPr fontId="7" type="noConversion"/>
  </si>
  <si>
    <t>A968459X5B05974</t>
    <phoneticPr fontId="7" type="noConversion"/>
  </si>
  <si>
    <t>A968459X5B07143</t>
    <phoneticPr fontId="7" type="noConversion"/>
  </si>
  <si>
    <t>A968459X5B08557</t>
    <phoneticPr fontId="7" type="noConversion"/>
  </si>
  <si>
    <t>A968459X5B08156</t>
    <phoneticPr fontId="7" type="noConversion"/>
  </si>
  <si>
    <t>A968459X5B08453</t>
    <phoneticPr fontId="7" type="noConversion"/>
  </si>
  <si>
    <t>A968459X5B10009</t>
    <phoneticPr fontId="7" type="noConversion"/>
  </si>
  <si>
    <t>A968459X5B10011</t>
    <phoneticPr fontId="7" type="noConversion"/>
  </si>
  <si>
    <t>A968459X5B09962</t>
    <phoneticPr fontId="7" type="noConversion"/>
  </si>
  <si>
    <t>A968459X5B08877</t>
    <phoneticPr fontId="7" type="noConversion"/>
  </si>
  <si>
    <t>A968459X5B09395</t>
    <phoneticPr fontId="7" type="noConversion"/>
  </si>
  <si>
    <t>A968459X5B07339</t>
    <phoneticPr fontId="7" type="noConversion"/>
  </si>
  <si>
    <t>A968459X5B09545</t>
    <phoneticPr fontId="7" type="noConversion"/>
  </si>
  <si>
    <t>A968459X5B10963</t>
    <phoneticPr fontId="7" type="noConversion"/>
  </si>
  <si>
    <t>A968459X5B09951</t>
    <phoneticPr fontId="7" type="noConversion"/>
  </si>
  <si>
    <t>A968459X5B03255</t>
    <phoneticPr fontId="7" type="noConversion"/>
  </si>
  <si>
    <t>A968459X5B06515</t>
    <phoneticPr fontId="7" type="noConversion"/>
  </si>
  <si>
    <t>A968459X5B08665</t>
    <phoneticPr fontId="7" type="noConversion"/>
  </si>
  <si>
    <t>A968459X5B09632</t>
    <phoneticPr fontId="7" type="noConversion"/>
  </si>
  <si>
    <t>A968459X5B11705</t>
    <phoneticPr fontId="7" type="noConversion"/>
  </si>
  <si>
    <t>A968459X5B09986</t>
    <phoneticPr fontId="7" type="noConversion"/>
  </si>
  <si>
    <t>A968459X5B08621</t>
    <phoneticPr fontId="7" type="noConversion"/>
  </si>
  <si>
    <t>A968459X5B08213</t>
    <phoneticPr fontId="7" type="noConversion"/>
  </si>
  <si>
    <t>A968459X5B08613</t>
    <phoneticPr fontId="7" type="noConversion"/>
  </si>
  <si>
    <t>A968459X5B08700</t>
    <phoneticPr fontId="7" type="noConversion"/>
  </si>
  <si>
    <t>A968459X5B13028</t>
    <phoneticPr fontId="7" type="noConversion"/>
  </si>
  <si>
    <t>A968459X5B14792</t>
    <phoneticPr fontId="7" type="noConversion"/>
  </si>
  <si>
    <t>A968459X5B14896</t>
    <phoneticPr fontId="7" type="noConversion"/>
  </si>
  <si>
    <t>A968459X5B14004</t>
    <phoneticPr fontId="7" type="noConversion"/>
  </si>
  <si>
    <t>A968459X5B08079</t>
    <phoneticPr fontId="7" type="noConversion"/>
  </si>
  <si>
    <t>A968459X5B14425</t>
    <phoneticPr fontId="7" type="noConversion"/>
  </si>
  <si>
    <t>A968459X5B15583</t>
    <phoneticPr fontId="7" type="noConversion"/>
  </si>
  <si>
    <t>A968459X5B14158</t>
    <phoneticPr fontId="7" type="noConversion"/>
  </si>
  <si>
    <t>A968459X5B15582</t>
    <phoneticPr fontId="7" type="noConversion"/>
  </si>
  <si>
    <t>A968459X5B14800</t>
    <phoneticPr fontId="7" type="noConversion"/>
  </si>
  <si>
    <t>A968459X5B15181</t>
    <phoneticPr fontId="7" type="noConversion"/>
  </si>
  <si>
    <t>A968459X5B15579</t>
    <phoneticPr fontId="7" type="noConversion"/>
  </si>
  <si>
    <t>A968459X5B14174</t>
    <phoneticPr fontId="7" type="noConversion"/>
  </si>
  <si>
    <t>A968459X5B14825</t>
    <phoneticPr fontId="7" type="noConversion"/>
  </si>
  <si>
    <t>P25C00189</t>
    <phoneticPr fontId="7" type="noConversion"/>
  </si>
  <si>
    <t>A968459X5B14318</t>
    <phoneticPr fontId="7" type="noConversion"/>
  </si>
  <si>
    <t>A968459X5B15228</t>
    <phoneticPr fontId="7" type="noConversion"/>
  </si>
  <si>
    <t>A968459X5B15568</t>
    <phoneticPr fontId="7" type="noConversion"/>
  </si>
  <si>
    <t>A968459X5B16326</t>
    <phoneticPr fontId="7" type="noConversion"/>
  </si>
  <si>
    <t>A968459X5B16045</t>
    <phoneticPr fontId="7" type="noConversion"/>
  </si>
  <si>
    <t>A968459X5B15229</t>
    <phoneticPr fontId="7" type="noConversion"/>
  </si>
  <si>
    <t>A968459X5B15884</t>
    <phoneticPr fontId="7" type="noConversion"/>
  </si>
  <si>
    <t>A968459X5B16092</t>
    <phoneticPr fontId="7" type="noConversion"/>
  </si>
  <si>
    <t>A968459X5B16085</t>
    <phoneticPr fontId="7" type="noConversion"/>
  </si>
  <si>
    <t>A968459X5B13171</t>
    <phoneticPr fontId="7" type="noConversion"/>
  </si>
  <si>
    <t>A964512X5B16553</t>
    <phoneticPr fontId="7" type="noConversion"/>
  </si>
  <si>
    <t>A964512X5B11970</t>
    <phoneticPr fontId="7" type="noConversion"/>
  </si>
  <si>
    <t>A964512X5B16569</t>
    <phoneticPr fontId="7" type="noConversion"/>
  </si>
  <si>
    <t>A964512X5C02654</t>
    <phoneticPr fontId="7" type="noConversion"/>
  </si>
  <si>
    <t>A964512X5C00054</t>
    <phoneticPr fontId="7" type="noConversion"/>
  </si>
  <si>
    <t>A964512X5C00061</t>
    <phoneticPr fontId="7" type="noConversion"/>
  </si>
  <si>
    <t>A964512X5C01263</t>
    <phoneticPr fontId="7" type="noConversion"/>
  </si>
  <si>
    <t>A964512X5C01125</t>
    <phoneticPr fontId="7" type="noConversion"/>
  </si>
  <si>
    <t>A968459X5C00297</t>
    <phoneticPr fontId="7" type="noConversion"/>
  </si>
  <si>
    <t>A968459X5B16306</t>
    <phoneticPr fontId="7" type="noConversion"/>
  </si>
  <si>
    <t>A964512X5B16530</t>
    <phoneticPr fontId="7" type="noConversion"/>
  </si>
  <si>
    <t>P25C01465</t>
  </si>
  <si>
    <t>12/8/2025 12:36:05 PM</t>
  </si>
  <si>
    <t>SR021204253625</t>
  </si>
  <si>
    <t>only 54 NVLink status</t>
  </si>
  <si>
    <t>A964512X5C00511</t>
  </si>
  <si>
    <t>A964512X5C00768</t>
  </si>
  <si>
    <t>P25C01478</t>
  </si>
  <si>
    <t>12/8/2025 12:59:28 PM</t>
  </si>
  <si>
    <t>SR021204252965</t>
  </si>
  <si>
    <t>DGPST254401CX</t>
  </si>
  <si>
    <t>DGPST254401GC</t>
  </si>
  <si>
    <t>Rack P/N</t>
  </si>
  <si>
    <t>SRS-GB300-NVL72-M4-TW008</t>
    <phoneticPr fontId="7" type="noConversion"/>
  </si>
  <si>
    <t>SRS-GB300-NVL72-M0-MA023</t>
    <phoneticPr fontId="7" type="noConversion"/>
  </si>
  <si>
    <t>11/19/2025</t>
    <phoneticPr fontId="7" type="noConversion"/>
  </si>
  <si>
    <t>12/6/2025 8:17:37 PM</t>
    <phoneticPr fontId="7" type="noConversion"/>
  </si>
  <si>
    <t>P25C00810</t>
  </si>
  <si>
    <t>12/4/2025 6:11:45 PM</t>
  </si>
  <si>
    <t>A968459X5C00220</t>
  </si>
  <si>
    <t>A968459X5C00375</t>
  </si>
  <si>
    <t>P25B00256</t>
  </si>
  <si>
    <t>11/3/2025 8:47:36 PM</t>
  </si>
  <si>
    <t>InBurnin</t>
  </si>
  <si>
    <t>P25B03385</t>
  </si>
  <si>
    <t>11/26/2025 1:46:23 AM</t>
  </si>
  <si>
    <t>RACK SN SR021119258145 Cable Cartridge L11 FD Test [FAIL] COMPUTE_NODE_2 Error while invoking api /redfish/v1/Chassis/CBC_2. Error message</t>
  </si>
  <si>
    <t>Error Date</t>
    <phoneticPr fontId="7" type="noConversion"/>
  </si>
  <si>
    <t>P25C01564</t>
  </si>
  <si>
    <t>12/8/2025 9:54:40 PM</t>
  </si>
  <si>
    <t>unable to power on in the BMC log SEL</t>
  </si>
  <si>
    <t>A964512X5C03205</t>
  </si>
  <si>
    <t>P25C01657</t>
  </si>
  <si>
    <t>12/9/2025 9:43:55 AM</t>
  </si>
  <si>
    <t>SR021204253094</t>
  </si>
  <si>
    <t>12/9/2025</t>
  </si>
  <si>
    <t>NVLink 有少</t>
  </si>
  <si>
    <t>P25C01658</t>
  </si>
  <si>
    <t>12/9/2025 9:49:14 AM</t>
  </si>
  <si>
    <t>CC0 LINK_none FAIL</t>
  </si>
  <si>
    <t>P25C01677</t>
  </si>
  <si>
    <t>12/9/2025 12:14:06 PM</t>
  </si>
  <si>
    <t>SR021206256931</t>
  </si>
  <si>
    <t>link_none</t>
  </si>
  <si>
    <t>A964512X5C02159</t>
  </si>
  <si>
    <t>A964512X5C00769</t>
  </si>
  <si>
    <t>P25C01679</t>
  </si>
  <si>
    <t>12/9/2025 12:16:41 PM</t>
  </si>
  <si>
    <t>SR021206255174</t>
  </si>
  <si>
    <t>link_bad_quality</t>
  </si>
  <si>
    <t>A964512X5C01550</t>
  </si>
  <si>
    <t>P25C01698</t>
  </si>
  <si>
    <t>12/9/2025 1:12:53 PM</t>
  </si>
  <si>
    <t>A964512X5C01118</t>
  </si>
  <si>
    <t>A964512X5C00784</t>
  </si>
  <si>
    <t>P25C01735</t>
  </si>
  <si>
    <t>12/9/2025 5:29:35 PM</t>
  </si>
  <si>
    <t>SR021206252647</t>
  </si>
  <si>
    <t>RK118</t>
  </si>
  <si>
    <t>L11 NVRM invalid state or config</t>
  </si>
  <si>
    <t>A968459X5B15596</t>
  </si>
  <si>
    <t>A968459X5B08500</t>
  </si>
  <si>
    <t>SR021206255359</t>
  </si>
  <si>
    <t>P25C01745</t>
  </si>
  <si>
    <t>12/9/2025 6:37:59 PM</t>
  </si>
  <si>
    <t>SR021208259178</t>
  </si>
  <si>
    <t>A964512X5C01772</t>
  </si>
  <si>
    <t>P25C01774</t>
  </si>
  <si>
    <t>12/9/2025 10:41:01 PM</t>
  </si>
  <si>
    <t>SR021203254977</t>
  </si>
  <si>
    <t>A964512X5C02796</t>
  </si>
  <si>
    <t>P25C01781</t>
  </si>
  <si>
    <t>12/9/2025 11:39:55 PM</t>
  </si>
  <si>
    <t>SR021208251459</t>
  </si>
  <si>
    <t>http://10.160.100.12/logs/Mistral/2025/December/SR021208251459/09/R-BURN/A964512X5C01676/905A0832D589/gb300_compute_nvidia_L11_field_diag_summary.log</t>
  </si>
  <si>
    <t>A964512X5C02790</t>
  </si>
  <si>
    <t>P25C01783</t>
  </si>
  <si>
    <t>12/10/2025 12:19:33 AM</t>
  </si>
  <si>
    <t>SR021203256832</t>
  </si>
  <si>
    <t>12/10/2025</t>
  </si>
  <si>
    <t>L11 Cable cartridge Defect BENT PIN</t>
  </si>
  <si>
    <t>lost one E.1s info</t>
  </si>
  <si>
    <t>A964512X5C02800</t>
  </si>
  <si>
    <t>P25C01785</t>
  </si>
  <si>
    <t>12/10/2025 12:34:55 AM</t>
  </si>
  <si>
    <t>P25C01835</t>
  </si>
  <si>
    <t>12/10/2025 1:03:50 PM</t>
  </si>
  <si>
    <t>SR021204254925</t>
  </si>
  <si>
    <t>NVL Switch L11 FD Test [RETEST] Rack0_SW5_acp104,CC3_C7_Lane_11_驗證中 先不做更換</t>
  </si>
  <si>
    <t>MT25426014BH</t>
  </si>
  <si>
    <t>P25C01848</t>
  </si>
  <si>
    <t>12/10/2025 9:50:30 AM</t>
  </si>
  <si>
    <t>only 71NVlink</t>
  </si>
  <si>
    <t>A968459X5C01442</t>
  </si>
  <si>
    <t>P25C01850</t>
  </si>
  <si>
    <t>12/10/2025 9:52:46 AM</t>
  </si>
  <si>
    <t>Liquid cooling device has leakage</t>
  </si>
  <si>
    <t>A964512X5C00782</t>
  </si>
  <si>
    <t>P25C01852</t>
  </si>
  <si>
    <t>12/10/2025 9:57:22 AM</t>
  </si>
  <si>
    <t>Failed to get cable cartridge1 eeprom</t>
  </si>
  <si>
    <t>MT2541601ZJA</t>
  </si>
  <si>
    <t>MT25306031AA</t>
  </si>
  <si>
    <t>P25C01853</t>
  </si>
  <si>
    <t>12/10/2025 10:00:38 AM</t>
  </si>
  <si>
    <t>Rack0_SW8_acp116 CC3_C10_Lane_17_更換大電_TW640</t>
  </si>
  <si>
    <t>P25C01868</t>
  </si>
  <si>
    <t>12/10/2025 4:21:34 PM</t>
  </si>
  <si>
    <t>P25C01869</t>
  </si>
  <si>
    <t>SR021204252430</t>
  </si>
  <si>
    <t>L11 TEST:CC1 FAIL</t>
  </si>
  <si>
    <t>P25C01878</t>
  </si>
  <si>
    <t>12/10/2025 1:45:34 PM</t>
  </si>
  <si>
    <t>SR021208252014</t>
  </si>
  <si>
    <t>Power Shelf #8 Information Check fail_PM894_協助過帳</t>
  </si>
  <si>
    <t>DGPST254401DM</t>
  </si>
  <si>
    <t>DGPST254401AY</t>
  </si>
  <si>
    <t>A964512X5C01545</t>
    <phoneticPr fontId="7" type="noConversion"/>
  </si>
  <si>
    <t>A964512X5C01724</t>
    <phoneticPr fontId="7" type="noConversion"/>
  </si>
  <si>
    <t>A964512X5C01410</t>
    <phoneticPr fontId="7" type="noConversion"/>
  </si>
  <si>
    <t>A964512X5C01042</t>
    <phoneticPr fontId="7" type="noConversion"/>
  </si>
  <si>
    <t>A968459X5B16084</t>
    <phoneticPr fontId="7" type="noConversion"/>
  </si>
  <si>
    <t>A964512X5C01050</t>
    <phoneticPr fontId="7" type="noConversion"/>
  </si>
  <si>
    <t>P25C01959</t>
  </si>
  <si>
    <t>12/10/2025 7:45:09 PM</t>
  </si>
  <si>
    <t>SR021208253244</t>
  </si>
  <si>
    <t>A968459X5B13042</t>
  </si>
  <si>
    <t>P25C01967</t>
  </si>
  <si>
    <t>12/10/2025 8:29:00 PM</t>
  </si>
  <si>
    <t>SR021208254316</t>
  </si>
  <si>
    <t>power led no light</t>
  </si>
  <si>
    <t>A964512X5C01734</t>
  </si>
  <si>
    <t>P25C01969</t>
  </si>
  <si>
    <t>12/10/2025 8:33:06 PM</t>
  </si>
  <si>
    <t>SR021208254498</t>
  </si>
  <si>
    <t>MT2541600GN4</t>
  </si>
  <si>
    <t>MT25306031AB</t>
  </si>
  <si>
    <t>P25C01970</t>
  </si>
  <si>
    <t>12/10/2025 8:34:23 PM</t>
  </si>
  <si>
    <t>SR021208251063</t>
  </si>
  <si>
    <t>A964512X5C02762</t>
  </si>
  <si>
    <t>P25C01974</t>
  </si>
  <si>
    <t>12/10/2025 8:45:15 PM</t>
  </si>
  <si>
    <t>A968459X5C02916</t>
  </si>
  <si>
    <t>P25C01990</t>
  </si>
  <si>
    <t>12/10/2025 9:48:52 PM</t>
  </si>
  <si>
    <t>SR021208255761</t>
  </si>
  <si>
    <t>Power Shelf Defective update fail</t>
  </si>
  <si>
    <t>DGPSU254301DF</t>
  </si>
  <si>
    <t>SNDGPSU2543018N</t>
  </si>
  <si>
    <t>12/11/2025</t>
  </si>
  <si>
    <t>P25C02005</t>
  </si>
  <si>
    <t>12/11/2025 12:34:01 AM</t>
  </si>
  <si>
    <t>A968459X5C02958</t>
  </si>
  <si>
    <t>P25C02029</t>
  </si>
  <si>
    <t>12/11/2025 1:25:48 AM</t>
  </si>
  <si>
    <t>SR021208253433</t>
  </si>
  <si>
    <t>A964512X5C02638</t>
  </si>
  <si>
    <t>P25C02033</t>
  </si>
  <si>
    <t>12/11/2025 2:06:26 AM</t>
  </si>
  <si>
    <t>SR021208255390</t>
  </si>
  <si>
    <t>P25C02066</t>
  </si>
  <si>
    <t>12/11/2025 10:25:40 AM</t>
  </si>
  <si>
    <t>L11 Test: nvlswitch fail_PM1120_協助過帳</t>
  </si>
  <si>
    <t>MT25336008G2</t>
  </si>
  <si>
    <t>P25C02067</t>
  </si>
  <si>
    <t>CC2 C17位置BENT PIN</t>
  </si>
  <si>
    <t>P25C02072</t>
  </si>
  <si>
    <t>12/11/2025 11:44:22 AM</t>
  </si>
  <si>
    <t>SR021208257652</t>
  </si>
  <si>
    <t>PowerShelf 無法更新換殼</t>
  </si>
  <si>
    <t>DGPSU25430168</t>
  </si>
  <si>
    <t>DGPSU254300JA</t>
  </si>
  <si>
    <t>P25C02075</t>
  </si>
  <si>
    <t>12/11/2025 11:47:31 AM</t>
  </si>
  <si>
    <t>SR021208252335</t>
  </si>
  <si>
    <t>CC0 ISSUE please verify link_none</t>
  </si>
  <si>
    <t>P25C02081</t>
  </si>
  <si>
    <t>12/11/2025 12:23:25 PM</t>
  </si>
  <si>
    <t>SR021208258138</t>
  </si>
  <si>
    <t>燈號異常不會亮</t>
  </si>
  <si>
    <t>614MP1RBX03X15401B8</t>
  </si>
  <si>
    <t>614MP1RBX03X15401CD</t>
  </si>
  <si>
    <t>Packing</t>
  </si>
  <si>
    <t>P25C02090</t>
  </si>
  <si>
    <t>12/11/2025 1:06:55 PM</t>
  </si>
  <si>
    <t>SR021206254307</t>
  </si>
  <si>
    <t>L11 Test : powershelf update fail_PM894_協助過帳</t>
  </si>
  <si>
    <t>SV25440605</t>
  </si>
  <si>
    <t>SV25383437</t>
  </si>
  <si>
    <t>P25C02097</t>
  </si>
  <si>
    <t>L11 Test:CC0 test fail</t>
  </si>
  <si>
    <t>P25C02112</t>
  </si>
  <si>
    <t>P25C02124</t>
  </si>
  <si>
    <t>12/11/2025 2:59:29 PM</t>
  </si>
  <si>
    <t>A968459X5B15996</t>
  </si>
  <si>
    <t>12/10/2025 4:45:36 PM</t>
  </si>
  <si>
    <t>A968459X5C00403</t>
    <phoneticPr fontId="7" type="noConversion"/>
  </si>
  <si>
    <t>A964512X5C01777</t>
    <phoneticPr fontId="7" type="noConversion"/>
  </si>
  <si>
    <t>A964512X5C00583</t>
    <phoneticPr fontId="7" type="noConversion"/>
  </si>
  <si>
    <t>A968459X5B16028</t>
    <phoneticPr fontId="7" type="noConversion"/>
  </si>
  <si>
    <t>A968459X5B16027</t>
    <phoneticPr fontId="7" type="noConversion"/>
  </si>
  <si>
    <t>A964512X5C01218</t>
    <phoneticPr fontId="7" type="noConversion"/>
  </si>
  <si>
    <t>A968459X5C00232</t>
    <phoneticPr fontId="7" type="noConversion"/>
  </si>
  <si>
    <t>前面板NVLINK不亮</t>
    <phoneticPr fontId="7" type="noConversion"/>
  </si>
  <si>
    <t>12/11/2025 8:52:43 PM</t>
  </si>
  <si>
    <t>12/11/2025 8:45:28 PM</t>
  </si>
  <si>
    <t>12/11/2025 8:44:09 PM</t>
  </si>
  <si>
    <t>Rack0_SW0_acp69,CC0_C17_Lane_0, link_none.SR021208253244-main A968459X5B08335</t>
  </si>
  <si>
    <t>P25C02158</t>
  </si>
  <si>
    <t>12/11/2025 7:41:25 PM</t>
  </si>
  <si>
    <t>SR021208253936</t>
  </si>
  <si>
    <t>BMC EventLog: The health of resource `Chassis_0_LeakDetector_0_Manifold` has changed to Open</t>
  </si>
  <si>
    <t>A968459X5C02978</t>
  </si>
  <si>
    <t>P25C02164</t>
  </si>
  <si>
    <t>12/11/2025 10:04:15 PM</t>
  </si>
  <si>
    <t>SR021206259503</t>
  </si>
  <si>
    <t>unable to power on fail to the BMC log SEL</t>
  </si>
  <si>
    <t>A968459X5C04300</t>
  </si>
  <si>
    <t>P25C02166</t>
  </si>
  <si>
    <t>12/11/2025 9:17:29 PM</t>
  </si>
  <si>
    <t>SR021206252079</t>
  </si>
  <si>
    <t>UNABLE TO UPDATE</t>
  </si>
  <si>
    <t>DGPST2544024Q</t>
  </si>
  <si>
    <t>P25C02173</t>
  </si>
  <si>
    <t>12/12/2025 3:23:12 PM</t>
  </si>
  <si>
    <t>CBC_1.ERROR message</t>
  </si>
  <si>
    <t>A968459X5C03631</t>
  </si>
  <si>
    <t>P25C02253</t>
  </si>
  <si>
    <t>12/12/2025 9:26:35 AM</t>
  </si>
  <si>
    <t>12/12/2025</t>
  </si>
  <si>
    <t>A968459X5B08118</t>
  </si>
  <si>
    <t>SR021208253677</t>
  </si>
  <si>
    <t>Cable cartridge Defect_大電導致RBURN TEST FAIL(已排除SERVER和NVSWITCH問題)</t>
  </si>
  <si>
    <t>P25C02277</t>
  </si>
  <si>
    <t>12/12/2025 12:26:21 PM</t>
  </si>
  <si>
    <t>SR021206257383</t>
  </si>
  <si>
    <t>無法開機</t>
  </si>
  <si>
    <t>A968459X5C02968</t>
  </si>
  <si>
    <t>P25C02284</t>
  </si>
  <si>
    <t>12/12/2025 12:30:11 PM</t>
  </si>
  <si>
    <t>A968459X5C03018</t>
  </si>
  <si>
    <t>P25C02316</t>
  </si>
  <si>
    <t>12/12/2025 3:16:53 PM</t>
  </si>
  <si>
    <t>MT254460291Q</t>
  </si>
  <si>
    <t>MT25426014BU</t>
  </si>
  <si>
    <t>P25C02321</t>
  </si>
  <si>
    <t>12/12/2025 3:26:31 PM</t>
  </si>
  <si>
    <t>A968459X5C00323</t>
  </si>
  <si>
    <t>A968459X5C02317</t>
    <phoneticPr fontId="7" type="noConversion"/>
  </si>
  <si>
    <t>A968459X5C03118</t>
    <phoneticPr fontId="7" type="noConversion"/>
  </si>
  <si>
    <t>A968459X5B14345</t>
    <phoneticPr fontId="7" type="noConversion"/>
  </si>
  <si>
    <t>A968459X5C01442</t>
    <phoneticPr fontId="7" type="noConversion"/>
  </si>
  <si>
    <t>A968459X5B09539</t>
    <phoneticPr fontId="7" type="noConversion"/>
  </si>
  <si>
    <t>A968459X5B08118</t>
    <phoneticPr fontId="7" type="noConversion"/>
  </si>
  <si>
    <t>A968459X5B01058</t>
    <phoneticPr fontId="7" type="noConversion"/>
  </si>
  <si>
    <t>P25C02333</t>
  </si>
  <si>
    <t>12/12/2025 5:12:21 PM</t>
  </si>
  <si>
    <t>SR021210258843</t>
  </si>
  <si>
    <t>NVLSWITCH NO POWER</t>
  </si>
  <si>
    <t>MT25456005KB</t>
  </si>
  <si>
    <t>MT25336008G3</t>
  </si>
  <si>
    <t>P25C02339</t>
  </si>
  <si>
    <t>12/12/2025 5:36:50 PM</t>
  </si>
  <si>
    <t>SR021206252067</t>
  </si>
  <si>
    <t>A leak was detected by the sensor Cha0LeaDete0Mani on the cold plates</t>
  </si>
  <si>
    <t>A968459X5C02913</t>
  </si>
  <si>
    <t>GB200 IPMI no response/ no IP detected</t>
  </si>
  <si>
    <t>P25C02357</t>
  </si>
  <si>
    <t>12/12/2025 7:53:42 PM</t>
  </si>
  <si>
    <t>SR021210256070</t>
  </si>
  <si>
    <t>bent pin</t>
  </si>
  <si>
    <t>P25C02363</t>
  </si>
  <si>
    <t>12/12/2025 9:07:36 PM</t>
  </si>
  <si>
    <t>SR021208251596</t>
  </si>
  <si>
    <t>P25C02364</t>
  </si>
  <si>
    <t>12/12/2025 9:10:34 PM</t>
  </si>
  <si>
    <t>P25C02366</t>
  </si>
  <si>
    <t>12/12/2025 10:15:46 PM</t>
  </si>
  <si>
    <t>SR021210251046</t>
  </si>
  <si>
    <t>Unable to detect PSU</t>
  </si>
  <si>
    <t>DGPSU254301E1</t>
  </si>
  <si>
    <t>THASP254700PD</t>
  </si>
  <si>
    <t>P25C02400</t>
  </si>
  <si>
    <t>12/12/2025 11:38:12 PM</t>
  </si>
  <si>
    <t>BMC IP not responding</t>
  </si>
  <si>
    <t>A968459X5C04277</t>
  </si>
  <si>
    <t>A968459X5B11697</t>
  </si>
  <si>
    <t>P25C02408</t>
  </si>
  <si>
    <t>12/13/2025 12:27:24 AM</t>
  </si>
  <si>
    <t>SR021210255064</t>
  </si>
  <si>
    <t>12/13/2025</t>
  </si>
  <si>
    <t>L11 Rack0_SW8_acp42,CC1_C10_Lane_16, link_none</t>
  </si>
  <si>
    <t>P25C02423</t>
  </si>
  <si>
    <t>12/13/2025 8:25:55 AM</t>
  </si>
  <si>
    <t>SR021208255508</t>
  </si>
  <si>
    <t>switch_tray Rack0_SW5_acp76 CC3_C0_Lane_11 link_bad_quality_high_ber</t>
  </si>
  <si>
    <t>MT2541605Y4H</t>
  </si>
  <si>
    <t>MT25426014EY</t>
  </si>
  <si>
    <t>P25C02424</t>
  </si>
  <si>
    <t>12/13/2025 8:27:49 AM</t>
  </si>
  <si>
    <t>SR021206251050</t>
  </si>
  <si>
    <t>Power Shelf 更新FAIL_更換_TW640</t>
  </si>
  <si>
    <t>DGPSU25430153</t>
  </si>
  <si>
    <t>DGPSU254300HJ</t>
  </si>
  <si>
    <t>P25C02425</t>
  </si>
  <si>
    <t>12/13/2025 8:28:00 AM</t>
  </si>
  <si>
    <t>Rack0_SW0_acp55,CC2_C13_Lane_0, link_none,0</t>
  </si>
  <si>
    <t>MT2541604JCW</t>
  </si>
  <si>
    <t>MT25426014FX</t>
  </si>
  <si>
    <t>P25C02429</t>
  </si>
  <si>
    <t>12/13/2025 9:04:06 AM</t>
  </si>
  <si>
    <t>SR021210254666</t>
  </si>
  <si>
    <t>DGPSU2543019B</t>
  </si>
  <si>
    <t>DGPSU254300WB</t>
  </si>
  <si>
    <t>P25C02469</t>
  </si>
  <si>
    <t>12/13/2025 3:12:55 PM</t>
  </si>
  <si>
    <t>P25C02586</t>
  </si>
  <si>
    <t>12/14/2025 3:05:59 PM</t>
  </si>
  <si>
    <t>SR021206258123</t>
  </si>
  <si>
    <t>12/14/2025</t>
  </si>
  <si>
    <t>A968459X5C02976</t>
  </si>
  <si>
    <t>P25C02588</t>
  </si>
  <si>
    <t>12/14/2025 3:17:38 PM</t>
  </si>
  <si>
    <t>SR021213254555</t>
  </si>
  <si>
    <t>A968459X5B12457</t>
    <phoneticPr fontId="7" type="noConversion"/>
  </si>
  <si>
    <t>A968459X5B16680</t>
    <phoneticPr fontId="7" type="noConversion"/>
  </si>
  <si>
    <t>A968459X5C04470</t>
    <phoneticPr fontId="7" type="noConversion"/>
  </si>
  <si>
    <t>P25C02258</t>
    <phoneticPr fontId="7" type="noConversion"/>
  </si>
  <si>
    <t>P25C02591</t>
  </si>
  <si>
    <t>12/15/2025 10:30:36 AM</t>
  </si>
  <si>
    <t>SR021213254914</t>
  </si>
  <si>
    <t>A968459X5C05984</t>
  </si>
  <si>
    <t>SR021210257663</t>
  </si>
  <si>
    <t>P25C02598</t>
  </si>
  <si>
    <t>12/14/2025 5:15:02 PM</t>
  </si>
  <si>
    <t>The requested resource of type Chassis named 'CBC_1' was not found.</t>
  </si>
  <si>
    <t>A968459X5C00289</t>
  </si>
  <si>
    <t>P25C02615</t>
  </si>
  <si>
    <t>12/14/2025 5:36:48 PM</t>
  </si>
  <si>
    <t>RK116</t>
  </si>
  <si>
    <t>L11 GB200 STREAM Memory Test fail</t>
  </si>
  <si>
    <t>A968459X5C06003</t>
  </si>
  <si>
    <t>P25C02627</t>
  </si>
  <si>
    <t>12/14/2025 6:09:44 PM</t>
  </si>
  <si>
    <t>SR021212257663</t>
  </si>
  <si>
    <t>L11 Control panel switch failure (power/reset button/LED) (前控制面板開關不良)</t>
  </si>
  <si>
    <t>A968459X5B08156</t>
  </si>
  <si>
    <t>P25C02629</t>
  </si>
  <si>
    <t>12/14/2025 6:34:38 PM</t>
  </si>
  <si>
    <t>SR021206252274</t>
  </si>
  <si>
    <t>DGPST254401JK</t>
  </si>
  <si>
    <t>DGPST254401B1</t>
  </si>
  <si>
    <t>P25C02635</t>
  </si>
  <si>
    <t>12/14/2025 8:16:02 PM</t>
  </si>
  <si>
    <t>SR021206254673</t>
  </si>
  <si>
    <t>P25C02643</t>
  </si>
  <si>
    <t>12/14/2025 8:27:41 PM</t>
  </si>
  <si>
    <t>Weak power led</t>
  </si>
  <si>
    <t>A968459X5C03042</t>
  </si>
  <si>
    <t>P25C02645</t>
  </si>
  <si>
    <t>12/14/2025 8:32:00 PM</t>
  </si>
  <si>
    <t>HMC board failure - PCIeSwitch=01300524 does not match other units.</t>
  </si>
  <si>
    <t>A968459X5C03593</t>
  </si>
  <si>
    <t>P25C02650</t>
  </si>
  <si>
    <t>12/14/2025 8:43:42 PM</t>
  </si>
  <si>
    <t>missing one GPU expected 4 only 3 GPU</t>
  </si>
  <si>
    <t>A968459X5C03044</t>
  </si>
  <si>
    <t>P25C02661</t>
  </si>
  <si>
    <t>12/14/2025 10:20:38 PM</t>
  </si>
  <si>
    <t>SR021206251659</t>
  </si>
  <si>
    <t>Acceptable temperature limits exceeded or the thermal sensor is broken or miscalibrated @(Rack slot 8, CBC 2, 4x19 connector 2</t>
  </si>
  <si>
    <t>A968459X5C03043</t>
  </si>
  <si>
    <t>P25C02671</t>
  </si>
  <si>
    <t>12/14/2025 10:46:41 PM</t>
  </si>
  <si>
    <t>SR021213255502</t>
  </si>
  <si>
    <t>A968459X5C07042</t>
  </si>
  <si>
    <t>P25C02712</t>
  </si>
  <si>
    <t>12/15/2025 9:11:41 AM</t>
  </si>
  <si>
    <t>12/15/2025</t>
  </si>
  <si>
    <t>A968459X5B16326</t>
  </si>
  <si>
    <t>P25C02717</t>
  </si>
  <si>
    <t>12/15/2025 9:16:02 AM</t>
  </si>
  <si>
    <t>comp_tray Rack0_SW5_acp81 CC0_C2_Lane_11 link_bad_quality_high_ber</t>
  </si>
  <si>
    <t>A964512X5B11914</t>
  </si>
  <si>
    <t>P25C02730</t>
  </si>
  <si>
    <t>12/15/2025 10:37:33 AM</t>
  </si>
  <si>
    <t>A968459X5C07073</t>
  </si>
  <si>
    <t>P25C02750</t>
  </si>
  <si>
    <t>12/15/2025 12:50:32 PM</t>
  </si>
  <si>
    <t>Rack0_批量SW_acp41 CC0_C10_Lane_6 固定CC0_更換_TW640</t>
  </si>
  <si>
    <t>P25C02752</t>
  </si>
  <si>
    <t>12/15/2025 1:06:32 PM</t>
  </si>
  <si>
    <t>CC0_C2_Lane_6, link_none,0, 0, sudo mlxlink -d /dev/mst/mt54004_pci_cr0 -p 3/1/1 -c --rx_fec_histogram --show_histogram -json</t>
  </si>
  <si>
    <t>A968459X5C05504</t>
    <phoneticPr fontId="7" type="noConversion"/>
  </si>
  <si>
    <t>A968459X5B10489</t>
    <phoneticPr fontId="7" type="noConversion"/>
  </si>
  <si>
    <t>A968459X5B13042</t>
    <phoneticPr fontId="7" type="noConversion"/>
  </si>
  <si>
    <t>A968459X5C03536</t>
    <phoneticPr fontId="7" type="noConversion"/>
  </si>
  <si>
    <t>A968459X5B14174</t>
    <phoneticPr fontId="7" type="noConversion"/>
  </si>
  <si>
    <t>A968459X5B07145</t>
    <phoneticPr fontId="7" type="noConversion"/>
  </si>
  <si>
    <t>A968459X5B03988</t>
    <phoneticPr fontId="7" type="noConversion"/>
  </si>
  <si>
    <t>A968459X5B13331</t>
    <phoneticPr fontId="7" type="noConversion"/>
  </si>
  <si>
    <t>A968459X5C04476</t>
    <phoneticPr fontId="7" type="noConversion"/>
  </si>
  <si>
    <t>A968459X5B13334</t>
    <phoneticPr fontId="7" type="noConversion"/>
  </si>
  <si>
    <t>GPU少偵測一個</t>
    <phoneticPr fontId="7" type="noConversion"/>
  </si>
  <si>
    <t>A964512X5C01702</t>
    <phoneticPr fontId="7" type="noConversion"/>
  </si>
  <si>
    <t>A968459X5C05453</t>
    <phoneticPr fontId="7" type="noConversion"/>
  </si>
  <si>
    <t>10.10.124.11 only 54 NVLink status shows A968459X5C05453 hardware was not initialized COMPUTE_NODE_0_更換單機_TW640</t>
    <phoneticPr fontId="7" type="noConversion"/>
  </si>
  <si>
    <t>12/14/2025 11:49:24 PM</t>
    <phoneticPr fontId="7" type="noConversion"/>
  </si>
  <si>
    <t>P25C02800</t>
  </si>
  <si>
    <t>12/15/2025 5:44:29 PM</t>
  </si>
  <si>
    <t>L11 Cable cartridge Defect Rack0_SW7_acp3,CC2_C0_Lane_14, link_none</t>
  </si>
  <si>
    <t>P25C02806</t>
  </si>
  <si>
    <t>12/15/2025 6:10:28 PM</t>
  </si>
  <si>
    <t>A968459X5B14738</t>
  </si>
  <si>
    <t>P25C02810</t>
  </si>
  <si>
    <t>12/15/2025 6:28:01 PM</t>
  </si>
  <si>
    <t>SR021206253796</t>
  </si>
  <si>
    <t>The leak sensor Ch0LeaDet0ColPla reading 1.87V shows a leak sensor disconnected from Bianca board connector</t>
  </si>
  <si>
    <t>A968459X5C03160</t>
  </si>
  <si>
    <t>P25C02819</t>
  </si>
  <si>
    <t>12/15/2025 8:21:55 PM</t>
  </si>
  <si>
    <t>SR021212259493</t>
  </si>
  <si>
    <t>L11 NVLINK Switch Functional Issue( Cannot Update)</t>
  </si>
  <si>
    <t>MT2542602DQJ</t>
  </si>
  <si>
    <t>MT253360075N</t>
  </si>
  <si>
    <t>P25C02820</t>
  </si>
  <si>
    <t>12/15/2025 8:25:21 PM</t>
  </si>
  <si>
    <t>54 NVLink status A968459X5B16877</t>
  </si>
  <si>
    <t>A968459X5B16015</t>
  </si>
  <si>
    <t>P25C02824</t>
  </si>
  <si>
    <t>12/15/2025 9:01:35 PM</t>
  </si>
  <si>
    <t>A968459X5B15990</t>
  </si>
  <si>
    <t>P25C02825</t>
  </si>
  <si>
    <t>12/15/2025 9:12:43 PM</t>
  </si>
  <si>
    <t>Nvlink is 72 but fabric is not ready</t>
  </si>
  <si>
    <t>A968459X5B11400</t>
  </si>
  <si>
    <t>P25C02826</t>
  </si>
  <si>
    <t>12/15/2025 9:22:25 PM</t>
  </si>
  <si>
    <t>SR021212253517</t>
  </si>
  <si>
    <t>SLOT12 bent pin</t>
  </si>
  <si>
    <t>P25C02829</t>
  </si>
  <si>
    <t>12/15/2025 9:27:36 PM</t>
  </si>
  <si>
    <t>SR021213254941</t>
  </si>
  <si>
    <t>P25C02846</t>
  </si>
  <si>
    <t>12/15/2025 10:29:00 PM</t>
  </si>
  <si>
    <t>P25C02847</t>
  </si>
  <si>
    <t>12/15/2025 10:31:00 PM</t>
  </si>
  <si>
    <t>A968459X5B14942</t>
  </si>
  <si>
    <t>SR021212258466</t>
  </si>
  <si>
    <t>A968459X5C04429</t>
  </si>
  <si>
    <t>P25C02853</t>
  </si>
  <si>
    <t>12/15/2025 11:06:54 PM</t>
  </si>
  <si>
    <t>SR021212254272</t>
  </si>
  <si>
    <t>NO LED LIGHT ON POWER BUTTON</t>
  </si>
  <si>
    <t>A968459X5B11739</t>
  </si>
  <si>
    <t>P25C02863</t>
  </si>
  <si>
    <t>12/15/2025 11:25:39 PM</t>
  </si>
  <si>
    <t>MT25426014GT</t>
  </si>
  <si>
    <t>12/16/2025</t>
  </si>
  <si>
    <t>P25C02872</t>
  </si>
  <si>
    <t>12/16/2025 12:54:57 AM</t>
  </si>
  <si>
    <t>SR021212253701</t>
  </si>
  <si>
    <t>RK202 GB200 L11 Compute Node Information Consistent Check fail</t>
  </si>
  <si>
    <t>A968459X5C05606</t>
  </si>
  <si>
    <t>P25C02979</t>
  </si>
  <si>
    <t>12/16/2025 9:48:36 AM</t>
  </si>
  <si>
    <t>COMPUTE_NODE_5 | MODS-020000624139 | ThermalSteadyState | powersync (Rack slot 6, CBC 3, 4x19 connector 3)</t>
  </si>
  <si>
    <t>A968459X5A09435</t>
  </si>
  <si>
    <t>P25C02991</t>
  </si>
  <si>
    <t>12/16/2025 10:12:25 AM</t>
  </si>
  <si>
    <t>GPU DMI system chassis number空白</t>
  </si>
  <si>
    <t>A968459X5C02414</t>
  </si>
  <si>
    <t>P25C03053</t>
  </si>
  <si>
    <t>12/16/2025 2:57:31 PM</t>
  </si>
  <si>
    <t>SR021216255141</t>
  </si>
  <si>
    <t>Power Shelf BMC LED燈號異常恆亮_更換_TW640</t>
  </si>
  <si>
    <t>SV25383781</t>
  </si>
  <si>
    <t>T525451025</t>
  </si>
  <si>
    <t>P25C03070</t>
  </si>
  <si>
    <t>12/16/2025 4:26:20 PM</t>
  </si>
  <si>
    <t>L11 Cable cartridge Defect</t>
  </si>
  <si>
    <t>P25C03071</t>
  </si>
  <si>
    <t>12/16/2025 4:30:43 PM</t>
  </si>
  <si>
    <t>SR021212256772</t>
  </si>
  <si>
    <t>P25C03079</t>
  </si>
  <si>
    <t>12/16/2025 5:37:26 PM</t>
  </si>
  <si>
    <t>SR021212258916</t>
  </si>
  <si>
    <t>GB200 IPMI no response/ no IP detected - Unable to detect on real-time</t>
  </si>
  <si>
    <t>A968459X5C07092</t>
  </si>
  <si>
    <t>P25C03084</t>
  </si>
  <si>
    <t>12/16/2025 5:48:18 PM</t>
  </si>
  <si>
    <t>SR021212256961</t>
  </si>
  <si>
    <t>P25C03099</t>
  </si>
  <si>
    <t>12/16/2025 6:04:07 PM</t>
  </si>
  <si>
    <t>SR021212259159</t>
  </si>
  <si>
    <t>L11 BENT PIN</t>
  </si>
  <si>
    <t>P25C03100</t>
  </si>
  <si>
    <t>12/16/2025 6:05:07 PM</t>
  </si>
  <si>
    <t>P25C03120</t>
  </si>
  <si>
    <t>12/16/2025 7:56:11 PM</t>
  </si>
  <si>
    <t>compute failed diag failed Rack slot 9 CBC 3 8x10 connector 6</t>
  </si>
  <si>
    <t>MT25436010R5</t>
  </si>
  <si>
    <t>MT2541603UNP</t>
  </si>
  <si>
    <t>P25C03121</t>
  </si>
  <si>
    <t>12/16/2025 8:09:48 PM</t>
  </si>
  <si>
    <t>P25C03122</t>
  </si>
  <si>
    <t>12/16/2025 8:13:18 PM</t>
  </si>
  <si>
    <t>GB200 L11 Compute Tray Nvidia Field Diag Test fail - CC3 link none</t>
  </si>
  <si>
    <t>A968459X5C02449</t>
  </si>
  <si>
    <t>P25C03124</t>
  </si>
  <si>
    <t>12/16/2025 8:23:04 PM</t>
  </si>
  <si>
    <t>alied to executed command:</t>
  </si>
  <si>
    <t>MT2542602XUT</t>
  </si>
  <si>
    <t>A968459X5C04319</t>
    <phoneticPr fontId="7" type="noConversion"/>
  </si>
  <si>
    <t>A968459X5C03596</t>
    <phoneticPr fontId="7" type="noConversion"/>
  </si>
  <si>
    <t>A968459X5B16877</t>
    <phoneticPr fontId="7" type="noConversion"/>
  </si>
  <si>
    <t>A968459X5C03640</t>
    <phoneticPr fontId="7" type="noConversion"/>
  </si>
  <si>
    <t>A968459X5B09632</t>
    <phoneticPr fontId="7" type="noConversion"/>
  </si>
  <si>
    <t>A968459X5B16723</t>
    <phoneticPr fontId="7" type="noConversion"/>
  </si>
  <si>
    <t>A968459X5C01482</t>
    <phoneticPr fontId="7" type="noConversion"/>
  </si>
  <si>
    <t>A968459X5C06004</t>
    <phoneticPr fontId="7" type="noConversion"/>
  </si>
  <si>
    <t>A968459X5C05403</t>
    <phoneticPr fontId="7" type="noConversion"/>
  </si>
  <si>
    <t>A968459X5C00298</t>
    <phoneticPr fontId="7" type="noConversion"/>
  </si>
  <si>
    <t>A968459X5C03910</t>
    <phoneticPr fontId="7" type="noConversion"/>
  </si>
  <si>
    <t>A968459X5C03894</t>
    <phoneticPr fontId="7" type="noConversion"/>
  </si>
  <si>
    <t>A968459X5B08536</t>
    <phoneticPr fontId="7" type="noConversion"/>
  </si>
  <si>
    <t>SR021212254882</t>
  </si>
  <si>
    <t>P25C03164</t>
  </si>
  <si>
    <t>12/17/2025 1:26:12 AM</t>
  </si>
  <si>
    <t>SR021216255370</t>
  </si>
  <si>
    <t>12/17/2025</t>
  </si>
  <si>
    <t>A968459X5C06175</t>
  </si>
  <si>
    <t>P25C03233</t>
  </si>
  <si>
    <t>12/17/2025 1:20:49 PM</t>
  </si>
  <si>
    <t>Rack0_SW0_acp71,CC2_C17_Lane_0, link_none</t>
  </si>
  <si>
    <t>P25C03234</t>
  </si>
  <si>
    <t>12/17/2025 2:37:23 PM</t>
  </si>
  <si>
    <t>SR021212254486</t>
  </si>
  <si>
    <t>Rack0_SW0_acp79 CC2_C1_Lane_1 link_none_PM894_協助過帳</t>
  </si>
  <si>
    <t>P25C03235</t>
  </si>
  <si>
    <t>12/17/2025 2:34:51 PM</t>
  </si>
  <si>
    <t>Rack0_SW1_acp50,CC1_C12_Lane_2, link_none_PM894_協助過帳</t>
  </si>
  <si>
    <t>P25C03236</t>
  </si>
  <si>
    <t>12/17/2025 2:35:43 PM</t>
  </si>
  <si>
    <t>SR021212259402</t>
  </si>
  <si>
    <t>Rack0_SW0_acp76,CC3_C0_Lane_1, link_none_PM894_協助過帳</t>
  </si>
  <si>
    <t>P25C03241</t>
  </si>
  <si>
    <t>12/17/2025 10:20:48 AM</t>
  </si>
  <si>
    <t>Rack0_SW7_acp22 CC1_C5_Lane_14 link_bad_quality_high_be</t>
  </si>
  <si>
    <t>P25C03243</t>
  </si>
  <si>
    <t>12/17/2025 10:24:31 AM</t>
  </si>
  <si>
    <t>GPU 少MAX Q</t>
  </si>
  <si>
    <t>A968459X5C04068</t>
  </si>
  <si>
    <t>P25C03246</t>
  </si>
  <si>
    <t>12/17/2025 10:48:56 AM</t>
  </si>
  <si>
    <t>SR021216252531</t>
  </si>
  <si>
    <t>RK010</t>
  </si>
  <si>
    <t>Switch Cosmetic Issue (Switch外觀不良) Bent Pin_更換_TW640</t>
  </si>
  <si>
    <t>MT2529605UMT</t>
  </si>
  <si>
    <t>MT2542602TRN</t>
  </si>
  <si>
    <t>P25C03253</t>
  </si>
  <si>
    <t>12/17/2025 12:06:15 PM</t>
  </si>
  <si>
    <t>Power Shelf 殼造成無法更新</t>
  </si>
  <si>
    <t>DGPSU2543017Z</t>
  </si>
  <si>
    <t>DGPSU254300WA</t>
  </si>
  <si>
    <t>P25C03266</t>
  </si>
  <si>
    <t>12/17/2025 12:49:04 PM</t>
  </si>
  <si>
    <t>SR021216258795</t>
  </si>
  <si>
    <t>Cable cartridge Defect_固定CC2位置 http://10.160.100.12/logs/xAI/2025/December/SR021216258795/17/R-BURN/A968459X5C06029/905A0832D205/Failure-Records-Full.txt</t>
  </si>
  <si>
    <t>P25C03274</t>
  </si>
  <si>
    <t>12/17/2025 1:30:31 PM</t>
  </si>
  <si>
    <t>L11 TEST FAIL(NVSwitch 0 nvlink 70 is in an unexpected state)_PM894_協助過帳</t>
  </si>
  <si>
    <t>MT2542602D89</t>
  </si>
  <si>
    <t>MT25336008GD</t>
  </si>
  <si>
    <t>P25C03275</t>
  </si>
  <si>
    <t>12/17/2025 1:38:31 PM</t>
  </si>
  <si>
    <t>SWITCH MAC NULL</t>
  </si>
  <si>
    <t>MT25406022RE</t>
  </si>
  <si>
    <t>MT25306028WA</t>
  </si>
  <si>
    <t>P25C03293</t>
  </si>
  <si>
    <t>12/17/2025 3:47:16 PM</t>
  </si>
  <si>
    <t>A968459X5C06177</t>
  </si>
  <si>
    <t>P25C03307</t>
  </si>
  <si>
    <t>12/17/2025 4:29:52 PM</t>
  </si>
  <si>
    <t>SR021216259077</t>
  </si>
  <si>
    <t>A968459X5C06393</t>
  </si>
  <si>
    <t>A968459X5C04126</t>
    <phoneticPr fontId="7" type="noConversion"/>
  </si>
  <si>
    <t>L11 Ethernet/infiniband SelfTest fail</t>
    <phoneticPr fontId="7" type="noConversion"/>
  </si>
  <si>
    <t>A968459X5B16283</t>
    <phoneticPr fontId="7" type="noConversion"/>
  </si>
  <si>
    <t>A968459X5C05529</t>
    <phoneticPr fontId="7" type="noConversion"/>
  </si>
  <si>
    <t>A968459X5C05624</t>
    <phoneticPr fontId="7" type="noConversion"/>
  </si>
  <si>
    <t>A968459X5C06031</t>
    <phoneticPr fontId="7" type="noConversion"/>
  </si>
  <si>
    <t>SR021216257430</t>
  </si>
  <si>
    <t>P25C03336</t>
  </si>
  <si>
    <t>12/17/2025 6:38:38 PM</t>
  </si>
  <si>
    <t>A968459X5C06392</t>
  </si>
  <si>
    <t>P25C03342</t>
  </si>
  <si>
    <t>12/17/2025 7:56:57 PM</t>
  </si>
  <si>
    <t>L11 Rack0_SW1_acp50 CC1_C12_Lane_2 link_none</t>
  </si>
  <si>
    <t>MT2530600HPT</t>
  </si>
  <si>
    <t>MT25286046WP</t>
  </si>
  <si>
    <t>P25C03343</t>
  </si>
  <si>
    <t>12/17/2025 8:06:49 PM</t>
  </si>
  <si>
    <t>Rack0_SW0_acp76,CC3_C0_Lane_1, link_none</t>
  </si>
  <si>
    <t>MT2528601H9G</t>
  </si>
  <si>
    <t>MT2532602JFU</t>
  </si>
  <si>
    <t>SR021217252159</t>
  </si>
  <si>
    <t>P25C03347</t>
  </si>
  <si>
    <t>12/17/2025 8:38:23 PM</t>
  </si>
  <si>
    <t>A964512X5C00760</t>
  </si>
  <si>
    <t>P25C03349</t>
  </si>
  <si>
    <t>12/17/2025 8:43:33 PM</t>
  </si>
  <si>
    <t>SR021216255470</t>
  </si>
  <si>
    <t>no IP detected</t>
  </si>
  <si>
    <t>A968459X5C04476</t>
  </si>
  <si>
    <t>A968459X5C06398</t>
  </si>
  <si>
    <t>P25C03376</t>
  </si>
  <si>
    <t>12/17/2025 10:48:01 PM</t>
  </si>
  <si>
    <t>(Rack slot 9, CBC 1, 8x10 connector 1, column 5, pins C/D, G/H, A/B, E/F, port acp137) PEER (Rack slot 26, CBC 1, 4x19 connector 1, column 18, pins A/B, G/H, C/D, E/F)</t>
  </si>
  <si>
    <t>P25C03377</t>
  </si>
  <si>
    <t>12/17/2025 10:49:52 PM</t>
  </si>
  <si>
    <t>NVSwitch 0 [Pci 009b:00:800.0] nvlink 27 is in an unexpected state @(Rack slot 17, CBC 4, 8x10 connector 8, column 10, pins C/D, G/H, A/B, E/F, port acp28) PEER (Rack slot 7, CBC 4, 4x19 connector 4, column 3, pins A/B, G/H, C/D, E/F)</t>
  </si>
  <si>
    <t>P25C03378</t>
  </si>
  <si>
    <t>12/17/2025 10:51:39 PM</t>
  </si>
  <si>
    <t>P25C03381</t>
  </si>
  <si>
    <t>12/17/2025 11:03:50 PM</t>
  </si>
  <si>
    <t>A964512X5C05286</t>
  </si>
  <si>
    <t>P25C03382</t>
  </si>
  <si>
    <t>12/17/2025 11:04:26 PM</t>
  </si>
  <si>
    <t>A964512X5C05287</t>
  </si>
  <si>
    <t>P25C03383</t>
  </si>
  <si>
    <t>12/17/2025 11:05:04 PM</t>
  </si>
  <si>
    <t>SR021217252200</t>
  </si>
  <si>
    <t>A964512X5C05276</t>
  </si>
  <si>
    <t>P25C03385</t>
  </si>
  <si>
    <t>12/17/2025 11:10:31 PM</t>
  </si>
  <si>
    <t>SR021216252688</t>
  </si>
  <si>
    <t>A968459X5B16306</t>
  </si>
  <si>
    <t>12/18/2025</t>
  </si>
  <si>
    <t>P25C03412</t>
  </si>
  <si>
    <t>12/18/2025 6:46:13 AM</t>
  </si>
  <si>
    <t>SR021216258737</t>
  </si>
  <si>
    <t>L11 TEST FAIL:PMC Version: 3.1.6-dev-20250606_PM894_協助過帳</t>
  </si>
  <si>
    <t>T525460898</t>
  </si>
  <si>
    <t>SV25383114</t>
  </si>
  <si>
    <t>P25C03438</t>
  </si>
  <si>
    <t>12/18/2025 8:51:55 AM</t>
  </si>
  <si>
    <t>COMPUTE_NODE_1 | DGX-000000000125 | CableCartridgeEepromCheck | The requested resource of type Chassis named 'CBC_0' was not found.</t>
  </si>
  <si>
    <t>A968459X5C02419</t>
  </si>
  <si>
    <t>P25C03442</t>
  </si>
  <si>
    <t>12/18/2025 8:58:40 AM</t>
  </si>
  <si>
    <t>comp_tray,Rack0_SW3_acp102,CC1_C7_Lane_7, link_bad_quality_high_ber,1e-05, 12</t>
  </si>
  <si>
    <t>A968459X5C02462</t>
  </si>
  <si>
    <t>P25C03444</t>
  </si>
  <si>
    <t>12/18/2025 9:50:31 AM</t>
  </si>
  <si>
    <t>SR021216259277</t>
  </si>
  <si>
    <t>開機自動關機已對單機補過水冷液一樣且更換過其他位置_更換單機_TW640</t>
  </si>
  <si>
    <t>P25C03445</t>
  </si>
  <si>
    <t>A968459X5C05453</t>
  </si>
  <si>
    <t>P25C03458</t>
  </si>
  <si>
    <t>12/18/2025 10:52:05 AM</t>
  </si>
  <si>
    <t>SR021217252407</t>
  </si>
  <si>
    <t>GB200 L11 Compute Tray Nvidia Field Diag Test fail_raw_lane_ber error value of 5e-06 exceeded threshold_更換單機_TW1237</t>
  </si>
  <si>
    <t>A964512X5C00061</t>
  </si>
  <si>
    <t>P25C03476</t>
  </si>
  <si>
    <t>12/18/2025 12:24:14 PM</t>
  </si>
  <si>
    <t>A968459X5C03894</t>
  </si>
  <si>
    <t>P25C03486</t>
  </si>
  <si>
    <t>12/18/2025 1:09:03 PM</t>
  </si>
  <si>
    <t>CC0_C8_Lane_8 link_bad_quality_high_ber 7e-05 15 sudo mlxlink -d /dev/mst/mt54004_pci_cr0 -p 9/1/1 -c --rx_fec_histogram --show_histogram -json</t>
  </si>
  <si>
    <t>A968459X5C02412</t>
  </si>
  <si>
    <t>P25C03502</t>
  </si>
  <si>
    <t>12/18/2025 2:19:53 PM</t>
  </si>
  <si>
    <t>SR021216251152</t>
  </si>
  <si>
    <t>A968459X5C04920</t>
  </si>
  <si>
    <t>P25C03504</t>
  </si>
  <si>
    <t>12/18/2025 2:36:56 PM</t>
  </si>
  <si>
    <t>SR021216257100</t>
  </si>
  <si>
    <t>Ban PIN_change_TW640</t>
  </si>
  <si>
    <t>A968459X5C06097</t>
    <phoneticPr fontId="7" type="noConversion"/>
  </si>
  <si>
    <t>A964512X5B16388</t>
    <phoneticPr fontId="7" type="noConversion"/>
  </si>
  <si>
    <t>A968459X5C04476</t>
    <phoneticPr fontId="7" type="noConversion"/>
  </si>
  <si>
    <t>A964512X5B11645</t>
    <phoneticPr fontId="7" type="noConversion"/>
  </si>
  <si>
    <t>A964512X5C01348</t>
    <phoneticPr fontId="7" type="noConversion"/>
  </si>
  <si>
    <t>A964512X5C05127</t>
    <phoneticPr fontId="7" type="noConversion"/>
  </si>
  <si>
    <t>A968459X5B08877</t>
    <phoneticPr fontId="7" type="noConversion"/>
  </si>
  <si>
    <t>A968459X5B14787</t>
    <phoneticPr fontId="7" type="noConversion"/>
  </si>
  <si>
    <t>A968459X5B13171</t>
    <phoneticPr fontId="7" type="noConversion"/>
  </si>
  <si>
    <t>A968459X5C07116</t>
    <phoneticPr fontId="7" type="noConversion"/>
  </si>
  <si>
    <t>A968459X5C08141</t>
    <phoneticPr fontId="7" type="noConversion"/>
  </si>
  <si>
    <t>A964512X5C01725</t>
    <phoneticPr fontId="7" type="noConversion"/>
  </si>
  <si>
    <t>A968459X5C04115</t>
    <phoneticPr fontId="7" type="noConversion"/>
  </si>
  <si>
    <t>HMC FRU資訊短少二次</t>
    <phoneticPr fontId="7" type="noConversion"/>
  </si>
  <si>
    <t>A968459X5C02449</t>
    <phoneticPr fontId="7" type="noConversion"/>
  </si>
  <si>
    <t>A968459X5C06151</t>
    <phoneticPr fontId="7" type="noConversion"/>
  </si>
  <si>
    <t>P25C03536</t>
  </si>
  <si>
    <t>12/18/2025 5:45:02 PM</t>
  </si>
  <si>
    <t>SR021212256128</t>
  </si>
  <si>
    <t>Cable cartridge Defect - CC2_C7_Lane_11 link_none</t>
  </si>
  <si>
    <t>P25C03542</t>
  </si>
  <si>
    <t>12/18/2025 5:55:20 PM</t>
  </si>
  <si>
    <t>A968459X5C06076</t>
  </si>
  <si>
    <t>A968459X5C06445</t>
  </si>
  <si>
    <t>A964512X5C07324</t>
  </si>
  <si>
    <t>P25C03560</t>
  </si>
  <si>
    <t>12/18/2025 8:36:57 PM</t>
  </si>
  <si>
    <t>P25C03576</t>
  </si>
  <si>
    <t>12/18/2025 10:12:32 PM</t>
  </si>
  <si>
    <t>SR021216252870</t>
  </si>
  <si>
    <t>Unable to power on - no led light</t>
  </si>
  <si>
    <t>A968459X5C03995</t>
  </si>
  <si>
    <t>P25C03590</t>
  </si>
  <si>
    <t>12/18/2025 10:49:27 PM</t>
  </si>
  <si>
    <t>SR021216251126</t>
  </si>
  <si>
    <t>BMC EventLog: The health of resource `Chassis_0_LeakDetector_1_Manifold` has changed to Open</t>
  </si>
  <si>
    <t>A968459X5C04179</t>
  </si>
  <si>
    <t>P25C03591</t>
  </si>
  <si>
    <t>12/18/2025 10:50:08 PM</t>
  </si>
  <si>
    <t>A968459X5C02317</t>
  </si>
  <si>
    <t>P25C03594</t>
  </si>
  <si>
    <t>12/18/2025 11:04:38 PM</t>
  </si>
  <si>
    <t>SR021216256724</t>
  </si>
  <si>
    <t>L11 Rack0_SW0_acp68,CC3_C16/C17_Lane_0, link_none</t>
  </si>
  <si>
    <t>P25C03609</t>
  </si>
  <si>
    <t>12/19/2025 12:40:14 AM</t>
  </si>
  <si>
    <t>12/19/2025</t>
  </si>
  <si>
    <t>A968459X5B15177</t>
  </si>
  <si>
    <t>P25C03611</t>
  </si>
  <si>
    <t>12/19/2025 12:47:32 AM</t>
  </si>
  <si>
    <t>L11 LED LIGHT ALWAYS GREEN</t>
  </si>
  <si>
    <t>T525460881</t>
  </si>
  <si>
    <t>SV25383429</t>
  </si>
  <si>
    <t>SR021216259891</t>
  </si>
  <si>
    <t>P25C03620</t>
  </si>
  <si>
    <t>12/19/2025 1:42:10 AM</t>
  </si>
  <si>
    <t>BENT PIN</t>
  </si>
  <si>
    <t>P25C03621</t>
  </si>
  <si>
    <t>12/19/2025 1:46:12 AM</t>
  </si>
  <si>
    <t>NVLINK Switch Functional Issue_Rack0_SW4_acp103 CC2_C7_Lane_9 link_none</t>
  </si>
  <si>
    <t>MT2542601V9R</t>
  </si>
  <si>
    <t>MT2541605XCN</t>
  </si>
  <si>
    <t>P25C03658</t>
  </si>
  <si>
    <t>12/19/2025 8:08:12 AM</t>
  </si>
  <si>
    <t>Rack0_SW4_acp33,CC0_C8_Lane_8, link_bad_quality_high_ber</t>
  </si>
  <si>
    <t>MT253360027T</t>
  </si>
  <si>
    <t>P25C03660</t>
  </si>
  <si>
    <t>12/19/2025 8:08:28 AM</t>
  </si>
  <si>
    <t>Error while invoking api /redfish/v1/Chassis/CBC_2. Error message =&gt; The requested resource of type Chassis named 'CBC_2' was not found.二次_更換單機_TW640</t>
  </si>
  <si>
    <t>A968459X5C07064</t>
  </si>
  <si>
    <t>A968459X5C04895</t>
  </si>
  <si>
    <t>P25C03663</t>
  </si>
  <si>
    <t>12/19/2025 8:12:43 AM</t>
  </si>
  <si>
    <t>SWITCH_NODE_2, NVLINK 62, Chassis Slot 10, Tray 1, Remote Device, Remote Port 4, Remote GUID 0xab3006ac02cf330a</t>
  </si>
  <si>
    <t>MT2531600BHJ</t>
  </si>
  <si>
    <t>P25C03697</t>
  </si>
  <si>
    <t>12/19/2025 9:45:57 AM</t>
  </si>
  <si>
    <t>SR021216256242</t>
  </si>
  <si>
    <t>Rack0_SW1_acp5 CC0_C1_Lane_2 link_none Rack0_SW1_acp25 CC0_C6_Lane_2 link_bad_quality_high_ber Rack0_SW1_acp5 CC0_C1_Lane_2 link_none</t>
  </si>
  <si>
    <t>P25C03711</t>
  </si>
  <si>
    <t>12/19/2025 10:01:07 AM</t>
  </si>
  <si>
    <t>Cable cartridge Defect_CC0導致燒機FAIL_CHANGE_TW640</t>
  </si>
  <si>
    <t>P25C03716</t>
  </si>
  <si>
    <t>12/19/2025 10:28:28 AM</t>
  </si>
  <si>
    <t>Bent pin 位置 SW3 SW4</t>
  </si>
  <si>
    <t>P25C03717</t>
  </si>
  <si>
    <t>12/19/2025 10:37:32 AM</t>
  </si>
  <si>
    <t>P25C03735</t>
  </si>
  <si>
    <t>12/19/2025 2:08:10 PM</t>
  </si>
  <si>
    <t>SR021216259507</t>
  </si>
  <si>
    <t>PMC Version版本不對_PM1120_協助過帳_replace SRK-01DTPM-PMB1-01</t>
  </si>
  <si>
    <t>T525460310</t>
  </si>
  <si>
    <t>SV25383189</t>
  </si>
  <si>
    <t>P25C03738</t>
  </si>
  <si>
    <t>12/19/2025 12:43:51 PM</t>
  </si>
  <si>
    <t>COMPUTE_NODE_5 Error while invoking api /redfish/v1/Chassis/CBC_2. Error message =&gt; The requested resource of type Chassis named 'CBC_2' was not found._更換_TW640</t>
  </si>
  <si>
    <t>P25C03761</t>
  </si>
  <si>
    <t>12/19/2025 2:17:16 PM</t>
  </si>
  <si>
    <t>GB200 L11 Compute Tray Nvidia Field Diag Test fail NVIDIA SMI tool only detected 3 GPU and it does not match the requesed 4</t>
  </si>
  <si>
    <t>P25C03797</t>
  </si>
  <si>
    <t>12/19/2025 4:34:49 PM</t>
  </si>
  <si>
    <t>GB200 L11 Compute Tray Nvidia Field Diag Test fail - Rack0_SW4_acp33 CC0_C8_Lane_8 link_bad_quality_high_ber</t>
  </si>
  <si>
    <t>A968459X5B14445</t>
  </si>
  <si>
    <t>P25C03814</t>
  </si>
  <si>
    <t>12/19/2025 5:22:05 PM</t>
  </si>
  <si>
    <t>SR021216253742</t>
  </si>
  <si>
    <t>A968459X5C09428</t>
  </si>
  <si>
    <t>A964512X5C01545</t>
    <phoneticPr fontId="7" type="noConversion"/>
  </si>
  <si>
    <t>A968459X5C05504</t>
    <phoneticPr fontId="7" type="noConversion"/>
  </si>
  <si>
    <t>A968459X5C05610</t>
    <phoneticPr fontId="7" type="noConversion"/>
  </si>
  <si>
    <t>A968459X5B02674</t>
    <phoneticPr fontId="7" type="noConversion"/>
  </si>
  <si>
    <t>A968459X5B14345</t>
    <phoneticPr fontId="7" type="noConversion"/>
  </si>
  <si>
    <t>A964512X5C00061</t>
    <phoneticPr fontId="7" type="noConversion"/>
  </si>
  <si>
    <t>A968459X5B08156</t>
    <phoneticPr fontId="7" type="noConversion"/>
  </si>
  <si>
    <t>A968459X5B01288</t>
    <phoneticPr fontId="7" type="noConversion"/>
  </si>
  <si>
    <t>A968459X5C08147</t>
    <phoneticPr fontId="7" type="noConversion"/>
  </si>
  <si>
    <t>P25C03837</t>
  </si>
  <si>
    <t>12/19/2025 7:39:43 PM</t>
  </si>
  <si>
    <t>SR021216255717</t>
  </si>
  <si>
    <t>A leak was detected by the sensor Cha0LeaDete1Mani on the cold plates</t>
  </si>
  <si>
    <t>A968459X5C05610</t>
  </si>
  <si>
    <t>A968459X5C06146</t>
  </si>
  <si>
    <t>P25C03844</t>
  </si>
  <si>
    <t>12/19/2025 7:54:44 PM</t>
  </si>
  <si>
    <t>A968459X5C06021 FAN lost #15 and #16</t>
  </si>
  <si>
    <t>A968459X5C06051</t>
  </si>
  <si>
    <t>P25C03852</t>
  </si>
  <si>
    <t>12/19/2025 8:56:54 PM</t>
  </si>
  <si>
    <t>NVLINK Switch Functional Issue - Rack0_SW8_acp83 CC2_C2_Lane_17 link_none</t>
  </si>
  <si>
    <t>MT25446028K2</t>
  </si>
  <si>
    <t>MT2541605XYF</t>
  </si>
  <si>
    <t>P25C03861</t>
  </si>
  <si>
    <t>12/19/2025 9:14:53 PM</t>
  </si>
  <si>
    <t>Cable cartridge defect - Rack0_SW4_acp46 CC1_C11_Lane_8 link_none</t>
  </si>
  <si>
    <t>P25C03863</t>
  </si>
  <si>
    <t>12/19/2025 9:19:16 PM</t>
  </si>
  <si>
    <t>SR021217257564</t>
  </si>
  <si>
    <t>slot 6 no power</t>
  </si>
  <si>
    <t>DGPST2544017A</t>
  </si>
  <si>
    <t>DGPST254401B0</t>
  </si>
  <si>
    <t>SR021217256392</t>
  </si>
  <si>
    <t>P25C03879</t>
  </si>
  <si>
    <t>12/19/2025 10:47:05 PM</t>
  </si>
  <si>
    <t>SR021217252815</t>
  </si>
  <si>
    <t>auto Shutdown</t>
  </si>
  <si>
    <t>A968459X5C08249</t>
  </si>
  <si>
    <t>P25C03884</t>
  </si>
  <si>
    <t>12/19/2025 11:16:07 PM</t>
  </si>
  <si>
    <t>SR021217253029</t>
  </si>
  <si>
    <t>Unable to Power on and no light on power botton</t>
  </si>
  <si>
    <t>A968459X5C08234</t>
  </si>
  <si>
    <t>P25C03897</t>
  </si>
  <si>
    <t>12/20/2025 12:21:21 AM</t>
  </si>
  <si>
    <t>12/20/2025</t>
  </si>
  <si>
    <t>A968459X5C05761</t>
  </si>
  <si>
    <t>A968459X5C08684</t>
  </si>
  <si>
    <t>P25C03904</t>
  </si>
  <si>
    <t>12/20/2025 12:40:56 AM</t>
  </si>
  <si>
    <t>L11 Cable cartridge Defect / BENT PIN</t>
  </si>
  <si>
    <t>P25C03925</t>
  </si>
  <si>
    <t>12/20/2025 2:01:08 AM</t>
  </si>
  <si>
    <t>P25C03937</t>
  </si>
  <si>
    <t>12/20/2025 9:38:28 AM</t>
  </si>
  <si>
    <t>SR021216254364</t>
  </si>
  <si>
    <t>Bent pin 位置 SW0 SW1</t>
  </si>
  <si>
    <t>P25C03947</t>
  </si>
  <si>
    <t>12/20/2025 10:36:39 AM</t>
  </si>
  <si>
    <t>SR021217252272</t>
  </si>
  <si>
    <t>Rack0_SW6_acp104,CC3_C7_Lane_13, link_none,0, 0, 交換驗證固定位置_已更換_PM1265</t>
  </si>
  <si>
    <t>A968459X5C05512</t>
  </si>
  <si>
    <t>P25C03948</t>
  </si>
  <si>
    <t>12/20/2025 10:42:09 AM</t>
  </si>
  <si>
    <t>A968459X5C08234 A leak was detected by the sensor Cha0LeaDete1Mani on the cold plates - [WARNING]_更換單機_TW640</t>
  </si>
  <si>
    <t>P25C03978</t>
  </si>
  <si>
    <t>12/20/2025 2:00:05 PM</t>
  </si>
  <si>
    <t>COMPUTE_NODE_2 | MODS-000000000140 | ThermalSteadyState | powersync @(Rack slot 3, CBC 2, 4x19 connector 2, column 18, pins A/B, G/H, C/D, E/F) PEER (Rack slot 9, CBC 2, 8x10 connector 4, column 4, pins C/D, G/H, A/B, E/F, port acp82)</t>
  </si>
  <si>
    <t>A968459X5B16022</t>
  </si>
  <si>
    <t>P25C03984</t>
  </si>
  <si>
    <t>12/20/2025 2:29:40 PM</t>
  </si>
  <si>
    <t>Rack0_SW3_acp1 CC0_C0_Lane_6 link_none</t>
  </si>
  <si>
    <t>A968459X5C10212</t>
  </si>
  <si>
    <t>12/20/2025 2:47:33 PM</t>
  </si>
  <si>
    <t>SR021217255033</t>
  </si>
  <si>
    <t>P25C03994</t>
  </si>
  <si>
    <t>A968459X5C10214</t>
  </si>
  <si>
    <t>P25C04004</t>
  </si>
  <si>
    <t>12/20/2025 4:43:05 PM</t>
  </si>
  <si>
    <t>SR021217253807</t>
  </si>
  <si>
    <t>A968459X5C06952</t>
  </si>
  <si>
    <t>P25C04015</t>
  </si>
  <si>
    <t>12/20/2025 5:13:41 PM</t>
  </si>
  <si>
    <t>SR021217258175</t>
  </si>
  <si>
    <t>L11 Power Shelf Information Check fail (CANNOT UPDATE)</t>
  </si>
  <si>
    <t>T525472454</t>
  </si>
  <si>
    <t>SV25383145</t>
  </si>
  <si>
    <t>P25C04028</t>
  </si>
  <si>
    <t>12/20/2025 6:17:33 PM</t>
  </si>
  <si>
    <t>A968459X5C08709</t>
  </si>
  <si>
    <t>P25C04030</t>
  </si>
  <si>
    <t>12/20/2025 6:22:16 PM</t>
  </si>
  <si>
    <t>A968459X5C10195</t>
  </si>
  <si>
    <t>A968459X5C06021</t>
    <phoneticPr fontId="7" type="noConversion"/>
  </si>
  <si>
    <t>A968459X5C05795</t>
    <phoneticPr fontId="7" type="noConversion"/>
  </si>
  <si>
    <t>A968459X5C05504</t>
    <phoneticPr fontId="7" type="noConversion"/>
  </si>
  <si>
    <t>A968459X5C05761</t>
    <phoneticPr fontId="7" type="noConversion"/>
  </si>
  <si>
    <t>auto Shutdown</t>
    <phoneticPr fontId="7" type="noConversion"/>
  </si>
  <si>
    <t>A968459X5C04119</t>
    <phoneticPr fontId="7" type="noConversion"/>
  </si>
  <si>
    <t>A968459X5C06164</t>
    <phoneticPr fontId="7" type="noConversion"/>
  </si>
  <si>
    <t>A968459X5C08234</t>
    <phoneticPr fontId="7" type="noConversion"/>
  </si>
  <si>
    <t>A968459X5B16710</t>
    <phoneticPr fontId="7" type="noConversion"/>
  </si>
  <si>
    <t>A968459X5C03540</t>
    <phoneticPr fontId="7" type="noConversion"/>
  </si>
  <si>
    <t>A968459X5C08718</t>
    <phoneticPr fontId="7" type="noConversion"/>
  </si>
  <si>
    <t>自動關機_二次驗證_交換機櫃一樣_遠端GPU過熱_已更換_PM1265</t>
    <phoneticPr fontId="7" type="noConversion"/>
  </si>
  <si>
    <t>A968459X5C09525</t>
    <phoneticPr fontId="7" type="noConversion"/>
  </si>
  <si>
    <t>A968459X5B15854</t>
    <phoneticPr fontId="7" type="noConversion"/>
  </si>
  <si>
    <t>A968459X5C06952</t>
    <phoneticPr fontId="7" type="noConversion"/>
  </si>
  <si>
    <t>P25C04042</t>
  </si>
  <si>
    <t>12/20/2025 7:50:34 PM</t>
  </si>
  <si>
    <t>GB200 Firmware flash Power failed on turn ON after 3 appempts</t>
  </si>
  <si>
    <t>A968459X5C10836</t>
  </si>
  <si>
    <t>P25C04044</t>
  </si>
  <si>
    <t>12/20/2025 8:03:38 PM</t>
  </si>
  <si>
    <t>A968459X5C09466</t>
  </si>
  <si>
    <t>P25C04045</t>
  </si>
  <si>
    <t>12/20/2025 8:08:53 PM</t>
  </si>
  <si>
    <t>SR021217259281</t>
  </si>
  <si>
    <t>switch 1 dev 1 topo 0, nvlink 35)] @(Rack slot 12, CBC 4, 8x10 connector 7, column 1, pins C/D, G/H, A/B, E/F, port acp108) PEER (Rack slot 18, CBC 4, 4x19 connector 4, column 12, pins A/B, G/H, C/D, E/F)</t>
  </si>
  <si>
    <t>A968459X5C09469</t>
  </si>
  <si>
    <t>P25C04061</t>
  </si>
  <si>
    <t>12/20/2025 9:15:57 PM</t>
  </si>
  <si>
    <t>SR021219254406</t>
  </si>
  <si>
    <t>A968459X5C08678</t>
  </si>
  <si>
    <t>P25C04065</t>
  </si>
  <si>
    <t>12/20/2025 9:50:13 PM</t>
  </si>
  <si>
    <t>Auto shutdown in Run In (燒機自動關機) 跑到PXE會自動關機或還沒跑到PXE也會自動關機</t>
  </si>
  <si>
    <t>A968459X5C09665</t>
  </si>
  <si>
    <t>P25C04071</t>
  </si>
  <si>
    <t>12/20/2025 10:16:05 PM</t>
  </si>
  <si>
    <t>SR021217254642</t>
  </si>
  <si>
    <t>switch_tray Rack0_SW0_acp55 CC2_C13_Lane_0 comp_tray Rack0_SW0_acp55 CC2_C13_Lane_0</t>
  </si>
  <si>
    <t>P25C04072</t>
  </si>
  <si>
    <t>12/20/2025 10:17:51 PM</t>
  </si>
  <si>
    <t>switch_tray Rack0_SW5_acp75 CC2_C0_Lane_11 link_bad_quality_high_ber 1e-05 9 sudo mlxlink -d /dev/mst/mt54004_pci_cr1 -p 1/2/1 -c --rx_fec_histogram --show_histogram -json</t>
  </si>
  <si>
    <t>P25C04073</t>
  </si>
  <si>
    <t>12/20/2025 10:50:37 PM</t>
  </si>
  <si>
    <t>Cable cartridge Defect_CC0導致燒機FAIL - Rack0_SW3_acp1 CC0_C0_Lane_6 link_none</t>
  </si>
  <si>
    <t>P25C04075</t>
  </si>
  <si>
    <t>12/20/2025 11:05:53 PM</t>
  </si>
  <si>
    <t>SR021219253142</t>
  </si>
  <si>
    <t>L11 Cable cartridge Defect (BENT PIN)</t>
  </si>
  <si>
    <t>P25C04076</t>
  </si>
  <si>
    <t>12/20/2025 11:07:53 PM</t>
  </si>
  <si>
    <t>L11 NVLink Switch Information Consistent Check fail (BACK PORT Cause BENT PIN)</t>
  </si>
  <si>
    <t>MT2532601CBL</t>
  </si>
  <si>
    <t>E89E49371A66</t>
  </si>
  <si>
    <t>P25C04082</t>
  </si>
  <si>
    <t>12/22/2025 6:51:50 AM</t>
  </si>
  <si>
    <t>SR021216255360</t>
  </si>
  <si>
    <t>12/21/2025</t>
  </si>
  <si>
    <t>L11 TEST FAIL:Compute Tray L11 FD Test [FAIL]</t>
  </si>
  <si>
    <t>MT25336002C8</t>
  </si>
  <si>
    <t>MT2529605BFH</t>
  </si>
  <si>
    <t>P25C04084</t>
  </si>
  <si>
    <t>12/21/2025 10:30:15 AM</t>
  </si>
  <si>
    <t>10.10.28.64 only 0 Fabric state shows A968459X5C09466_更換單機_TW640</t>
  </si>
  <si>
    <t>A968459X5C10062</t>
  </si>
  <si>
    <t>P25C04090</t>
  </si>
  <si>
    <t>12/21/2025 3:01:56 PM</t>
  </si>
  <si>
    <t>SR021219253574</t>
  </si>
  <si>
    <t>A968459X5C05034</t>
  </si>
  <si>
    <t>P25C04115</t>
  </si>
  <si>
    <t>12/21/2025 4:27:16 PM</t>
  </si>
  <si>
    <t>A968459X5C00331</t>
  </si>
  <si>
    <t>P25C04117</t>
  </si>
  <si>
    <t>12/21/2025 4:56:55 PM</t>
  </si>
  <si>
    <t>A968459X5C10060</t>
  </si>
  <si>
    <t>P25C04123</t>
  </si>
  <si>
    <t>12/21/2025 5:27:17 PM</t>
  </si>
  <si>
    <t>only 3 Fabric state shows OK, expected 4 -fail and only 54 NVLink status shows OK, expected 72 -fail</t>
  </si>
  <si>
    <t>A968459X5C03437</t>
  </si>
  <si>
    <t>P25C04141</t>
  </si>
  <si>
    <t>12/21/2025 10:40:52 PM</t>
  </si>
  <si>
    <t>out of 16 fan only 15 fan shows</t>
  </si>
  <si>
    <t>A968459X5C11061</t>
  </si>
  <si>
    <t>P25C04145</t>
  </si>
  <si>
    <t>12/22/2025 8:15:05 AM</t>
  </si>
  <si>
    <t>SR021217257603</t>
  </si>
  <si>
    <t>12/22/2025</t>
  </si>
  <si>
    <t>L11 TEST FAIL: all sw6 link_none_12/22 PM894 協助過帳</t>
  </si>
  <si>
    <t>MT25326015A8</t>
  </si>
  <si>
    <t>MT2529605BCW</t>
  </si>
  <si>
    <t>P25C04146</t>
  </si>
  <si>
    <t>12/22/2025 9:18:14 AM</t>
  </si>
  <si>
    <t>SR021217251368</t>
  </si>
  <si>
    <t>L11 TEST FAIL:CC2 link_none_12/22 PM894 協助過帳</t>
  </si>
  <si>
    <t>P25C04147</t>
  </si>
  <si>
    <t>12/22/2025 9:18:41 AM</t>
  </si>
  <si>
    <t>P25C04149</t>
  </si>
  <si>
    <t>12/22/2025 7:48:09 AM</t>
  </si>
  <si>
    <t>SR021219258453</t>
  </si>
  <si>
    <t>Highest Value: 5.80942e-10 - Port: SWITCH_NODE_13, NVLINK 13, Chassis Slot 22, Tray 12, Remote Device, Remote Port 52, Remote GUID 0x204d520300b6ee80</t>
  </si>
  <si>
    <t>A968459X5C07278</t>
  </si>
  <si>
    <t>P25C04150</t>
  </si>
  <si>
    <t>12/22/2025 7:50:10 AM</t>
  </si>
  <si>
    <t>SR021219256021</t>
  </si>
  <si>
    <t>SWITCH_NODE_7, NVLINK 16, Chassis Slot 15, Tray 6, Remote Device, Remote Port 13, Remote GUID 0x659705c96113992f FecTotalRawBer Bit Error Rate</t>
  </si>
  <si>
    <t>A968459X5C07269</t>
  </si>
  <si>
    <t>P25C04175</t>
  </si>
  <si>
    <t>12/22/2025 8:56:46 AM</t>
  </si>
  <si>
    <t>SR021219258098</t>
  </si>
  <si>
    <t>A968459X5C07270</t>
  </si>
  <si>
    <t>P25C04176</t>
  </si>
  <si>
    <t>12/22/2025 8:58:43 AM</t>
  </si>
  <si>
    <t>SR021219253630</t>
  </si>
  <si>
    <t>10.10.106.68 only 0 Fabric state shows A968459X5B04684固定位置</t>
  </si>
  <si>
    <t>A968459X5B14272</t>
  </si>
  <si>
    <t>P25C04198</t>
  </si>
  <si>
    <t>12/22/2025 12:57:50 PM</t>
  </si>
  <si>
    <t>P25C04262</t>
  </si>
  <si>
    <t>12/22/2025 4:11:50 PM</t>
  </si>
  <si>
    <t>A968459X5C11545</t>
  </si>
  <si>
    <t>A968459X5C05815</t>
    <phoneticPr fontId="7" type="noConversion"/>
  </si>
  <si>
    <t>A968459X5C05512</t>
    <phoneticPr fontId="7" type="noConversion"/>
  </si>
  <si>
    <t>A968459X5C08183</t>
    <phoneticPr fontId="7" type="noConversion"/>
  </si>
  <si>
    <t>A968459X5C08229</t>
    <phoneticPr fontId="7" type="noConversion"/>
  </si>
  <si>
    <t>A968459X5C08509</t>
    <phoneticPr fontId="7" type="noConversion"/>
  </si>
  <si>
    <t>A968459X5C09466</t>
    <phoneticPr fontId="7" type="noConversion"/>
  </si>
  <si>
    <t>A968459X5C09698</t>
    <phoneticPr fontId="7" type="noConversion"/>
  </si>
  <si>
    <t>A968459X5B16283</t>
    <phoneticPr fontId="7" type="noConversion"/>
  </si>
  <si>
    <t>A968459X5C06066</t>
    <phoneticPr fontId="7" type="noConversion"/>
  </si>
  <si>
    <t>A968459X5C10212</t>
    <phoneticPr fontId="7" type="noConversion"/>
  </si>
  <si>
    <t>A968459X5C09461</t>
    <phoneticPr fontId="7" type="noConversion"/>
  </si>
  <si>
    <t>A968459X5C09468</t>
    <phoneticPr fontId="7" type="noConversion"/>
  </si>
  <si>
    <t>A968459X5C06944</t>
    <phoneticPr fontId="7" type="noConversion"/>
  </si>
  <si>
    <t>A968459X5C10824</t>
    <phoneticPr fontId="7" type="noConversion"/>
  </si>
  <si>
    <t>A968459X5B04684</t>
    <phoneticPr fontId="7" type="noConversion"/>
  </si>
  <si>
    <t>A968459X5C08603</t>
    <phoneticPr fontId="7" type="noConversion"/>
  </si>
  <si>
    <t>P25C04274</t>
  </si>
  <si>
    <t>12/22/2025 6:02:17 PM</t>
  </si>
  <si>
    <t>SR021220257591</t>
  </si>
  <si>
    <t>Auto shutdown</t>
  </si>
  <si>
    <t>A968459X5C10034</t>
  </si>
  <si>
    <t>P25C04281</t>
  </si>
  <si>
    <t>12/22/2025 6:08:59 PM</t>
  </si>
  <si>
    <t>Cable Cartridge Defect_CC1導致燒機FAIL</t>
  </si>
  <si>
    <t>P25C04284</t>
  </si>
  <si>
    <t>12/22/2025 6:19:19 PM</t>
  </si>
  <si>
    <t>SR021220259147</t>
  </si>
  <si>
    <t>No power led light</t>
  </si>
  <si>
    <t>A968459X5C08758</t>
  </si>
  <si>
    <t>P25C04296</t>
  </si>
  <si>
    <t>12/22/2025 6:33:00 PM</t>
  </si>
  <si>
    <t>A968459X5C00327</t>
  </si>
  <si>
    <t>P25C04321</t>
  </si>
  <si>
    <t>12/22/2025 8:13:22 PM</t>
  </si>
  <si>
    <t>A968459X5B12139</t>
  </si>
  <si>
    <t>P25C04333</t>
  </si>
  <si>
    <t>12/22/2025 8:54:03 PM</t>
  </si>
  <si>
    <t>SR021220255775</t>
  </si>
  <si>
    <t>A968459X5C01482</t>
  </si>
  <si>
    <t>P25C04335</t>
  </si>
  <si>
    <t>12/22/2025 8:58:29 PM</t>
  </si>
  <si>
    <t>A968459X5B14897</t>
  </si>
  <si>
    <t>P25C04337</t>
  </si>
  <si>
    <t>12/22/2025 9:13:59 PM</t>
  </si>
  <si>
    <t>SR021220258109</t>
  </si>
  <si>
    <t>Auto Shutdown</t>
  </si>
  <si>
    <t>A968459X5C12434</t>
  </si>
  <si>
    <t>P25C04338</t>
  </si>
  <si>
    <t>12/22/2025 9:16:19 PM</t>
  </si>
  <si>
    <t>A968459X5C08211</t>
  </si>
  <si>
    <t>P25C04339</t>
  </si>
  <si>
    <t>12/22/2025 9:26:24 PM</t>
  </si>
  <si>
    <t>A968459X5B16716</t>
  </si>
  <si>
    <t>P25C04344</t>
  </si>
  <si>
    <t>12/22/2025 9:37:20 PM</t>
  </si>
  <si>
    <t>SR021220255885</t>
  </si>
  <si>
    <t>A968459X5C10805</t>
  </si>
  <si>
    <t>P25C04346</t>
  </si>
  <si>
    <t>12/22/2025 9:44:14 PM</t>
  </si>
  <si>
    <t>A968459X5C12435</t>
  </si>
  <si>
    <t>P25C04354</t>
  </si>
  <si>
    <t>12/22/2025 10:28:27 PM</t>
  </si>
  <si>
    <t>SR021220259889</t>
  </si>
  <si>
    <t>A968459X5C08648</t>
  </si>
  <si>
    <t>P25C04357</t>
  </si>
  <si>
    <t>12/22/2025 10:43:50 PM</t>
  </si>
  <si>
    <t>SR021219259056</t>
  </si>
  <si>
    <t>RK004</t>
  </si>
  <si>
    <t>Acceptable temperature limits exceeded or the thermal sensor is broken or miscalibrated Rack slot 3 CBC 2 4x19 connector 2</t>
  </si>
  <si>
    <t>A968459X5C12438</t>
  </si>
  <si>
    <t>P25C04358</t>
  </si>
  <si>
    <t>12/22/2025 11:06:25 PM</t>
  </si>
  <si>
    <t>raw_lane_ber error value of 1e-05 exceeded threshold of 1e-06 on (0018:06:00.0_SN_1655025116035, nvlink 12)] @(Rack slot 22, CBC 4, 4x19 connector 4, column 7, pins C/D, E/F)</t>
  </si>
  <si>
    <t>P25C04360</t>
  </si>
  <si>
    <t>12/22/2025 11:27:53 PM</t>
  </si>
  <si>
    <t>SR021220259812</t>
  </si>
  <si>
    <t>only 54 NVLink status shows OK, expected 72 &amp; only 3 Fabric state shows OK, expected 4</t>
  </si>
  <si>
    <t>A968459X5C12441</t>
  </si>
  <si>
    <t>12/23/2025</t>
  </si>
  <si>
    <t>P25C04402</t>
  </si>
  <si>
    <t>12/23/2025 7:47:33 AM</t>
  </si>
  <si>
    <t>SR021220253971</t>
  </si>
  <si>
    <t>L11 TEST FAIL:powershelf #3 update fail 12/23 PM894 協助過帳</t>
  </si>
  <si>
    <t>DGPSU2543021Q</t>
  </si>
  <si>
    <t>DGPSU254300LJ</t>
  </si>
  <si>
    <t>P25C04403</t>
  </si>
  <si>
    <t>DGPST2544020S</t>
  </si>
  <si>
    <t>THAS92547009E</t>
  </si>
  <si>
    <t>P25C04413</t>
  </si>
  <si>
    <t>12/23/2025 10:31:26 AM</t>
  </si>
  <si>
    <t>SR021220251504</t>
  </si>
  <si>
    <t>CC0 BENT PIN(slot17) 12/23 PM894 協助過帳</t>
  </si>
  <si>
    <t>P25C04414</t>
  </si>
  <si>
    <t>12/23/2025 8:14:07 AM</t>
  </si>
  <si>
    <t>Compute Tray L11 FD Test [FAIL] Rack0_SW7_acp57 CC0_C14_Lane_14 link_bad_quality_high_ber</t>
  </si>
  <si>
    <t>A968459X5C08793</t>
  </si>
  <si>
    <t>P25C04437</t>
  </si>
  <si>
    <t>12/23/2025 1:27:00 PM</t>
  </si>
  <si>
    <t>SR021220259103</t>
  </si>
  <si>
    <t>CC2 BENT PIN(slot13) 12/23 PM894 協助過帳</t>
  </si>
  <si>
    <t>P25C04442</t>
  </si>
  <si>
    <t>12/23/2025 10:19:14 AM</t>
  </si>
  <si>
    <t>SR021220251012</t>
  </si>
  <si>
    <t>sensor missing 燈號閃爍</t>
  </si>
  <si>
    <t>A968459X5C08881</t>
  </si>
  <si>
    <t>P25C04444</t>
  </si>
  <si>
    <t>A968459X5C08305</t>
  </si>
  <si>
    <t>P25C04445</t>
  </si>
  <si>
    <t>A968459X5C08878</t>
  </si>
  <si>
    <t>P25C04485</t>
  </si>
  <si>
    <t>12/23/2025 12:40:27 PM</t>
  </si>
  <si>
    <t>A968459X5C08880</t>
  </si>
  <si>
    <t>P25C04494</t>
  </si>
  <si>
    <t>12/23/2025 4:13:20 PM</t>
  </si>
  <si>
    <t>SR021220251300</t>
  </si>
  <si>
    <t>L11 TEST FAIL:powershelf#2 update fail 12/23 PM894 協助過帳</t>
  </si>
  <si>
    <t>DGPST2544016E</t>
  </si>
  <si>
    <t>THAS92547009D</t>
  </si>
  <si>
    <t>A968459X5C08294</t>
    <phoneticPr fontId="7" type="noConversion"/>
  </si>
  <si>
    <t>A968459X5C05504</t>
    <phoneticPr fontId="7" type="noConversion"/>
  </si>
  <si>
    <t>A968459X5B08877</t>
    <phoneticPr fontId="7" type="noConversion"/>
  </si>
  <si>
    <t>A968459X5B08453</t>
    <phoneticPr fontId="7" type="noConversion"/>
  </si>
  <si>
    <t>A968459X5B15867</t>
    <phoneticPr fontId="7" type="noConversion"/>
  </si>
  <si>
    <t>A968459X5C01482</t>
    <phoneticPr fontId="7" type="noConversion"/>
  </si>
  <si>
    <t>A968459X5C03941</t>
    <phoneticPr fontId="7" type="noConversion"/>
  </si>
  <si>
    <t>A968459X5C08736</t>
    <phoneticPr fontId="7" type="noConversion"/>
  </si>
  <si>
    <t>A968459X5B14885</t>
    <phoneticPr fontId="7" type="noConversion"/>
  </si>
  <si>
    <t>A968459X5C09715</t>
    <phoneticPr fontId="7" type="noConversion"/>
  </si>
  <si>
    <t>L11 Compute Node Information Consistent Check fail</t>
    <phoneticPr fontId="7" type="noConversion"/>
  </si>
  <si>
    <t>A968459X5C04476</t>
    <phoneticPr fontId="7" type="noConversion"/>
  </si>
  <si>
    <t>A968459X5C05062</t>
    <phoneticPr fontId="7" type="noConversion"/>
  </si>
  <si>
    <t>A968459X5C08737</t>
    <phoneticPr fontId="7" type="noConversion"/>
  </si>
  <si>
    <t>A968459X5C06940</t>
    <phoneticPr fontId="7" type="noConversion"/>
  </si>
  <si>
    <t>A968459X5C09682</t>
    <phoneticPr fontId="7" type="noConversion"/>
  </si>
  <si>
    <t>A968459X5C09698</t>
    <phoneticPr fontId="7" type="noConversion"/>
  </si>
  <si>
    <t>A968459X5C05778</t>
    <phoneticPr fontId="7" type="noConversion"/>
  </si>
  <si>
    <t>A968459X5C05512</t>
    <phoneticPr fontId="7" type="noConversion"/>
  </si>
  <si>
    <t>A968459X5C04119</t>
    <phoneticPr fontId="7" type="noConversion"/>
  </si>
  <si>
    <t>P25C04570</t>
  </si>
  <si>
    <t>12/23/2025 5:22:36 PM</t>
  </si>
  <si>
    <t>SR021220255420</t>
  </si>
  <si>
    <t>Unstable Power / Unable to start.</t>
  </si>
  <si>
    <t>A968459X5C08155</t>
  </si>
  <si>
    <t>P25C04576</t>
  </si>
  <si>
    <t>12/23/2025 5:40:08 PM</t>
  </si>
  <si>
    <t>SR021220251575</t>
  </si>
  <si>
    <t>A968459X5C05785</t>
  </si>
  <si>
    <t>P25C04588</t>
  </si>
  <si>
    <t>12/23/2025 6:36:31 PM</t>
  </si>
  <si>
    <t>GB200 L11 Compute Node Information Consistent Check fail - NIC-1 NULL</t>
  </si>
  <si>
    <t>A968459X5C05777</t>
  </si>
  <si>
    <t>P25C04597</t>
  </si>
  <si>
    <t>12/23/2025 8:09:44 PM</t>
  </si>
  <si>
    <t>SR021220257073</t>
  </si>
  <si>
    <t>GB200 L11 Compute Tray Nvidia Field Diag Test fail _ Rack0_SW8_acp104 CC3_C7_Lane_17 link_none</t>
  </si>
  <si>
    <t>A968459X5C07090</t>
  </si>
  <si>
    <t>A968459X5C08772</t>
  </si>
  <si>
    <t>P25C04609</t>
  </si>
  <si>
    <t>12/23/2025 9:22:26 PM</t>
  </si>
  <si>
    <t>SR021223251470</t>
  </si>
  <si>
    <t>P25C04614</t>
  </si>
  <si>
    <t>12/23/2025 9:57:52 PM</t>
  </si>
  <si>
    <t>CABLE CARTRIDGE DEFECT _ BENT CC2</t>
  </si>
  <si>
    <t>P25C04616</t>
  </si>
  <si>
    <t>12/23/2025 10:32:54 PM</t>
  </si>
  <si>
    <t>SR021220252238</t>
  </si>
  <si>
    <t>A968459X5C10115</t>
  </si>
  <si>
    <t>P25C04618</t>
  </si>
  <si>
    <t>12/23/2025 11:00:47 PM</t>
  </si>
  <si>
    <t>RK125</t>
  </si>
  <si>
    <t>GB200 Firmware flash fail EGM fail - The EGM setting for GPU_0,GPU_1,GPU_2,GPU_3 is null, which does not match the required value true</t>
  </si>
  <si>
    <t>A968459X5C12506</t>
  </si>
  <si>
    <t>P25C04619</t>
  </si>
  <si>
    <t>12/23/2025 11:04:06 PM</t>
  </si>
  <si>
    <t>SR021223251019</t>
  </si>
  <si>
    <t>PMB BATTERY BROKEN(CMOS)</t>
  </si>
  <si>
    <t>SV25441924</t>
  </si>
  <si>
    <t>SV25381543</t>
  </si>
  <si>
    <t>P25C04620</t>
  </si>
  <si>
    <t>12/23/2025 11:04:31 PM</t>
  </si>
  <si>
    <t>A968459X5C10338</t>
  </si>
  <si>
    <t>12/24/2025</t>
  </si>
  <si>
    <t>P25C04713</t>
  </si>
  <si>
    <t>12/24/2025 9:14:55 AM</t>
  </si>
  <si>
    <t>CC_導致R-Burn Fail_已更換_PM1265</t>
  </si>
  <si>
    <t>P25C04735</t>
  </si>
  <si>
    <t>12/24/2025 9:58:06 AM</t>
  </si>
  <si>
    <t>SR021223257346</t>
  </si>
  <si>
    <t>A968459X5C09955</t>
  </si>
  <si>
    <t>P25C04742</t>
  </si>
  <si>
    <t>12/24/2025 10:33:36 AM</t>
  </si>
  <si>
    <t>Cable cartridge Defect CBC 2</t>
  </si>
  <si>
    <t>P25C04809</t>
  </si>
  <si>
    <t>12/24/2025 12:28:17 PM</t>
  </si>
  <si>
    <t>Cable Cartridge L11 FD Test [FAIL] COMPUTE_NODE_17 | DGX-000000000125 | CableCartridgeEepromCheck | cable_cartridge | /CBC_2. Error message =&gt; The requested resource of type Chassis named 'CBC_2' was not found</t>
  </si>
  <si>
    <t>A968459X5C09938</t>
  </si>
  <si>
    <t>P25C04810</t>
  </si>
  <si>
    <t>12/24/2025 1:11:13 PM</t>
  </si>
  <si>
    <t>SR021223254280</t>
  </si>
  <si>
    <t>開機一段時間後 自動關機(補水過無效)_已更換_PM1265</t>
  </si>
  <si>
    <t>A968459X5C08786</t>
  </si>
  <si>
    <t>A968459X5C08894</t>
  </si>
  <si>
    <t>P25C04811</t>
  </si>
  <si>
    <t>12/24/2025 1:11:48 PM</t>
  </si>
  <si>
    <t>SR021220256925</t>
  </si>
  <si>
    <t>A968459X5C09951</t>
  </si>
  <si>
    <t>P25C04812</t>
  </si>
  <si>
    <t>12/24/2025 1:12:15 PM</t>
  </si>
  <si>
    <t>A968459X5C09956</t>
  </si>
  <si>
    <t>A968459X5C08898</t>
  </si>
  <si>
    <t>P25C04847</t>
  </si>
  <si>
    <t>12/24/2025 2:08:58 PM</t>
  </si>
  <si>
    <t>批量發報C5_Lane_17, link_none,0, 0 固定位置</t>
  </si>
  <si>
    <t>A968459X5C08899</t>
  </si>
  <si>
    <t>P25C04863</t>
  </si>
  <si>
    <t>12/24/2025 2:49:41 PM</t>
  </si>
  <si>
    <t>10.10.86.127 only 0 Fabric state shows OK, expected 4 For more information</t>
  </si>
  <si>
    <t>P25C04864</t>
  </si>
  <si>
    <t>10.10.120.215 only 0 Fabric state shows OK, expected 4 For more information</t>
  </si>
  <si>
    <t>A968459X5C09643</t>
    <phoneticPr fontId="7" type="noConversion"/>
  </si>
  <si>
    <t>A968459X5C12493</t>
    <phoneticPr fontId="7" type="noConversion"/>
  </si>
  <si>
    <t>A968459X5C10123</t>
    <phoneticPr fontId="7" type="noConversion"/>
  </si>
  <si>
    <t>A968459X5C07090</t>
    <phoneticPr fontId="7" type="noConversion"/>
  </si>
  <si>
    <t>A968459X5C12881</t>
    <phoneticPr fontId="7" type="noConversion"/>
  </si>
  <si>
    <t>A968459X5C10246</t>
    <phoneticPr fontId="7" type="noConversion"/>
  </si>
  <si>
    <t>A968459X5C03543</t>
    <phoneticPr fontId="7" type="noConversion"/>
  </si>
  <si>
    <t>A968459X5C06096</t>
    <phoneticPr fontId="7" type="noConversion"/>
  </si>
  <si>
    <t>A968459X5C08932</t>
    <phoneticPr fontId="7" type="noConversion"/>
  </si>
  <si>
    <t>A968459X5C07074</t>
    <phoneticPr fontId="7" type="noConversion"/>
  </si>
  <si>
    <t>A968459X5C08786</t>
    <phoneticPr fontId="7" type="noConversion"/>
  </si>
  <si>
    <t>A968459X5C10256</t>
    <phoneticPr fontId="7" type="noConversion"/>
  </si>
  <si>
    <t>A968459X5C09956</t>
    <phoneticPr fontId="7" type="noConversion"/>
  </si>
  <si>
    <t>A968459X5C09646</t>
    <phoneticPr fontId="7" type="noConversion"/>
  </si>
  <si>
    <t>A968459X5C05229</t>
    <phoneticPr fontId="7" type="noConversion"/>
  </si>
  <si>
    <t>A968459X5C04001</t>
    <phoneticPr fontId="7" type="noConversion"/>
  </si>
  <si>
    <t>P25C04879</t>
  </si>
  <si>
    <t>12/24/2025 5:19:31 PM</t>
  </si>
  <si>
    <t>L11 Rack0_SW7_acp42,CC1_C10_Lane_14, link_bad_quality</t>
  </si>
  <si>
    <t>P25C04880</t>
  </si>
  <si>
    <t>12/24/2025 9:59:22 PM</t>
  </si>
  <si>
    <t>SR021223255681</t>
  </si>
  <si>
    <t>P25C04881</t>
  </si>
  <si>
    <t>12/24/2025 10:00:19 PM</t>
  </si>
  <si>
    <t>SR021223255708</t>
  </si>
  <si>
    <t>L11 Cable cartridge Defect 來料不良 (BENT PIN)</t>
  </si>
  <si>
    <t>P25C04882</t>
  </si>
  <si>
    <t>12/24/2025 6:29:32 PM</t>
  </si>
  <si>
    <t>SR021223255714</t>
  </si>
  <si>
    <t>A968459X5C12769</t>
  </si>
  <si>
    <t>P25C04883</t>
  </si>
  <si>
    <t>12/24/2025 6:31:00 PM</t>
  </si>
  <si>
    <t>A968459X5C08152</t>
  </si>
  <si>
    <t>P25C04890</t>
  </si>
  <si>
    <t>12/24/2025 7:50:22 PM</t>
  </si>
  <si>
    <t>BMC EventLog: The health of resource `Chassis_0_LeakDetector_0_ColdPlate` has changed to Open.</t>
  </si>
  <si>
    <t>A968459X5C08496</t>
  </si>
  <si>
    <t>P25C04898</t>
  </si>
  <si>
    <t>12/24/2025 8:25:50 PM</t>
  </si>
  <si>
    <t>SR021223258610</t>
  </si>
  <si>
    <t>A968459X5C10256</t>
  </si>
  <si>
    <t>P25C04902</t>
  </si>
  <si>
    <t>12/24/2025 9:10:33 PM</t>
  </si>
  <si>
    <t>A968459X5C13785</t>
  </si>
  <si>
    <t>P25C04907</t>
  </si>
  <si>
    <t>12/24/2025 9:45:09 PM</t>
  </si>
  <si>
    <t>SR021223252127</t>
  </si>
  <si>
    <t>C2C bus error</t>
  </si>
  <si>
    <t>A968459X5C03126</t>
  </si>
  <si>
    <t>P25C04918</t>
  </si>
  <si>
    <t>12/24/2025 10:26:51 PM</t>
  </si>
  <si>
    <t>SR021223252955</t>
  </si>
  <si>
    <t>Cable Cartridge Defect_CC1 BENT PIN</t>
  </si>
  <si>
    <t>P25C04931</t>
  </si>
  <si>
    <t>12/24/2025 11:12:30 PM</t>
  </si>
  <si>
    <t>A968459X5C09948</t>
  </si>
  <si>
    <t>P25C05015</t>
  </si>
  <si>
    <t>12/25/2025 3:57:40 PM</t>
  </si>
  <si>
    <t>12/25/2025</t>
  </si>
  <si>
    <t>A968459X5C13518</t>
  </si>
  <si>
    <t>P25C05017</t>
  </si>
  <si>
    <t>12/25/2025 4:03:01 PM</t>
  </si>
  <si>
    <t>A968459X5C05805</t>
  </si>
  <si>
    <t>P25C05020</t>
  </si>
  <si>
    <t>12/25/2025 4:09:34 PM</t>
  </si>
  <si>
    <t>P25C05025</t>
  </si>
  <si>
    <t>12/25/2025 5:19:10 PM</t>
  </si>
  <si>
    <t>L11 NVLink Switch Information Consistent Check fail switch_tray,Rack0_SW2_acp95,CC2_C5_Lane_5, link_bad switch_tray,Rack0_SW2_acp103,CC2_C7_Lane_5, link_bad</t>
  </si>
  <si>
    <t>MT2530602NZB</t>
  </si>
  <si>
    <t>MT2529605159</t>
  </si>
  <si>
    <t>P25C05026</t>
  </si>
  <si>
    <t>12/25/2025 5:27:40 PM</t>
  </si>
  <si>
    <t>SR021220254344</t>
  </si>
  <si>
    <t>Acceptable temperature limits exceeded or the thermal sensor is broken or miscalibrated @(Rack slot 18, CBC 2, 4x19 connector 2)</t>
  </si>
  <si>
    <t>A968459X5C09746</t>
  </si>
  <si>
    <t>P25C05029</t>
  </si>
  <si>
    <t>12/25/2025 5:50:46 PM</t>
  </si>
  <si>
    <t>SR021223254763</t>
  </si>
  <si>
    <t>A968459X5C12733</t>
  </si>
  <si>
    <t>P25C05033</t>
  </si>
  <si>
    <t>12/25/2025 6:21:44 PM</t>
  </si>
  <si>
    <t>SR021223258619</t>
  </si>
  <si>
    <t>Unable to power on and No LED Light</t>
  </si>
  <si>
    <t>A968459X5B14902</t>
  </si>
  <si>
    <t>P25C05052</t>
  </si>
  <si>
    <t>12/25/2025 8:17:26 PM</t>
  </si>
  <si>
    <t>SR021223252410</t>
  </si>
  <si>
    <t>A968459X5C13773</t>
  </si>
  <si>
    <t>P25C05054</t>
  </si>
  <si>
    <t>12/25/2025 8:21:26 PM</t>
  </si>
  <si>
    <t>A968459X5C13778</t>
  </si>
  <si>
    <t>P25C05056</t>
  </si>
  <si>
    <t>12/25/2025 8:23:33 PM</t>
  </si>
  <si>
    <t>NULL</t>
  </si>
  <si>
    <t>MT254160686G</t>
  </si>
  <si>
    <t>MT2529605B7V</t>
  </si>
  <si>
    <t>P25C05057</t>
  </si>
  <si>
    <t>12/25/2025 8:25:41 PM</t>
  </si>
  <si>
    <t>A968459X5C09740</t>
  </si>
  <si>
    <t>P25C05082</t>
  </si>
  <si>
    <t>12/25/2025 10:34:25 PM</t>
  </si>
  <si>
    <t>Error while invoking api /redfish/v1/Chassis/CBC_2. Error message =&gt; The requested resource of type Chassis named 'CBC_2' was not found</t>
  </si>
  <si>
    <t>A968459X5C05222</t>
  </si>
  <si>
    <t>P25C05090</t>
  </si>
  <si>
    <t>12/25/2025 11:07:25 PM</t>
  </si>
  <si>
    <t>L11 BMC Fail, can't connect to BMC</t>
  </si>
  <si>
    <t>A968459X5C13620</t>
  </si>
  <si>
    <t>P25C05122</t>
  </si>
  <si>
    <t>12/26/2025 9:16:19 AM</t>
  </si>
  <si>
    <t>SR021223258068</t>
  </si>
  <si>
    <t>12/26/2025</t>
  </si>
  <si>
    <t>P25C05132</t>
  </si>
  <si>
    <t>12/26/2025 12:40:23 PM</t>
  </si>
  <si>
    <t>SR021223257960</t>
  </si>
  <si>
    <t>C0 only 71 NVLink status shows OK. 固定位置CC2_C0_Lane,12/26 PM894 協助過帳</t>
  </si>
  <si>
    <t>P25C05159</t>
  </si>
  <si>
    <t>12/26/2025 1:50:16 PM</t>
  </si>
  <si>
    <t>A968459X5C09647</t>
    <phoneticPr fontId="7" type="noConversion"/>
  </si>
  <si>
    <t>A968459X5C10096</t>
    <phoneticPr fontId="7" type="noConversion"/>
  </si>
  <si>
    <t>A968459X5C08211</t>
    <phoneticPr fontId="7" type="noConversion"/>
  </si>
  <si>
    <t>A968459X5C09640</t>
    <phoneticPr fontId="7" type="noConversion"/>
  </si>
  <si>
    <t>A968459X5C10256</t>
    <phoneticPr fontId="7" type="noConversion"/>
  </si>
  <si>
    <t>A968459X5B08877</t>
    <phoneticPr fontId="7" type="noConversion"/>
  </si>
  <si>
    <t>A968459X5C08786</t>
    <phoneticPr fontId="7" type="noConversion"/>
  </si>
  <si>
    <t>A968459X5C10284</t>
    <phoneticPr fontId="7" type="noConversion"/>
  </si>
  <si>
    <t>A968459X5C13794</t>
    <phoneticPr fontId="7" type="noConversion"/>
  </si>
  <si>
    <t>A968459X5B04719</t>
    <phoneticPr fontId="7" type="noConversion"/>
  </si>
  <si>
    <t>A968459X5C08919</t>
    <phoneticPr fontId="7" type="noConversion"/>
  </si>
  <si>
    <t>A968459X5C08257</t>
    <phoneticPr fontId="7" type="noConversion"/>
  </si>
  <si>
    <t>A968459X5C01482</t>
    <phoneticPr fontId="7" type="noConversion"/>
  </si>
  <si>
    <t>A968459X5C10282</t>
    <phoneticPr fontId="7" type="noConversion"/>
  </si>
  <si>
    <t>A968459X5C09933</t>
    <phoneticPr fontId="7" type="noConversion"/>
  </si>
  <si>
    <t>A968459X5C09746</t>
    <phoneticPr fontId="7" type="noConversion"/>
  </si>
  <si>
    <t>A968459X5C06066</t>
    <phoneticPr fontId="7" type="noConversion"/>
  </si>
  <si>
    <t>A968459X5C13799</t>
    <phoneticPr fontId="7" type="noConversion"/>
  </si>
  <si>
    <t>P25C05150</t>
  </si>
  <si>
    <t>12/26/2025 11:21:33 PM</t>
  </si>
  <si>
    <t>L11 CC3 BENT PIN@(Rack slot 11</t>
  </si>
  <si>
    <t>P25C05156</t>
  </si>
  <si>
    <t>12/26/2025 1:20:34 PM</t>
  </si>
  <si>
    <t>switch_tray Rack0_SW7_acp38 CC1_C9_Lane_14 link_bad_quality_high_ber 0.0002 15 sudo mlxlink -d /dev/mst/mt54004_pci_cr0 -p 10/1/2 -c --rx_fec_histogram --show_histogram -json</t>
  </si>
  <si>
    <t>A968459X5B11235</t>
  </si>
  <si>
    <t>P25C05166</t>
  </si>
  <si>
    <t>12/26/2025 2:43:43 PM</t>
  </si>
  <si>
    <t>A968459X5C05460</t>
  </si>
  <si>
    <t>P25C05167</t>
  </si>
  <si>
    <t>12/26/2025 2:45:04 PM</t>
  </si>
  <si>
    <t>A968459C5V04150</t>
  </si>
  <si>
    <t>P25C05194</t>
  </si>
  <si>
    <t>12/26/2025 4:24:08 PM</t>
  </si>
  <si>
    <t>SR021223252568</t>
  </si>
  <si>
    <t>A968459X5C08790</t>
  </si>
  <si>
    <t>P25C05196</t>
  </si>
  <si>
    <t>12/26/2025 4:28:20 PM</t>
  </si>
  <si>
    <t>A968459X5C09309</t>
  </si>
  <si>
    <t>P25C05198</t>
  </si>
  <si>
    <t>12/26/2025 4:49:05 PM</t>
  </si>
  <si>
    <t>P25C05201</t>
  </si>
  <si>
    <t>12/26/2025 5:04:39 PM</t>
  </si>
  <si>
    <t>P25C05203</t>
  </si>
  <si>
    <t>12/26/2025 5:08:53 PM</t>
  </si>
  <si>
    <t>P25C05240</t>
  </si>
  <si>
    <t>12/26/2025 7:48:39 PM</t>
  </si>
  <si>
    <t>ECC detected an uncorrectable error in FB @(Rack slot 8, CBC 2, 4x19 connector 2)</t>
  </si>
  <si>
    <t>P25C05285</t>
  </si>
  <si>
    <t>12/26/2025 11:18:39 PM</t>
  </si>
  <si>
    <t>missing one fan 15 only</t>
  </si>
  <si>
    <t>A968459X5C08203</t>
  </si>
  <si>
    <t>P25C05290</t>
  </si>
  <si>
    <t>12/26/2025 11:23:47 PM</t>
  </si>
  <si>
    <t>P25C05336</t>
  </si>
  <si>
    <t>12/27/2025 9:19:56 AM</t>
  </si>
  <si>
    <t>SR021226259547</t>
  </si>
  <si>
    <t>12/27/2025</t>
  </si>
  <si>
    <t>A964512X5C02631</t>
  </si>
  <si>
    <t>P25C05343</t>
  </si>
  <si>
    <t>12/27/2025 9:58:04 AM</t>
  </si>
  <si>
    <t>SR021223255383</t>
  </si>
  <si>
    <t>A968459X5C09910</t>
  </si>
  <si>
    <t>P25C05345</t>
  </si>
  <si>
    <t>12/27/2025 10:00:28 AM</t>
  </si>
  <si>
    <t>P25C05346</t>
  </si>
  <si>
    <t>12/27/2025 10:01:11 AM</t>
  </si>
  <si>
    <t>P25C05400</t>
  </si>
  <si>
    <t>12/27/2025 3:20:34 PM</t>
  </si>
  <si>
    <t>SR021223257638</t>
  </si>
  <si>
    <t>Unable to power on - NO POWER LED LIGHT.</t>
  </si>
  <si>
    <t>A968459X5C09909</t>
  </si>
  <si>
    <t>P25C05418</t>
  </si>
  <si>
    <t>12/27/2025 5:07:16 PM</t>
  </si>
  <si>
    <t>A968459X5C09906</t>
  </si>
  <si>
    <t>A968459X5B16283</t>
    <phoneticPr fontId="7" type="noConversion"/>
  </si>
  <si>
    <t>A968459X5C09669</t>
    <phoneticPr fontId="7" type="noConversion"/>
  </si>
  <si>
    <t>A968459X5C08332</t>
    <phoneticPr fontId="7" type="noConversion"/>
  </si>
  <si>
    <t>A968459X5C10243</t>
    <phoneticPr fontId="7" type="noConversion"/>
  </si>
  <si>
    <t>A968459X5C08790</t>
    <phoneticPr fontId="7" type="noConversion"/>
  </si>
  <si>
    <t>A968459X5C08901</t>
    <phoneticPr fontId="7" type="noConversion"/>
  </si>
  <si>
    <t>A968459X5C08735</t>
    <phoneticPr fontId="7" type="noConversion"/>
  </si>
  <si>
    <t>A968459X5C05919</t>
    <phoneticPr fontId="7" type="noConversion"/>
  </si>
  <si>
    <t>A968459X5C10260</t>
    <phoneticPr fontId="7" type="noConversion"/>
  </si>
  <si>
    <t>A968459X5C09309</t>
    <phoneticPr fontId="7" type="noConversion"/>
  </si>
  <si>
    <t>A968459X5C12870</t>
    <phoneticPr fontId="7" type="noConversion"/>
  </si>
  <si>
    <t>A968459X5C03543</t>
    <phoneticPr fontId="7" type="noConversion"/>
  </si>
  <si>
    <t>A968459X5C09951</t>
    <phoneticPr fontId="7" type="noConversion"/>
  </si>
  <si>
    <t>A968459X5C13783</t>
    <phoneticPr fontId="7" type="noConversion"/>
  </si>
  <si>
    <t>A964512X5B11970</t>
    <phoneticPr fontId="7" type="noConversion"/>
  </si>
  <si>
    <t>開機鍵無作用_更換單機_TW640</t>
    <phoneticPr fontId="7" type="noConversion"/>
  </si>
  <si>
    <t>A968459X5C09746</t>
    <phoneticPr fontId="7" type="noConversion"/>
  </si>
  <si>
    <t>自動關機_二次驗證_交換機櫃一樣_遠端GPU過熱__更換單機_TW640</t>
    <phoneticPr fontId="7" type="noConversion"/>
  </si>
  <si>
    <t>A968459X5C13790</t>
    <phoneticPr fontId="7" type="noConversion"/>
  </si>
  <si>
    <t>P25C05441</t>
  </si>
  <si>
    <t>12/27/2025 6:31:57 PM</t>
  </si>
  <si>
    <t>The requested resource of type Chassis named 'CBC_2' was not found.</t>
  </si>
  <si>
    <t>A968459X5C09908</t>
  </si>
  <si>
    <t>P25C05448</t>
  </si>
  <si>
    <t>12/27/2025 7:55:33 PM</t>
  </si>
  <si>
    <t>SR021223251288</t>
  </si>
  <si>
    <t>L11 Cable cartridge Defect BENT PIN SR021223251288</t>
  </si>
  <si>
    <t>P25C05449</t>
  </si>
  <si>
    <t>12/27/2025 7:56:41 PM</t>
  </si>
  <si>
    <t>NVLINK Switch Functional Issue - Stop updating at 10%,</t>
  </si>
  <si>
    <t>MT25286001B2</t>
  </si>
  <si>
    <t>MT2546601MQL</t>
  </si>
  <si>
    <t>P25C05464</t>
  </si>
  <si>
    <t>12/27/2025 8:47:55 PM</t>
  </si>
  <si>
    <t>SR021226256710</t>
  </si>
  <si>
    <t>Cable cartridge Defect - BENT PIN CC0_SW1 RACK SLOT #10</t>
  </si>
  <si>
    <t>P25C05476</t>
  </si>
  <si>
    <t>12/27/2025 11:09:24 PM</t>
  </si>
  <si>
    <t>GB200 L11 Compute Tray Nvidia Field Diag Test fail - CC2_C8_Lane_17 link_none</t>
  </si>
  <si>
    <t>A964512X5C07737</t>
  </si>
  <si>
    <t>P25C05482</t>
  </si>
  <si>
    <t>12/28/2025 10:51:30 PM</t>
  </si>
  <si>
    <t>SR021223257672</t>
  </si>
  <si>
    <t>12/28/2025</t>
  </si>
  <si>
    <t>L11 TEST FAIL:powershelf #6 PMC Version: 3.1.6-dev-20250606</t>
  </si>
  <si>
    <t>SV25440459</t>
  </si>
  <si>
    <t>SV25383127</t>
  </si>
  <si>
    <t>P25C05536</t>
  </si>
  <si>
    <t>12/28/2025 3:40:58 PM</t>
  </si>
  <si>
    <t>SR021223251386</t>
  </si>
  <si>
    <t>RK208</t>
  </si>
  <si>
    <t>The EGM setting for GPU_2 is null, which does not match the required value true</t>
  </si>
  <si>
    <t>A968459X5C12882</t>
  </si>
  <si>
    <t>P25C05540</t>
  </si>
  <si>
    <t>12/28/2025 5:04:49 PM</t>
  </si>
  <si>
    <t>A968459X5A10478</t>
  </si>
  <si>
    <t>P25C05549</t>
  </si>
  <si>
    <t>12/28/2025 5:40:09 PM</t>
  </si>
  <si>
    <t>SR021223258228</t>
  </si>
  <si>
    <t>A968459X5C10828</t>
  </si>
  <si>
    <t>P25C05552</t>
  </si>
  <si>
    <t>12/28/2025 6:10:16 PM</t>
  </si>
  <si>
    <t>SR021227252080</t>
  </si>
  <si>
    <t>A964512X5C08527</t>
  </si>
  <si>
    <t>P25C05559</t>
  </si>
  <si>
    <t>12/28/2025 8:03:45 PM</t>
  </si>
  <si>
    <t>Shutdow when fd test GPIO alert log in BMC log</t>
  </si>
  <si>
    <t>A968459X5C12887</t>
  </si>
  <si>
    <t>P25C05565</t>
  </si>
  <si>
    <t>12/28/2025 8:36:18 PM</t>
  </si>
  <si>
    <t>A968459X5C13791</t>
  </si>
  <si>
    <t>P25C05575</t>
  </si>
  <si>
    <t>12/28/2025 9:36:54 PM</t>
  </si>
  <si>
    <t>A968459X5C10096</t>
  </si>
  <si>
    <t>P25C05583</t>
  </si>
  <si>
    <t>12/28/2025 10:53:20 PM</t>
  </si>
  <si>
    <t>A968459X5B09471</t>
  </si>
  <si>
    <t>P25C05622</t>
  </si>
  <si>
    <t>12/29/2025 8:07:52 AM</t>
  </si>
  <si>
    <t>SR021226251126</t>
  </si>
  <si>
    <t>12/29/2025</t>
  </si>
  <si>
    <t>P25C05627</t>
  </si>
  <si>
    <t>12/29/2025 8:20:34 AM</t>
  </si>
  <si>
    <t>P25C05628</t>
  </si>
  <si>
    <t>12/29/2025 8:22:28 AM</t>
  </si>
  <si>
    <t>P25C05677</t>
  </si>
  <si>
    <t>12/29/2025 2:15:15 PM</t>
  </si>
  <si>
    <t>LAN 燈號異常</t>
  </si>
  <si>
    <t>A968459X5B10480</t>
  </si>
  <si>
    <t>P25C05686</t>
  </si>
  <si>
    <t>12/29/2025 3:07:06 PM</t>
  </si>
  <si>
    <t>Single Node NCCL Test failed</t>
  </si>
  <si>
    <t>A968459X5C09911</t>
  </si>
  <si>
    <t>P25C05687</t>
  </si>
  <si>
    <t>12/29/2025 3:08:30 PM</t>
  </si>
  <si>
    <t>A968459X5C09907</t>
  </si>
  <si>
    <t>A964512X5C01263</t>
    <phoneticPr fontId="7" type="noConversion"/>
  </si>
  <si>
    <t>A968459X5C12771</t>
    <phoneticPr fontId="7" type="noConversion"/>
  </si>
  <si>
    <t>A968459X5C02937</t>
    <phoneticPr fontId="7" type="noConversion"/>
  </si>
  <si>
    <t>L11 Compute Node Information Consistent Check fail</t>
    <phoneticPr fontId="7" type="noConversion"/>
  </si>
  <si>
    <t>A968459X5C03540</t>
    <phoneticPr fontId="7" type="noConversion"/>
  </si>
  <si>
    <t>A964512X5C05702</t>
    <phoneticPr fontId="7" type="noConversion"/>
  </si>
  <si>
    <t>A968459X5C09906</t>
    <phoneticPr fontId="7" type="noConversion"/>
  </si>
  <si>
    <t>A968459X5C12386</t>
    <phoneticPr fontId="7" type="noConversion"/>
  </si>
  <si>
    <t>A968459X5C13203</t>
    <phoneticPr fontId="7" type="noConversion"/>
  </si>
  <si>
    <t>A968459X5B04911</t>
    <phoneticPr fontId="7" type="noConversion"/>
  </si>
  <si>
    <t>A968459X5C09669</t>
    <phoneticPr fontId="7" type="noConversion"/>
  </si>
  <si>
    <t>A968459X5C09911</t>
    <phoneticPr fontId="7" type="noConversion"/>
  </si>
  <si>
    <t>P25C05691</t>
  </si>
  <si>
    <t>12/29/2025 3:46:48 PM</t>
  </si>
  <si>
    <t>A968459X5C08307</t>
  </si>
  <si>
    <t>P25C05709</t>
  </si>
  <si>
    <t>12/29/2025 6:34:26 PM</t>
  </si>
  <si>
    <t>A968459X5B16021</t>
  </si>
  <si>
    <t>P25C05714</t>
  </si>
  <si>
    <t>12/29/2025 8:13:54 PM</t>
  </si>
  <si>
    <t>P25C05723</t>
  </si>
  <si>
    <t>12/29/2025 8:47:46 PM</t>
  </si>
  <si>
    <t>A968459X5C09751</t>
  </si>
  <si>
    <t>P25C05725</t>
  </si>
  <si>
    <t>12/29/2025 10:03:12 PM</t>
  </si>
  <si>
    <t>SR021227255932</t>
  </si>
  <si>
    <t>A964512X5C08366</t>
  </si>
  <si>
    <t>P25C05740</t>
  </si>
  <si>
    <t>12/29/2025 11:00:08 PM</t>
  </si>
  <si>
    <t>FW_CPLD_0 null does not match the required 0d</t>
  </si>
  <si>
    <t>A968459X5B15314</t>
  </si>
  <si>
    <t>P25C05742</t>
  </si>
  <si>
    <t>12/29/2025 11:05:31 PM</t>
  </si>
  <si>
    <t>SR021223253629</t>
  </si>
  <si>
    <t>L11 NVLink Switch Information Consistent Check fail (BMC IP AND MAC ARE NULL)</t>
  </si>
  <si>
    <t>MT2529602ACN</t>
  </si>
  <si>
    <t>MT2529605B7T</t>
  </si>
  <si>
    <t>P25C05744</t>
  </si>
  <si>
    <t>12/29/2025 11:39:32 PM</t>
  </si>
  <si>
    <t>SR021227251068</t>
  </si>
  <si>
    <t>A964512X5C08348</t>
  </si>
  <si>
    <t>P25C05770</t>
  </si>
  <si>
    <t>12/30/2025 1:39:13 AM</t>
  </si>
  <si>
    <t>12/30/2025</t>
  </si>
  <si>
    <t>ECC detected an uncorrectable error in FB @(Rack slot 21, CBC 2, 4x19 connector 2)</t>
  </si>
  <si>
    <t>A968459X5C08218</t>
  </si>
  <si>
    <t>P25C05790</t>
  </si>
  <si>
    <t>12/30/2025 7:38:42 AM</t>
  </si>
  <si>
    <t>SR021227253221</t>
  </si>
  <si>
    <t>comp_tray,Rack0_SW1_acp32,CC3_C7_Lane_2, link_none,0, 0</t>
  </si>
  <si>
    <t>A964512X5B10333</t>
  </si>
  <si>
    <t>P25C05794</t>
  </si>
  <si>
    <t>12/30/2025 7:59:49 AM</t>
  </si>
  <si>
    <t>Cable cartridge Defect 交換驗證跟著Cable cartridge</t>
  </si>
  <si>
    <t>P25C05810</t>
  </si>
  <si>
    <t>12/30/2025 9:40:30 AM</t>
  </si>
  <si>
    <t>SR021227252667</t>
  </si>
  <si>
    <t>更新無作用</t>
  </si>
  <si>
    <t>MT2527603DK5</t>
  </si>
  <si>
    <t>MT25326007L5</t>
  </si>
  <si>
    <t>P25C05842</t>
  </si>
  <si>
    <t>12/30/2025 12:25:17 PM</t>
  </si>
  <si>
    <t>SR021227254644</t>
  </si>
  <si>
    <t>RK013</t>
  </si>
  <si>
    <t>開機按鍵無作用_更換_TW640</t>
  </si>
  <si>
    <t>A964512X5C01820</t>
  </si>
  <si>
    <t>P25C05863</t>
  </si>
  <si>
    <t>12/30/2025 2:28:15 PM</t>
  </si>
  <si>
    <t>P25C05865</t>
  </si>
  <si>
    <t>12/30/2025 2:33:01 PM</t>
  </si>
  <si>
    <t>A968459X5C09907</t>
    <phoneticPr fontId="7" type="noConversion"/>
  </si>
  <si>
    <t>A968459X5B01288</t>
    <phoneticPr fontId="7" type="noConversion"/>
  </si>
  <si>
    <t>A968459X5C08307</t>
    <phoneticPr fontId="7" type="noConversion"/>
  </si>
  <si>
    <t>A964512X5C01667</t>
    <phoneticPr fontId="7" type="noConversion"/>
  </si>
  <si>
    <t>A968459X5B16290</t>
    <phoneticPr fontId="7" type="noConversion"/>
  </si>
  <si>
    <t>A964512X5C05680</t>
    <phoneticPr fontId="7" type="noConversion"/>
  </si>
  <si>
    <t>A968459X5C12580</t>
    <phoneticPr fontId="7" type="noConversion"/>
  </si>
  <si>
    <t>A964512X5C02061</t>
    <phoneticPr fontId="7" type="noConversion"/>
  </si>
  <si>
    <t>A964512X5B16553</t>
    <phoneticPr fontId="7" type="noConversion"/>
  </si>
  <si>
    <t>P25C05897</t>
  </si>
  <si>
    <t>12/30/2025 5:08:40 PM</t>
  </si>
  <si>
    <t>A964512X5B11645</t>
  </si>
  <si>
    <t>A964512X5C00516</t>
  </si>
  <si>
    <t>P25C05935</t>
  </si>
  <si>
    <t>12/30/2025 11:03:31 PM</t>
  </si>
  <si>
    <t>SR021227253631</t>
  </si>
  <si>
    <t>RK197</t>
  </si>
  <si>
    <t>L11 Cable Cartridge fail</t>
  </si>
  <si>
    <t>P25C05936</t>
  </si>
  <si>
    <t>12/30/2025 11:21:42 PM</t>
  </si>
  <si>
    <t>SR021223252813</t>
  </si>
  <si>
    <t>A968459X5B11402</t>
  </si>
  <si>
    <t>P25C05960</t>
  </si>
  <si>
    <t>12/31/2025 12:56:23 AM</t>
  </si>
  <si>
    <t>SR021227254945</t>
  </si>
  <si>
    <t>12/31/2025</t>
  </si>
  <si>
    <t>A964512X5C00548</t>
  </si>
  <si>
    <t>A964512X5B16409</t>
  </si>
  <si>
    <t>P25C05961</t>
  </si>
  <si>
    <t>12/31/2025 12:57:29 AM</t>
  </si>
  <si>
    <t>A964512X5B16408</t>
  </si>
  <si>
    <t>P25C05988</t>
  </si>
  <si>
    <t>12/31/2025 8:07:15 AM</t>
  </si>
  <si>
    <t>P25C05989</t>
  </si>
  <si>
    <t>P25C06047</t>
  </si>
  <si>
    <t>12/31/2025 1:50:46 PM</t>
  </si>
  <si>
    <t>SR021227251311</t>
  </si>
  <si>
    <t>L11 TEST FAIL:SW2_CC2_C12,link_bad_quality_high_ber 12/31 PM894 協助過帳</t>
  </si>
  <si>
    <t>P25C06049</t>
  </si>
  <si>
    <t>12/31/2025 12:57:08 PM</t>
  </si>
  <si>
    <t>SR021230256171</t>
  </si>
  <si>
    <t>開機按鍵無作用</t>
  </si>
  <si>
    <t>A964512X5C03312</t>
  </si>
  <si>
    <t>A964512X5C01815</t>
  </si>
  <si>
    <t>P25C00128</t>
  </si>
  <si>
    <t>12/1/2025 5:29:44 PM</t>
  </si>
  <si>
    <t>A968459X5B14288</t>
  </si>
  <si>
    <t>A968459X5B16178</t>
  </si>
  <si>
    <t>P25C00131</t>
  </si>
  <si>
    <t>12/1/2025 5:53:24 PM</t>
  </si>
  <si>
    <t>A968459X5B14823</t>
  </si>
  <si>
    <t>A968459X5B16177</t>
  </si>
  <si>
    <t>P25C00146</t>
  </si>
  <si>
    <t>12/1/2025 7:40:26 PM</t>
  </si>
  <si>
    <t>A968459X5B14174</t>
  </si>
  <si>
    <t>P25C00148</t>
  </si>
  <si>
    <t>12/1/2025 7:58:00 PM</t>
  </si>
  <si>
    <t>unable to power on LED LIGHT IS WEAK</t>
  </si>
  <si>
    <t>A968459X5B15299</t>
  </si>
  <si>
    <t>P25C00176</t>
  </si>
  <si>
    <t>12/1/2025 10:24:51 PM</t>
  </si>
  <si>
    <t>A968459X5B14765</t>
  </si>
  <si>
    <t>P25C00471</t>
  </si>
  <si>
    <t>12/3/2025 9:08:02 AM</t>
  </si>
  <si>
    <t>SR021128255132</t>
  </si>
  <si>
    <t>A968459X5B15258</t>
  </si>
  <si>
    <t>A968459X5B14946</t>
  </si>
  <si>
    <t>P25C00474</t>
  </si>
  <si>
    <t>12/3/2025 9:10:05 AM</t>
  </si>
  <si>
    <t>A968459X5B15385</t>
  </si>
  <si>
    <t>A968459X5B14947</t>
  </si>
  <si>
    <t>P25C00501</t>
  </si>
  <si>
    <t>12/3/2025 12:39:32 PM</t>
  </si>
  <si>
    <t>nvlink NETIR_LINK_DOWN Fatal interrupt detected</t>
  </si>
  <si>
    <t>A968459X5B15148</t>
  </si>
  <si>
    <t>A968459X5B14930</t>
  </si>
  <si>
    <t>P25C00557</t>
  </si>
  <si>
    <t>12/3/2025 5:22:41 PM</t>
  </si>
  <si>
    <t>power led no light in the Bmc</t>
  </si>
  <si>
    <t>A968459X5B11796</t>
  </si>
  <si>
    <t>A968459X5B14929</t>
  </si>
  <si>
    <t>P25C00762</t>
  </si>
  <si>
    <t>12/4/2025 2:33:46 PM</t>
  </si>
  <si>
    <t>SR021201255902</t>
  </si>
  <si>
    <t>開機自動關機已對單機補過水冷液一樣_更換單機_TW640</t>
  </si>
  <si>
    <t>A968459X5C00322</t>
  </si>
  <si>
    <t>A968459X5B15879</t>
  </si>
  <si>
    <t>P25C00763</t>
  </si>
  <si>
    <t>A968459X5B08613</t>
  </si>
  <si>
    <t>A968459X5B15882</t>
  </si>
  <si>
    <t>P25C00764</t>
  </si>
  <si>
    <t>12/4/2025 2:34:38 PM</t>
  </si>
  <si>
    <t>A968459X5B15870</t>
  </si>
  <si>
    <t>A968459X5B15869</t>
  </si>
  <si>
    <t>P25C00820</t>
  </si>
  <si>
    <t>12/4/2025 7:52:36 PM</t>
  </si>
  <si>
    <t>SR021201252295</t>
  </si>
  <si>
    <t>A968459X5B14918</t>
  </si>
  <si>
    <t>A968459X5C00167</t>
  </si>
  <si>
    <t>P25C01016</t>
  </si>
  <si>
    <t>12/5/2025 12:21:28 PM</t>
  </si>
  <si>
    <t>交換驗證跟著走COMPUTE_NODE_9 | DGX-000000000125 | cable_cartridge The requested resource of type Chassis named 'CBC_3'_更換單機_TW640</t>
  </si>
  <si>
    <t>A968459X5B01288</t>
  </si>
  <si>
    <t>A968459X5B14869</t>
  </si>
  <si>
    <t>P25C01416</t>
  </si>
  <si>
    <t>12/8/2025 8:19:05 AM</t>
  </si>
  <si>
    <t>C7 Error while invoking api /redfish/v1/Chassis/CBC_1跟著NODE待驗</t>
  </si>
  <si>
    <t>A964512X5C01830</t>
  </si>
  <si>
    <t>P25C01743</t>
  </si>
  <si>
    <t>12/9/2025 6:35:25 PM</t>
  </si>
  <si>
    <t>A964512X5C03207</t>
  </si>
  <si>
    <t>A964512X5C01709</t>
  </si>
  <si>
    <t>P25C01972</t>
  </si>
  <si>
    <t>12/10/2025 8:43:27 PM</t>
  </si>
  <si>
    <t>A964512X5C01348</t>
  </si>
  <si>
    <t>A964512X5C01656</t>
  </si>
  <si>
    <t>P25C01976</t>
  </si>
  <si>
    <t>12/10/2025 8:50:36 PM</t>
  </si>
  <si>
    <t>SR021206255928</t>
  </si>
  <si>
    <t>Single Node NCCL Test failed wrong computer password</t>
  </si>
  <si>
    <t>A964512X5C01092</t>
  </si>
  <si>
    <t>A964512X5C01613</t>
  </si>
  <si>
    <t>P25C01977</t>
  </si>
  <si>
    <t>12/10/2025 8:58:12 PM</t>
  </si>
  <si>
    <t>A964512X5C03211</t>
  </si>
  <si>
    <t>A964512X5C00772</t>
  </si>
  <si>
    <t>P25C02004</t>
  </si>
  <si>
    <t>12/11/2025 12:32:36 AM</t>
  </si>
  <si>
    <t>A968459X5B16966</t>
  </si>
  <si>
    <t>A968459X5C02959</t>
  </si>
  <si>
    <t>P25C02028</t>
  </si>
  <si>
    <t>12/11/2025 1:18:13 AM</t>
  </si>
  <si>
    <t>A964512X5C01744</t>
  </si>
  <si>
    <t>A964512X5C01573</t>
  </si>
  <si>
    <t>P25C02100</t>
  </si>
  <si>
    <t>12/11/2025 2:09:39 PM</t>
  </si>
  <si>
    <t>only 71 NVLink</t>
  </si>
  <si>
    <t>A968459X5B16083</t>
  </si>
  <si>
    <t>P25C02101</t>
  </si>
  <si>
    <t>A968459X5B16097</t>
  </si>
  <si>
    <t>A968459X5C00232</t>
  </si>
  <si>
    <t>P25C06093</t>
  </si>
  <si>
    <t>12/31/2025 4:53:23 PM</t>
  </si>
  <si>
    <t>CBC_3_slot_id | Slot Id mismatch found 27 expected 20</t>
  </si>
  <si>
    <t>P25C06096</t>
  </si>
  <si>
    <t>12/31/2025 5:06:03 PM</t>
  </si>
  <si>
    <t>P25C06102</t>
  </si>
  <si>
    <t>12/31/2025 5:54:52 PM</t>
  </si>
  <si>
    <t>MT254160686E</t>
  </si>
  <si>
    <t>MT25326007L3</t>
  </si>
  <si>
    <t>P25C06103</t>
  </si>
  <si>
    <t>12/31/2025 5:55:40 PM</t>
  </si>
  <si>
    <t>Liquid cooling device has leakage! log: debug/liquid_cooling_device_leakage_detection_sel.log</t>
  </si>
  <si>
    <t>A964512X5C01286</t>
  </si>
  <si>
    <t>P25C06127</t>
  </si>
  <si>
    <t>12/31/2025 9:49:06 PM</t>
  </si>
  <si>
    <t>SR021223255480</t>
  </si>
  <si>
    <t>A968459X5C05504</t>
  </si>
  <si>
    <t>P26100036</t>
  </si>
  <si>
    <t>1/1/2026 10:54:11 AM</t>
  </si>
  <si>
    <t>RK207</t>
  </si>
  <si>
    <t>1/1/2026</t>
  </si>
  <si>
    <t>GB200 L11 18 Node NCCL Test fail _nvidia-nccl-test_all_reduce FAIL</t>
  </si>
  <si>
    <t>A964512X5C05726</t>
  </si>
  <si>
    <t>P26100049</t>
  </si>
  <si>
    <t>1/1/2026 12:37:41 PM</t>
  </si>
  <si>
    <t>Cable cartridge Defect_CBC_3_slot_id | Slot Id mismatch found 27 expected 20_RYAN表示CC2和CC3可能都有問題需更換</t>
  </si>
  <si>
    <t>P26100050</t>
  </si>
  <si>
    <t>Cable cartridge Defect_CBC_3_slot_id | Slot Id mismatch found 27 expected 20RYAN表示CC2和CC3可能都有問題需更換</t>
  </si>
  <si>
    <t>P26100053</t>
  </si>
  <si>
    <t>1/1/2026 12:56:18 PM</t>
  </si>
  <si>
    <t>GB200 L11 Compute Tray Nvidia Field Diag Test failC2C bus error @(Rack slot 22, CBC 3, 4x19 connector 3)</t>
  </si>
  <si>
    <t>A968459X5C02937</t>
  </si>
  <si>
    <t>P26100077</t>
  </si>
  <si>
    <t>1/1/2026 3:28:01 PM</t>
  </si>
  <si>
    <t>SR021230256950</t>
  </si>
  <si>
    <t>A964512X5C05696</t>
  </si>
  <si>
    <t>P26100081</t>
  </si>
  <si>
    <t>1/1/2026 3:42:00 PM</t>
  </si>
  <si>
    <t>GPU name no MaxQ in DMI GPU SN: 1654225049213</t>
  </si>
  <si>
    <t>A968459X5B14004</t>
  </si>
  <si>
    <t>P26100088</t>
  </si>
  <si>
    <t>1/1/2026 5:17:06 PM</t>
  </si>
  <si>
    <t>Cable cartridge Defect - CC FD TEST FAIL</t>
  </si>
  <si>
    <t>P26100089</t>
  </si>
  <si>
    <t>1/1/2026 5:19:01 PM</t>
  </si>
  <si>
    <t>CC FD TEST FAIL</t>
  </si>
  <si>
    <t>MT2533600Z5A</t>
  </si>
  <si>
    <t>MT2529605BFN</t>
  </si>
  <si>
    <t>P26100090</t>
  </si>
  <si>
    <t>1/1/2026 5:30:59 PM</t>
  </si>
  <si>
    <t>ONLY 71 NVLINK GPU3 LINK2 INACTIVE</t>
  </si>
  <si>
    <t>A968459X5C09724</t>
  </si>
  <si>
    <t>P26100092</t>
  </si>
  <si>
    <t>1/1/2026 5:36:42 PM</t>
  </si>
  <si>
    <t>CC FD TEST FAILED SLOT / TRAY ID MISMATCH</t>
  </si>
  <si>
    <t>A968459X5C08893</t>
  </si>
  <si>
    <t>P26100093</t>
  </si>
  <si>
    <t>1/1/2026 5:37:41 PM</t>
  </si>
  <si>
    <t>A968459X5C05591</t>
  </si>
  <si>
    <t>P26100094</t>
  </si>
  <si>
    <t>1/1/2026 5:39:35 PM</t>
  </si>
  <si>
    <t>P26100098</t>
  </si>
  <si>
    <t>1/1/2026 5:57:54 PM</t>
  </si>
  <si>
    <t>SR021230252693</t>
  </si>
  <si>
    <t>P26100102</t>
  </si>
  <si>
    <t>1/1/2026 6:27:23 PM</t>
  </si>
  <si>
    <t>SR021230252536</t>
  </si>
  <si>
    <t>A964512X5C02092</t>
  </si>
  <si>
    <t>P26100111</t>
  </si>
  <si>
    <t>1/1/2026 8:22:47 PM</t>
  </si>
  <si>
    <t>SR021223256279</t>
  </si>
  <si>
    <t>P26100114</t>
  </si>
  <si>
    <t>1/1/2026 8:36:14 PM</t>
  </si>
  <si>
    <t>SR021223252263</t>
  </si>
  <si>
    <t>A968459X5C03546</t>
  </si>
  <si>
    <t>P26100120</t>
  </si>
  <si>
    <t>1/1/2026 9:18:09 PM</t>
  </si>
  <si>
    <t>A968459X5C12870</t>
  </si>
  <si>
    <t>P26100126</t>
  </si>
  <si>
    <t>1/1/2026 10:13:59 PM</t>
  </si>
  <si>
    <t>only 71 NVLink status shows OK</t>
  </si>
  <si>
    <t>A968459X5C10854</t>
  </si>
  <si>
    <t>P26100157</t>
  </si>
  <si>
    <t>1/2/2026 9:23:05 AM</t>
  </si>
  <si>
    <t>1/2/2026</t>
  </si>
  <si>
    <t>CC_導致R-Burn_Fail_已更換_PM1265</t>
  </si>
  <si>
    <t>P26100183</t>
  </si>
  <si>
    <t>1/2/2026 12:19:52 PM</t>
  </si>
  <si>
    <t>A964512X5C02053</t>
  </si>
  <si>
    <t>P26100185</t>
  </si>
  <si>
    <t>1/2/2026 12:52:37 PM</t>
  </si>
  <si>
    <t>淤</t>
    <phoneticPr fontId="7" type="noConversion"/>
  </si>
  <si>
    <t>A964512X5C04396</t>
    <phoneticPr fontId="7" type="noConversion"/>
  </si>
  <si>
    <t>A968459X5C06952</t>
    <phoneticPr fontId="7" type="noConversion"/>
  </si>
  <si>
    <t>A964512X5C03313</t>
    <phoneticPr fontId="7" type="noConversion"/>
  </si>
  <si>
    <t>A968459X5B08877</t>
    <phoneticPr fontId="7" type="noConversion"/>
  </si>
  <si>
    <t>A964512X5C02666</t>
    <phoneticPr fontId="7" type="noConversion"/>
  </si>
  <si>
    <t>A968459X5C02937</t>
    <phoneticPr fontId="7" type="noConversion"/>
  </si>
  <si>
    <t>A968459X5C10278</t>
    <phoneticPr fontId="7" type="noConversion"/>
  </si>
  <si>
    <t>A968459X5C04150</t>
    <phoneticPr fontId="7" type="noConversion"/>
  </si>
  <si>
    <t>A968459X5C12581</t>
    <phoneticPr fontId="7" type="noConversion"/>
  </si>
  <si>
    <t>A964512X5C07725</t>
    <phoneticPr fontId="7" type="noConversion"/>
  </si>
  <si>
    <t>A968459X5C04001</t>
    <phoneticPr fontId="7" type="noConversion"/>
  </si>
  <si>
    <t>A968459X5C09916</t>
    <phoneticPr fontId="7" type="noConversion"/>
  </si>
  <si>
    <t>A968459X5C03546</t>
    <phoneticPr fontId="7" type="noConversion"/>
  </si>
  <si>
    <t>A968459X5C09724</t>
    <phoneticPr fontId="7" type="noConversion"/>
  </si>
  <si>
    <t>A964512X5C05701</t>
    <phoneticPr fontId="7" type="noConversion"/>
  </si>
  <si>
    <t>script failed to execute</t>
    <phoneticPr fontId="7" type="noConversion"/>
  </si>
  <si>
    <t>P26100272</t>
  </si>
  <si>
    <t>1/3/2026 12:49:52 AM</t>
  </si>
  <si>
    <t>SR021230253230</t>
  </si>
  <si>
    <t>1/3/2026</t>
  </si>
  <si>
    <t>P26100275</t>
  </si>
  <si>
    <t>1/3/2026 1:08:29 AM</t>
  </si>
  <si>
    <t>A964512X5C04396</t>
  </si>
  <si>
    <t>P26100293</t>
  </si>
  <si>
    <t>1/3/2026 12:34:27 PM</t>
  </si>
  <si>
    <t>script failed to execute_已更換_PM1265</t>
  </si>
  <si>
    <t>A964512X5C02070</t>
  </si>
  <si>
    <t>P26100327</t>
  </si>
  <si>
    <t>1/3/2026 4:19:46 PM</t>
  </si>
  <si>
    <t>SR021226257094</t>
  </si>
  <si>
    <t>A964512X5C11734</t>
    <phoneticPr fontId="7" type="noConversion"/>
  </si>
  <si>
    <t>A964512X5C07399</t>
    <phoneticPr fontId="7" type="noConversion"/>
  </si>
  <si>
    <t>A964512X5C05701</t>
    <phoneticPr fontId="7" type="noConversion"/>
  </si>
  <si>
    <t>A968459X5C09709</t>
    <phoneticPr fontId="7" type="noConversion"/>
  </si>
  <si>
    <t>P26100349</t>
  </si>
  <si>
    <t>1/3/2026 10:55:22 PM</t>
  </si>
  <si>
    <t>SR021226255126</t>
  </si>
  <si>
    <t>A968459X5C19237</t>
  </si>
  <si>
    <t>P26100371</t>
  </si>
  <si>
    <t>1/4/2026 1:12:14 PM</t>
  </si>
  <si>
    <t>1/4/2026</t>
  </si>
  <si>
    <t>L11 TEST FAIL:大量CC1_C2 link_none_TW2803_更換CC1</t>
  </si>
  <si>
    <t>A968459X5B07143</t>
    <phoneticPr fontId="7" type="noConversion"/>
  </si>
  <si>
    <t>P26100943</t>
  </si>
  <si>
    <t>1/7/2026 3:42:38 PM</t>
  </si>
  <si>
    <t>SR021230255791</t>
  </si>
  <si>
    <t>1/7/2026</t>
  </si>
  <si>
    <t>A964512X5B11532</t>
  </si>
  <si>
    <t>P26101227</t>
  </si>
  <si>
    <t>1/9/2026 10:37:34 AM</t>
  </si>
  <si>
    <t>SR021230258880</t>
  </si>
  <si>
    <t>CB017</t>
  </si>
  <si>
    <t>1/8/2026</t>
  </si>
  <si>
    <t>1/9 L11 LAN CABLE FAIL (U47. P15 / U13 GPU. BMC)_TW4520_協助過帳</t>
  </si>
  <si>
    <t>CBL-SRK-C6-YL9FT-P</t>
  </si>
  <si>
    <t>353835B32200</t>
  </si>
  <si>
    <t>353835B32494</t>
  </si>
  <si>
    <t>P26101287</t>
  </si>
  <si>
    <t>1/8/2026 8:53:10 PM</t>
  </si>
  <si>
    <t>SR021230254344</t>
  </si>
  <si>
    <t>L11 NVLink Switch Information Consistent Check fail (Auto Restart, cannot update)</t>
  </si>
  <si>
    <t>MT2529602A9D</t>
  </si>
  <si>
    <t>MT2529605BFM</t>
  </si>
  <si>
    <t>P26101341</t>
  </si>
  <si>
    <t>1/8/2026 10:47:14 PM</t>
  </si>
  <si>
    <t>SR021230253279</t>
  </si>
  <si>
    <t>A964512X5C11643</t>
  </si>
  <si>
    <t>P26101345</t>
  </si>
  <si>
    <t>1/8/2026 10:48:31 PM</t>
  </si>
  <si>
    <t>A964512X6103181</t>
  </si>
  <si>
    <t>P26101375</t>
  </si>
  <si>
    <t>1/9/2026 12:41:57 AM</t>
  </si>
  <si>
    <t>SR021230259553</t>
  </si>
  <si>
    <t>1/9/2026</t>
  </si>
  <si>
    <t>A964512X5C11816</t>
  </si>
  <si>
    <t>P26101385</t>
  </si>
  <si>
    <t>1/9/2026 1:14:28 AM</t>
  </si>
  <si>
    <t>A964512X5C01710</t>
  </si>
  <si>
    <t>CBL-SRK-C6-YL9FT-P</t>
    <phoneticPr fontId="7" type="noConversion"/>
  </si>
  <si>
    <t>RJ45</t>
    <phoneticPr fontId="7" type="noConversion"/>
  </si>
  <si>
    <t>A964512X5B11645</t>
    <phoneticPr fontId="7" type="noConversion"/>
  </si>
  <si>
    <t>A964512X5C01744</t>
    <phoneticPr fontId="7" type="noConversion"/>
  </si>
  <si>
    <t>A964512X5C20253</t>
    <phoneticPr fontId="7" type="noConversion"/>
  </si>
  <si>
    <t>A964512X5C08533</t>
    <phoneticPr fontId="7" type="noConversion"/>
  </si>
  <si>
    <t>Sat-Sun</t>
    <phoneticPr fontId="7" type="noConversion"/>
  </si>
  <si>
    <t>12/27-12/28</t>
    <phoneticPr fontId="7" type="noConversion"/>
  </si>
  <si>
    <t>P26101658</t>
  </si>
  <si>
    <t>1/9/2026 8:12:06 PM</t>
  </si>
  <si>
    <t>SR021230259214</t>
  </si>
  <si>
    <t>A964512X6103155</t>
  </si>
  <si>
    <t>P26101684</t>
  </si>
  <si>
    <t>1/10/2026 12:48:04 AM</t>
  </si>
  <si>
    <t>SR021230252023</t>
  </si>
  <si>
    <t>L11 Compute Tray Nvidia Field Diag Test fail</t>
  </si>
  <si>
    <t>A964512X6101820</t>
  </si>
  <si>
    <t>P26101746</t>
  </si>
  <si>
    <t>1/10/2026 12:49:23 AM</t>
  </si>
  <si>
    <t>1/10/2026</t>
  </si>
  <si>
    <t>A964512X6101657</t>
  </si>
  <si>
    <t>P26101748</t>
  </si>
  <si>
    <t>1/10/2026 1:12:13 AM</t>
  </si>
  <si>
    <t>A964512X6104943</t>
  </si>
  <si>
    <t>P26101751</t>
  </si>
  <si>
    <t>1/10/2026 1:41:30 AM</t>
  </si>
  <si>
    <t>SR021230254467</t>
  </si>
  <si>
    <t>P26101857</t>
  </si>
  <si>
    <t>1/10/2026 6:01:21 PM</t>
  </si>
  <si>
    <t>SR021230259405</t>
  </si>
  <si>
    <t>Unable to detect / reset ip on FW NVLink Switch Update</t>
  </si>
  <si>
    <t>MT2525600N0U</t>
  </si>
  <si>
    <t>MT2542602565</t>
  </si>
  <si>
    <t>A964512X6103185</t>
    <phoneticPr fontId="7" type="noConversion"/>
  </si>
  <si>
    <t>A964512X6101791</t>
    <phoneticPr fontId="7" type="noConversion"/>
  </si>
  <si>
    <t>A964512X5C11853</t>
    <phoneticPr fontId="7" type="noConversion"/>
  </si>
  <si>
    <t>A964512X5C11861</t>
    <phoneticPr fontId="7" type="noConversion"/>
  </si>
  <si>
    <t>P26101944</t>
  </si>
  <si>
    <t>1/11/2026 8:14:35 AM</t>
  </si>
  <si>
    <t>SR021230259428</t>
  </si>
  <si>
    <t>1/11/2026</t>
  </si>
  <si>
    <t>L11 TEST FAIL:Powershelf #3 FAIL</t>
  </si>
  <si>
    <t>613339RBX04X153828H</t>
  </si>
  <si>
    <t>P26101946</t>
  </si>
  <si>
    <t>1/12/2026 7:37:51 AM</t>
  </si>
  <si>
    <t>L11 TEST FAIL:powershelf#3 update fail 1/12 TW4520協助過帳</t>
  </si>
  <si>
    <t>613339RBX04X15352HJ</t>
  </si>
  <si>
    <t>P26101947</t>
  </si>
  <si>
    <t>L11 TEST FAIL:powershelf#3 update fail,抓不到IP 1/12 TW4520協助過帳</t>
  </si>
  <si>
    <t>614MP1RBX03X154003R</t>
  </si>
  <si>
    <t>614MP1RBX03X15401B0</t>
  </si>
  <si>
    <t>P26101964</t>
  </si>
  <si>
    <t>1/12/2026 8:58:03 PM</t>
  </si>
  <si>
    <t>SR021230252547</t>
  </si>
  <si>
    <t>L11 TEST FAIL:SW8,CC1_C7, link_none</t>
  </si>
  <si>
    <t>P26101996</t>
  </si>
  <si>
    <t>1/11/2026 6:19:29 PM</t>
  </si>
  <si>
    <t>SR021230258211</t>
  </si>
  <si>
    <t>A964512X5C11879</t>
  </si>
  <si>
    <t>A964512X6105411</t>
  </si>
  <si>
    <t>P26101997</t>
  </si>
  <si>
    <t>1/11/2026 6:20:25 PM</t>
  </si>
  <si>
    <t>A964512X5C11700</t>
  </si>
  <si>
    <t>A964512X6105473</t>
  </si>
  <si>
    <t>P26101998</t>
  </si>
  <si>
    <t>1/11/2026 6:21:19 PM</t>
  </si>
  <si>
    <t>A964512X5C11889</t>
  </si>
  <si>
    <t>A964512X6104993</t>
  </si>
  <si>
    <t>P26102109</t>
  </si>
  <si>
    <t>1/12/2026 6:26:18 PM</t>
  </si>
  <si>
    <t>SR020108262194</t>
  </si>
  <si>
    <t>1/12/2026</t>
  </si>
  <si>
    <t>L11 TEST FAIL:抓不到IP</t>
  </si>
  <si>
    <t>MT2531602UZH</t>
  </si>
  <si>
    <t>MT253060319J</t>
  </si>
  <si>
    <t>P26102110</t>
  </si>
  <si>
    <t>L11 TEST FAIL:恆亮橘燈</t>
  </si>
  <si>
    <t>MT2531601ZZ1</t>
  </si>
  <si>
    <t>MT25426024JP</t>
  </si>
  <si>
    <t>P26102141</t>
  </si>
  <si>
    <t>1/12/2026 3:50:27 PM</t>
  </si>
  <si>
    <t>SR020108264510</t>
  </si>
  <si>
    <t>A964512X6101782</t>
  </si>
  <si>
    <t>A964512X6104983</t>
  </si>
  <si>
    <t>P26102159</t>
  </si>
  <si>
    <t>1/12/2026 5:05:42 PM</t>
  </si>
  <si>
    <t>SR020108261237</t>
  </si>
  <si>
    <t>A964512X6104540</t>
  </si>
  <si>
    <t>A964512X6104984</t>
  </si>
  <si>
    <t>P26102301</t>
  </si>
  <si>
    <t>1/13/2026 10:42:49 AM</t>
  </si>
  <si>
    <t>SR020108264407</t>
  </si>
  <si>
    <t>1/13/2026</t>
  </si>
  <si>
    <t>CC_導致R-Burn_FAIL_已更換_PM1265</t>
  </si>
  <si>
    <t>P26102343</t>
  </si>
  <si>
    <t>1/13/2026 4:42:41 PM</t>
  </si>
  <si>
    <t>A964512X6101813</t>
  </si>
  <si>
    <t>A964512X6106120</t>
  </si>
  <si>
    <t>P26102347</t>
  </si>
  <si>
    <t>1/13/2026 5:00:39 PM</t>
  </si>
  <si>
    <t>SR020108268705</t>
  </si>
  <si>
    <t>A964512X5C11873</t>
  </si>
  <si>
    <t>A964512X6106118</t>
  </si>
  <si>
    <t>P26102406</t>
  </si>
  <si>
    <t>1/13/2026 10:23:36 PM</t>
  </si>
  <si>
    <t>A964512X6104586</t>
  </si>
  <si>
    <t>A964512X6104961</t>
  </si>
  <si>
    <t>P26102440</t>
  </si>
  <si>
    <t>1/14/2026 12:15:56 PM</t>
  </si>
  <si>
    <t>SR020108268872</t>
  </si>
  <si>
    <t>1/14/2026</t>
  </si>
  <si>
    <t>L11 TEST FAIL:powershelf#4,Inventory and LEDs :Power Supply 2 Health Critical 1/14 TW4520協助過帳</t>
  </si>
  <si>
    <t>SRK-01LNPF-33B1-01</t>
  </si>
  <si>
    <t>613337RBX04X15412EH</t>
  </si>
  <si>
    <t>P26102487</t>
  </si>
  <si>
    <t>1/15/2026 1:27:36 AM</t>
  </si>
  <si>
    <t>SR020108264818</t>
  </si>
  <si>
    <t>nvlswitch 機箱刮傷</t>
  </si>
  <si>
    <t>MT2531600HH2</t>
  </si>
  <si>
    <t>MT25336001MF</t>
  </si>
  <si>
    <t>P26102518</t>
  </si>
  <si>
    <t>1/14/2026 3:14:32 PM</t>
  </si>
  <si>
    <t>SR020108261912</t>
  </si>
  <si>
    <t>單機導致R-Burn FAIL</t>
  </si>
  <si>
    <t>A964512X6104948</t>
  </si>
  <si>
    <t>P26102571</t>
  </si>
  <si>
    <t>1/14/2026 10:32:29 PM</t>
  </si>
  <si>
    <t>SR020108263414</t>
  </si>
  <si>
    <t>A964512X6104614</t>
  </si>
  <si>
    <t>A964512X6106141</t>
  </si>
  <si>
    <t>P26102612</t>
  </si>
  <si>
    <t>1/15/2026 1:28:39 AM</t>
  </si>
  <si>
    <t>1/15/2026</t>
  </si>
  <si>
    <t>L11 NVLink Switch Information Consistent Check fail</t>
  </si>
  <si>
    <t>MT25316020Z4</t>
  </si>
  <si>
    <t>MT2532602RDK</t>
  </si>
  <si>
    <t>P26102693</t>
  </si>
  <si>
    <t>1/15/2026 3:55:27 PM</t>
  </si>
  <si>
    <t>SR020108269283</t>
  </si>
  <si>
    <t>A964512X6105560</t>
  </si>
  <si>
    <t>A964512X6103186</t>
  </si>
  <si>
    <t>P26102750</t>
  </si>
  <si>
    <t>1/15/2026 5:55:01 PM</t>
  </si>
  <si>
    <t>A964512X6103170</t>
  </si>
  <si>
    <t>P26102774</t>
  </si>
  <si>
    <t>1/15/2026 8:04:53 PM</t>
  </si>
  <si>
    <t>A964512X5C01609</t>
  </si>
  <si>
    <t>A964512X5C11675</t>
  </si>
  <si>
    <t>P26102797</t>
  </si>
  <si>
    <t>1/15/2026 10:46:36 PM</t>
  </si>
  <si>
    <t>SR020108264927</t>
  </si>
  <si>
    <t>A964512X5C01560</t>
  </si>
  <si>
    <t>A964512X5C11678</t>
  </si>
  <si>
    <t>P26102859</t>
  </si>
  <si>
    <t>1/16/2026 12:36:03 AM</t>
  </si>
  <si>
    <t>SR020108268398</t>
  </si>
  <si>
    <t>1/16/2026</t>
  </si>
  <si>
    <t>A964512X6104631</t>
  </si>
  <si>
    <t>A964512X6105417</t>
  </si>
  <si>
    <t>P26103024</t>
  </si>
  <si>
    <t>1/16/2026 7:52:57 PM</t>
  </si>
  <si>
    <t>SR020108262845</t>
  </si>
  <si>
    <t>A964512X5C07725</t>
  </si>
  <si>
    <t>A964512X6101728</t>
  </si>
  <si>
    <t>P26103437</t>
  </si>
  <si>
    <t>1/19/2026 9:49:30 PM</t>
  </si>
  <si>
    <t>SR020108265182</t>
  </si>
  <si>
    <t>1/19/2026</t>
  </si>
  <si>
    <t>A964512X5C03311</t>
  </si>
  <si>
    <t>A964512X6105026</t>
  </si>
  <si>
    <t>P26103625</t>
  </si>
  <si>
    <t>1/20/2026 9:12:24 PM</t>
  </si>
  <si>
    <t>1/20/2026</t>
  </si>
  <si>
    <t>L11 Cable cartridge Defect raw_lane_ber error(slot 26,slot 14)(Rack slot 14, CBC 2, 8x10 connector 3)</t>
  </si>
  <si>
    <t>SRK-01LNPF-33B1-01</t>
    <phoneticPr fontId="7" type="noConversion"/>
  </si>
  <si>
    <t>power shelf left input</t>
    <phoneticPr fontId="7" type="noConversion"/>
  </si>
  <si>
    <t>2026/1/10-1/11</t>
    <phoneticPr fontId="7" type="noConversion"/>
  </si>
  <si>
    <t>P26103875</t>
  </si>
  <si>
    <t>1/22/2026 1:05:50 AM</t>
  </si>
  <si>
    <t>SR020108266291</t>
  </si>
  <si>
    <t>1/22/2026</t>
  </si>
  <si>
    <t>A964512X6105485</t>
  </si>
  <si>
    <t>A964512X6115789</t>
  </si>
  <si>
    <t>P26103877</t>
  </si>
  <si>
    <t>1/22/2026 1:16:54 AM</t>
  </si>
  <si>
    <t>L11 Compute Node Information Consistent Check fail UNAVAILABLE Version</t>
  </si>
  <si>
    <t>A964512X6114905</t>
  </si>
  <si>
    <t>A964512X6115784</t>
  </si>
  <si>
    <t>Error Description</t>
  </si>
  <si>
    <t>P26104636</t>
  </si>
  <si>
    <t>1/26/2026 10:35:22 PM</t>
  </si>
  <si>
    <t>SRS-GB300-NVL72-M0-FG001</t>
  </si>
  <si>
    <t>SR020123266639</t>
  </si>
  <si>
    <t>1/26/2026</t>
  </si>
  <si>
    <t>http://10.160.100.12/logs/Firmus/2026/January/SR020123266639/26/R-BURN/A978250X6119492/905A08331ED8/</t>
  </si>
  <si>
    <t>ARS-121GL-NB3-LCC-FG001</t>
  </si>
  <si>
    <t>A978250X6119492</t>
  </si>
  <si>
    <t>A978250X6117586</t>
  </si>
  <si>
    <t>P26104639</t>
  </si>
  <si>
    <t>1/26/2026 10:53:15 PM</t>
  </si>
  <si>
    <t>SR020123267359</t>
  </si>
  <si>
    <t>L11 PMB Fail (CMOS Battery Base broken)</t>
  </si>
  <si>
    <t>SV25491914</t>
  </si>
  <si>
    <t>SV25383395</t>
  </si>
  <si>
    <t>P26104645</t>
  </si>
  <si>
    <t>1/26/2026 11:06:28 PM</t>
  </si>
  <si>
    <t>SR020123264762</t>
  </si>
  <si>
    <t>A978250X6117581</t>
  </si>
  <si>
    <t>A978250X6117644</t>
  </si>
  <si>
    <t>P26104647</t>
  </si>
  <si>
    <t>1/26/2026 11:07:34 PM</t>
  </si>
  <si>
    <t>A978250X6117552</t>
  </si>
  <si>
    <t>A978250X6119439</t>
  </si>
  <si>
    <t>P26104648</t>
  </si>
  <si>
    <t>1/26/2026 10:26:27 PM</t>
  </si>
  <si>
    <t>SR020123265278</t>
  </si>
  <si>
    <t>http://10.160.100.12/logs/Firmus /2026/January/SR020123265278/26/R-BURN/A978250X6118259/905A0835414D/ gb300_cartridge_nvidia_L11_field_diag_summary.log</t>
  </si>
  <si>
    <t>A978250X6118261</t>
  </si>
  <si>
    <t>A978250X6119651</t>
  </si>
  <si>
    <t>P26104765</t>
  </si>
  <si>
    <t>1/27/2026 8:21:24 PM</t>
  </si>
  <si>
    <t>SR020123268083</t>
  </si>
  <si>
    <t>1/27/2026</t>
  </si>
  <si>
    <t>A978250X6119486</t>
  </si>
  <si>
    <t>A978250X6117688</t>
  </si>
  <si>
    <t>P26104802</t>
  </si>
  <si>
    <t>1/27/2026 8:18:38 PM</t>
  </si>
  <si>
    <t>A978250X6117693</t>
  </si>
  <si>
    <t>A978250X6117683</t>
  </si>
  <si>
    <t>P26104807</t>
  </si>
  <si>
    <t>1/27/2026 8:00:25 PM</t>
  </si>
  <si>
    <t>P26104810</t>
  </si>
  <si>
    <t>1/27/2026 3:47:36 PM</t>
  </si>
  <si>
    <t>SR020123266432</t>
  </si>
  <si>
    <t>HD023</t>
  </si>
  <si>
    <t>HD 燈號異常，拆裝無效 - http://10.160.100.12/logs/Firmus/2026/January/SR020123266432/27/R-BURN/A978250X6119468/905A08331BAF/Failure-Records-Full.txt</t>
  </si>
  <si>
    <t>A978250X6119468</t>
  </si>
  <si>
    <t>A978250X6117675</t>
  </si>
  <si>
    <t>P26104859</t>
  </si>
  <si>
    <t>1/27/2026 10:20:57 PM</t>
  </si>
  <si>
    <t>P26104863</t>
  </si>
  <si>
    <t>1/27/2026 11:15:41 PM</t>
  </si>
  <si>
    <t>A978250X6119434</t>
  </si>
  <si>
    <t>P26104971</t>
  </si>
  <si>
    <t>1/28/2026 4:20:32 PM</t>
  </si>
  <si>
    <t>SR020123264417</t>
  </si>
  <si>
    <t>1/28/2026</t>
  </si>
  <si>
    <t>L11 FAIL SR020123264417 COMPUTE_NODE_9 ber error value PEER (Rack slot 9, CBC 4 SW0跟著NVL SW_TW1445_展維 更換Switch_協助過帳</t>
  </si>
  <si>
    <t>MT2532600M7X</t>
  </si>
  <si>
    <t>MT2533600011</t>
  </si>
  <si>
    <t>P26105043</t>
  </si>
  <si>
    <t>1/28/2026 5:00:30 PM</t>
  </si>
  <si>
    <t>SR020123269521</t>
  </si>
  <si>
    <t>Cable cartridge Defect - http://10.160.100.12/logs/Firmus/2026/January/SR020123269521/28/R-BURN/A978250X6119643/905A08353ABF/Failure-Records-Full.txt</t>
  </si>
  <si>
    <t>P26105044</t>
  </si>
  <si>
    <t>1/28/2026 5:13:19 PM</t>
  </si>
  <si>
    <t>SR020123261361</t>
  </si>
  <si>
    <t>A978250X6118361</t>
  </si>
  <si>
    <t>A978250X6118196</t>
  </si>
  <si>
    <t>P26105081</t>
  </si>
  <si>
    <t>1/28/2026 8:38:59 PM</t>
  </si>
  <si>
    <t>SR020123268461</t>
  </si>
  <si>
    <t>A978250X6119485</t>
  </si>
  <si>
    <t>A978250X6117700</t>
  </si>
  <si>
    <t>P26105083</t>
  </si>
  <si>
    <t>1/28/2026 9:29:40 PM</t>
  </si>
  <si>
    <t>SR020123267273</t>
  </si>
  <si>
    <t>Rack0_SW4_acp73 CC0_C0_Lane_9 link_bad_quality_high_ber</t>
  </si>
  <si>
    <t>P26105129</t>
  </si>
  <si>
    <t>1/29/2026 12:59:29 AM</t>
  </si>
  <si>
    <t>SR020123263815</t>
  </si>
  <si>
    <t>GB200 L11 Compute Node Information Consistent Check fail</t>
  </si>
  <si>
    <t>1/29/2026</t>
  </si>
  <si>
    <t>A978250X6118313</t>
  </si>
  <si>
    <t>A978250X6118193</t>
  </si>
  <si>
    <t>P26105293</t>
  </si>
  <si>
    <t>1/29/2026 9:03:39 PM</t>
  </si>
  <si>
    <t>GB200 Cable Cartridge fail</t>
  </si>
  <si>
    <t>P26105294</t>
  </si>
  <si>
    <t>1/29/2026 9:23:46 PM</t>
  </si>
  <si>
    <t>SR020123269538</t>
  </si>
  <si>
    <t>A978250X6120229</t>
  </si>
  <si>
    <t>A978250X6120500</t>
  </si>
  <si>
    <t>P26105347</t>
  </si>
  <si>
    <t>1/30/2026 11:55:47 AM</t>
  </si>
  <si>
    <t>SR020123264271</t>
  </si>
  <si>
    <t>RK198</t>
  </si>
  <si>
    <t>GB200 Power Shelves fail</t>
  </si>
  <si>
    <t>1/30/2026</t>
  </si>
  <si>
    <t>RACK上電PSU原綠燈啟動中進行燒機程序時發生爆一聲後亮橘燈無法啟動,經QA判定需更換_TW2803_更換POWER SHELF</t>
  </si>
  <si>
    <t>DGPSU25430253</t>
  </si>
  <si>
    <t>DGPSU254301S8</t>
  </si>
  <si>
    <t>P26105348</t>
  </si>
  <si>
    <t>DGPST254400DR</t>
  </si>
  <si>
    <t>DGPST2549065K</t>
  </si>
  <si>
    <t>P26105349</t>
  </si>
  <si>
    <t>DGPSU2543025T</t>
  </si>
  <si>
    <t>DGPSU254301S6</t>
  </si>
  <si>
    <t>P26105350</t>
  </si>
  <si>
    <t>DGPST254400HF</t>
  </si>
  <si>
    <t>DGPST2549065M</t>
  </si>
  <si>
    <t>P26105351</t>
  </si>
  <si>
    <t>DGPSU25430252</t>
  </si>
  <si>
    <t>DGPSU254301S7</t>
  </si>
  <si>
    <t>P26105352</t>
  </si>
  <si>
    <t>DGPST254400DQ</t>
  </si>
  <si>
    <t>DGPST2549065J</t>
  </si>
  <si>
    <t>P26105353</t>
  </si>
  <si>
    <t>DGPSU25430257</t>
  </si>
  <si>
    <t>DGPSU254301S5</t>
  </si>
  <si>
    <t>P26105354</t>
  </si>
  <si>
    <t>DGPST254400DX</t>
  </si>
  <si>
    <t>DGPST2549066R</t>
  </si>
  <si>
    <t>P26105355</t>
  </si>
  <si>
    <t>1/30/2026 9:19:43 AM</t>
  </si>
  <si>
    <t>SR020123266692</t>
  </si>
  <si>
    <t>L10導致燒機FAIL_已交換驗證_PM1265</t>
  </si>
  <si>
    <t>A978250X6119446</t>
  </si>
  <si>
    <t>A978250X6118604</t>
  </si>
  <si>
    <t>P26105365</t>
  </si>
  <si>
    <t>1/30/2026 10:27:58 AM</t>
  </si>
  <si>
    <t>SR020127263864</t>
  </si>
  <si>
    <t>此櫃混單機_更換一台</t>
  </si>
  <si>
    <t>A978250X6121249</t>
  </si>
  <si>
    <t>A978250X6118726</t>
  </si>
  <si>
    <t>P26105383</t>
  </si>
  <si>
    <t>1/30/2026 1:57:11 PM</t>
  </si>
  <si>
    <t>SR020123268565</t>
  </si>
  <si>
    <t>P26105444</t>
  </si>
  <si>
    <t>1/30/2026 4:21:24 PM</t>
  </si>
  <si>
    <t>SR020123265883</t>
  </si>
  <si>
    <t>http://10.160.100.10/logs/ Firmus/2026/January/ SR020123265883/30 /R-BURN/A978250X6120530/ 905A083538C6/ gb300_compute_nvidia_L11_field_diag_summary.log</t>
  </si>
  <si>
    <t>A978250X6120537</t>
  </si>
  <si>
    <t>A978250X6120306</t>
  </si>
  <si>
    <t>P26105453</t>
  </si>
  <si>
    <t>1/30/2026 5:03:29 PM</t>
  </si>
  <si>
    <t>http://10.160.100.12/logs/Firmus/2026/January/SR020127263864/30/R-BURN/A978250X6118433/905A08353A0E/Failure-Records-Full.txt</t>
  </si>
  <si>
    <t>A978250X6120488</t>
  </si>
  <si>
    <t>P26105455</t>
  </si>
  <si>
    <t>1/30/2026 5:14:27 PM</t>
  </si>
  <si>
    <t>SR020123265176</t>
  </si>
  <si>
    <t>http://10.160.100.10 /logs/Firmus/2026/January /SR020123265176/30/R-BURN/ A978250X6118586/905A08331F52 /Failure-Records-Full.txt</t>
  </si>
  <si>
    <t>MT25346008KJ</t>
  </si>
  <si>
    <t>MT2530601EHU</t>
  </si>
  <si>
    <t>P26105470</t>
  </si>
  <si>
    <t>1/30/2026 6:32:16 PM</t>
  </si>
  <si>
    <t>SR020127265103</t>
  </si>
  <si>
    <t>L11 PMB Fail to Update (Cannot Connect Internet)</t>
  </si>
  <si>
    <t>T525480728</t>
  </si>
  <si>
    <t>T525481044</t>
  </si>
  <si>
    <t>P26105476</t>
  </si>
  <si>
    <t>1/30/2026 7:39:20 PM</t>
  </si>
  <si>
    <t>A978250X6119450</t>
  </si>
  <si>
    <t>A978250X6118685</t>
  </si>
  <si>
    <t>P26105477</t>
  </si>
  <si>
    <t>1/30/2026 7:40:10 PM</t>
  </si>
  <si>
    <t>A978250X6119422</t>
  </si>
  <si>
    <t>P26105482</t>
  </si>
  <si>
    <t>1/30/2026 7:45:29 PM</t>
  </si>
  <si>
    <t>SR020123264971</t>
  </si>
  <si>
    <t>A978250X6119443</t>
  </si>
  <si>
    <t>A978250X6119442</t>
  </si>
  <si>
    <t>P26105508</t>
  </si>
  <si>
    <t>1/30/2026 8:18:55 PM</t>
  </si>
  <si>
    <t>SR020123269593</t>
  </si>
  <si>
    <t>http://10.160.100.12/logs/Firmus/2026/January/SR020123269593/30/R-BURN/A978250X6118345/905A08354074/gb300_cartridge_nvidia_L11_field_diag_summary.log</t>
  </si>
  <si>
    <t>A978250X6118513</t>
  </si>
  <si>
    <t>P26105567</t>
  </si>
  <si>
    <t>1/31/2026 12:49:48 AM</t>
  </si>
  <si>
    <t>SR020127267443</t>
  </si>
  <si>
    <t>1/31/2026</t>
  </si>
  <si>
    <t>MT253460006T</t>
  </si>
  <si>
    <t>MT2533600044</t>
  </si>
  <si>
    <t>P26105573</t>
  </si>
  <si>
    <t>1/31/2026 1:21:00 AM</t>
  </si>
  <si>
    <t>SR020127264661</t>
  </si>
  <si>
    <t>L11 NVLink Switch Information Consistent Check fail(Cannot Update)</t>
  </si>
  <si>
    <t>MT2532600PTA</t>
  </si>
  <si>
    <t>MT2532602RVG</t>
  </si>
  <si>
    <t>P26105631</t>
  </si>
  <si>
    <t>1/31/2026 5:54:43 PM</t>
  </si>
  <si>
    <t>SR020127261986</t>
  </si>
  <si>
    <t>A978250X6120429</t>
  </si>
  <si>
    <t>A978250X6118382</t>
  </si>
  <si>
    <t>P26105633</t>
  </si>
  <si>
    <t>1/31/2026 8:04:21 PM</t>
  </si>
  <si>
    <t>SR020127264824</t>
  </si>
  <si>
    <t>Cable cartridge Defect (BENT PIN)</t>
  </si>
  <si>
    <t>P26105635</t>
  </si>
  <si>
    <t>1/31/2026 8:05:41 PM</t>
  </si>
  <si>
    <t>L11 NVLink Switch Information Consistent Check fail (CAUSED BENT PIN BACK PORT)</t>
  </si>
  <si>
    <t>MT25336016GY</t>
  </si>
  <si>
    <t>MT2532602T1M</t>
  </si>
  <si>
    <t>P26105637</t>
  </si>
  <si>
    <t>1/31/2026 8:38:32 PM</t>
  </si>
  <si>
    <t>SR020127267785</t>
  </si>
  <si>
    <t>P26105639</t>
  </si>
  <si>
    <t>1/31/2026 8:56:04 PM</t>
  </si>
  <si>
    <t>SR020127261038</t>
  </si>
  <si>
    <t>L11 Power Shelf Defective (Cannot Update)</t>
  </si>
  <si>
    <t>T525480934</t>
  </si>
  <si>
    <t>T525480317</t>
  </si>
  <si>
    <t>P26105641</t>
  </si>
  <si>
    <t>1/31/2026 9:01:52 PM</t>
  </si>
  <si>
    <t>http://10.160.100.10/ logs/Firmus/2026/ January/SR020123265176/ 31/R-BURN/ A978250X6118586/905A08331F52/ gb300_compute_nvidia_L11_field_diag_summary.log</t>
  </si>
  <si>
    <t>A978250X6117718</t>
  </si>
  <si>
    <t>A978250X6118607</t>
  </si>
  <si>
    <t>P26105642</t>
  </si>
  <si>
    <t>1/31/2026 9:26:29 PM</t>
  </si>
  <si>
    <t>SR020127269648</t>
  </si>
  <si>
    <t>http://10.160.100.12/logs/Firmus/2026/January/SR020127269648/31/R-BURN/A978250X6120743/905A08353CDD/gb300_cartridge_nvidia_L11_field_diag_summary.log</t>
  </si>
  <si>
    <t>A978250X6118520</t>
  </si>
  <si>
    <t>A978250X6118518</t>
  </si>
  <si>
    <t>P26105643</t>
  </si>
  <si>
    <t>1/31/2026 10:08:29 PM</t>
  </si>
  <si>
    <t>SR020127261141</t>
  </si>
  <si>
    <t>A978250X6119577</t>
  </si>
  <si>
    <t>P26105644</t>
  </si>
  <si>
    <t>1/31/2026 10:09:10 PM</t>
  </si>
  <si>
    <t>A978250X6118479</t>
  </si>
  <si>
    <t>P26200009</t>
  </si>
  <si>
    <t>2/2/2026 7:27:32 AM</t>
  </si>
  <si>
    <t>SR020127262767</t>
  </si>
  <si>
    <t>2/2/2026</t>
  </si>
  <si>
    <t>L11 TEST FAIL:nvlswitch無法開機_TW4520_協助過帳</t>
  </si>
  <si>
    <t>MT2537600HZB</t>
  </si>
  <si>
    <t>MT2529602A87</t>
  </si>
  <si>
    <t>P26200021</t>
  </si>
  <si>
    <t>2/2/2026 8:12:27 AM</t>
  </si>
  <si>
    <t>L11 TEST FAIL:PowerShelf 5 PMB LED 不亮_TW4520_2/2 協助過帳</t>
  </si>
  <si>
    <t>T525481067</t>
  </si>
  <si>
    <t>T525482995</t>
  </si>
  <si>
    <t>P26200055</t>
  </si>
  <si>
    <t>2/2/2026 9:30:17 AM</t>
  </si>
  <si>
    <t>SR020127264824 L11 TEST FAIL:PowerShelf 2 PMB LED 燈號異常_TW4520_2/2 協助過帳</t>
  </si>
  <si>
    <t>T525480860</t>
  </si>
  <si>
    <t>T525480993</t>
  </si>
  <si>
    <t>P26200173</t>
  </si>
  <si>
    <t>2/2/2026 11:25:29 PM</t>
  </si>
  <si>
    <t>SR020127265904</t>
  </si>
  <si>
    <t>RK216</t>
  </si>
  <si>
    <t>GB200 L11 Cable Cartridge Nvidia FD Test fail</t>
  </si>
  <si>
    <t>L11 Cable Cartridge Nvidia FD Test fail</t>
  </si>
  <si>
    <t>A978250X6118750</t>
  </si>
  <si>
    <t>A978250X6121277</t>
  </si>
  <si>
    <t>P26200229</t>
  </si>
  <si>
    <t>2/3/2026 5:43:51 PM</t>
  </si>
  <si>
    <t>SR020127263668</t>
  </si>
  <si>
    <t>2/3/2026</t>
  </si>
  <si>
    <t>Rack0_SW5_acp123,CC2_C12_Lane_11, link_none 固定位置CC2 SR020127263668</t>
  </si>
  <si>
    <t>P26200201</t>
  </si>
  <si>
    <t>2/3/2026 1:21:37 AM</t>
  </si>
  <si>
    <t>SR020127267299</t>
  </si>
  <si>
    <t>L11 Cable cartridge Defect CC2 BENT-PIN SR020127267299</t>
  </si>
  <si>
    <t>P26200202</t>
  </si>
  <si>
    <t>2/3/2026 1:24:16 AM</t>
  </si>
  <si>
    <t>SR020127268005</t>
  </si>
  <si>
    <t>A978250X6119476</t>
  </si>
  <si>
    <t>A978250X6116932</t>
  </si>
  <si>
    <t>SR020127267911</t>
  </si>
  <si>
    <t>A978250X6121569</t>
  </si>
  <si>
    <t>P26200315</t>
  </si>
  <si>
    <t>2/3/2026 5:22:40 PM</t>
  </si>
  <si>
    <t>SR020130266039</t>
  </si>
  <si>
    <t>RK214</t>
  </si>
  <si>
    <t>GB200 L11 Unable to power on</t>
  </si>
  <si>
    <t>NO LED POWER LIGHT</t>
  </si>
  <si>
    <t>A978250X6118192</t>
  </si>
  <si>
    <t>A978250X6118278</t>
  </si>
  <si>
    <t>P26200203</t>
  </si>
  <si>
    <t>2/3/2026 1:25:16 AM</t>
  </si>
  <si>
    <t>A978250X6118600</t>
  </si>
  <si>
    <t>計數 - Defect P/N</t>
  </si>
  <si>
    <t>P26200373</t>
  </si>
  <si>
    <t>2/3/2026 10:40:35 PM</t>
  </si>
  <si>
    <t>SR020123264229</t>
  </si>
  <si>
    <t>GB200 L11 Switch Tray Nvidia Field Diag Test fail</t>
  </si>
  <si>
    <t>http://10.160.100.12/ logs/Firmus/2026/ February/SR020123264229/03/R-BURN/A978250X6118456/905A08353E11 /gb300_cartridge_nvidia_L11_field_diag_summary.log</t>
  </si>
  <si>
    <t>A978250X6119626</t>
  </si>
  <si>
    <t>P26200403</t>
  </si>
  <si>
    <t>2/4/2026 12:59:20 AM</t>
  </si>
  <si>
    <t>2/4/2026</t>
  </si>
  <si>
    <t>54 NVLink status</t>
  </si>
  <si>
    <t>A978250X6118474</t>
  </si>
  <si>
    <t>P26200407</t>
  </si>
  <si>
    <t>2/4/2026 1:39:48 AM</t>
  </si>
  <si>
    <t>http://10.160.100.12/logs/Firmus/2026/February/SR020127267299/03/R-BURN/A978250X6121988/905A08350635/gb300_compute_nvidia_L11_field_diag_summary.log</t>
  </si>
  <si>
    <t>A978250X6121410</t>
  </si>
  <si>
    <t>P26200559</t>
  </si>
  <si>
    <t>2/4/2026 3:58:02 PM</t>
  </si>
  <si>
    <t>SR020130264389</t>
  </si>
  <si>
    <t>http://10.160.100.10/logs/Firmus /2026/February/ SR020130264389/04/R-BURN/A978250X6121264/905A08353F02 /gb300_compute_nvidia_L11_field_diag_summary.log</t>
  </si>
  <si>
    <t>MT2541603JNJ</t>
  </si>
  <si>
    <t>MT2532602G9U</t>
  </si>
  <si>
    <t>P26200567</t>
  </si>
  <si>
    <t>2/4/2026 5:01:08 PM</t>
  </si>
  <si>
    <t>SR020127269450</t>
  </si>
  <si>
    <t>L11 Cable Cartridge fail Rack0_SW5_acp24 CC3_C5_Lane_10 SR020127269450</t>
  </si>
  <si>
    <t>P26200572</t>
  </si>
  <si>
    <t>2/4/2026 5:02:37 PM</t>
  </si>
  <si>
    <t>SR020130266739</t>
  </si>
  <si>
    <t>L11 Cable Cartridge fail (bent pin) SR020130266739</t>
  </si>
  <si>
    <t>P26200594</t>
  </si>
  <si>
    <t>2/4/2026 5:49:19 PM</t>
  </si>
  <si>
    <t>SR020130263086</t>
  </si>
  <si>
    <t>A978250X6120795</t>
  </si>
  <si>
    <t>A978250X6123239</t>
  </si>
  <si>
    <t>SR020130268399</t>
  </si>
  <si>
    <t>P26200597</t>
  </si>
  <si>
    <t>2/4/2026 5:52:47 PM</t>
  </si>
  <si>
    <t>bent pin http://10.160.100.10 /logs/Firmus/2026/February /SR020130268399/04/R- BURN/A978250X6123337/ 905A08353C39/Failure-Records-Full.txt</t>
  </si>
  <si>
    <t>P26200598</t>
  </si>
  <si>
    <t>2/4/2026 5:54:27 PM</t>
  </si>
  <si>
    <t>http://10.160.100.10 /logs/Firmus/2026 /February/SR020127267911/ 04/R-BURN/A978250X6122187 /905A08353CB2/ gb300_compute_nvidia_L11_field_diag_summary.log</t>
  </si>
  <si>
    <t>P26200643</t>
  </si>
  <si>
    <t>2/4/2026 9:27:53 PM</t>
  </si>
  <si>
    <t>SR021127257873</t>
  </si>
  <si>
    <t>POWER LED LIGHT WEAK</t>
  </si>
  <si>
    <t>A978250X6118554</t>
  </si>
  <si>
    <t>A978250X6124730</t>
  </si>
  <si>
    <t>P26200648</t>
  </si>
  <si>
    <t>2/4/2026 10:03:51 PM</t>
  </si>
  <si>
    <t>SR021127256912</t>
  </si>
  <si>
    <t>http://10.160.100.12/logs /Firmus/2026/February/ SR021127256912/04/R-BURN/ A978250X6120458/905A08353C68/ gb300_cartridge_nvidia_L11_field_diag_summary.log</t>
  </si>
  <si>
    <t>A978250X6121245</t>
  </si>
  <si>
    <t>A978250X6120798</t>
  </si>
  <si>
    <t>RK024</t>
    <phoneticPr fontId="7" type="noConversion"/>
  </si>
  <si>
    <t>SSE-NVL72-CC</t>
    <phoneticPr fontId="7" type="noConversion"/>
  </si>
  <si>
    <t>P26200719</t>
  </si>
  <si>
    <t>2/5/2026 8:21:17 AM</t>
  </si>
  <si>
    <t>SR020130267087</t>
  </si>
  <si>
    <t>2/5/2026</t>
  </si>
  <si>
    <t>P26200724</t>
  </si>
  <si>
    <t>2/5/2026 11:52:50 AM</t>
  </si>
  <si>
    <t>SR020203262773</t>
  </si>
  <si>
    <t>GB200 L11 Power Shelf Information Check fail</t>
  </si>
  <si>
    <t>SR020203262773 Powershelf#4 偵測不到PWS;TW4520;2/5協助過帳</t>
  </si>
  <si>
    <t>DGPST254401MY</t>
  </si>
  <si>
    <t>THAS92547007P</t>
  </si>
  <si>
    <t>P26200727</t>
  </si>
  <si>
    <t>2/5/2026 9:28:37 AM</t>
  </si>
  <si>
    <t>SR020203261184</t>
  </si>
  <si>
    <t>A978250X6120299</t>
  </si>
  <si>
    <t>A978250X6124762</t>
  </si>
  <si>
    <t>P26200760</t>
  </si>
  <si>
    <t>SR020130261073</t>
  </si>
  <si>
    <t>P26200762</t>
  </si>
  <si>
    <t>2/6/2026 1:23:35 AM</t>
  </si>
  <si>
    <t>SR020127268261</t>
  </si>
  <si>
    <t>Compute Tray L11 FD Test [FAIL] COMPUTE_NODE_3 0008:06:00.0_SN_1653625055888 ber error value @(Rack slot 4-C3. PEER (Rack slot 11, CBC 2 固定位置-SW2 CC1</t>
  </si>
  <si>
    <t>P26200800</t>
  </si>
  <si>
    <t>2/5/2026 3:10:18 PM</t>
  </si>
  <si>
    <t>RK108</t>
  </si>
  <si>
    <t>GB200 DMI/FRU settings fail</t>
  </si>
  <si>
    <t>FRU settings fail</t>
  </si>
  <si>
    <t>A978250X6124613</t>
  </si>
  <si>
    <t>A978250X6123369</t>
  </si>
  <si>
    <t>P26200801</t>
  </si>
  <si>
    <t>2/5/2026 3:30:34 PM</t>
  </si>
  <si>
    <t>SR020130263509</t>
  </si>
  <si>
    <t>A978250X6119459</t>
  </si>
  <si>
    <t>P26200807</t>
  </si>
  <si>
    <t>2/5/2026 4:48:42 PM</t>
  </si>
  <si>
    <t>GB200 L11 18 Node NCCL Test fail</t>
  </si>
  <si>
    <t>NCCL LOG STOP</t>
  </si>
  <si>
    <t>A978250X6122187</t>
  </si>
  <si>
    <t>A978250X6122281</t>
  </si>
  <si>
    <t>P26200870</t>
  </si>
  <si>
    <t>2/5/2026 8:16:48 PM</t>
  </si>
  <si>
    <t>BMC NO LED LIGHT</t>
  </si>
  <si>
    <t>A978250X6123334</t>
  </si>
  <si>
    <t>P26200915</t>
  </si>
  <si>
    <t>2/5/2026 9:20:54 PM</t>
  </si>
  <si>
    <t>SR020203261220</t>
  </si>
  <si>
    <t>A978250X6124614</t>
  </si>
  <si>
    <t>A978250X6121636</t>
  </si>
  <si>
    <t>P26200922</t>
  </si>
  <si>
    <t>2/5/2026 10:22:41 PM</t>
  </si>
  <si>
    <t>SR020203266407</t>
  </si>
  <si>
    <t>L11 NVLink Switch(NO POWER CANNOT UPDATE)</t>
  </si>
  <si>
    <t>SRK-44IXSE-66KW-MGX-A1</t>
  </si>
  <si>
    <t>MT2546601MQR</t>
  </si>
  <si>
    <t>MT2532602R9V</t>
  </si>
  <si>
    <t>2/6/2026 9:05:36 AM</t>
  </si>
  <si>
    <t>SR020130261073 SW0位置 CC2 BENT PIN(SLOT9)</t>
  </si>
  <si>
    <t>P26201154</t>
  </si>
  <si>
    <t>2/6/2026 5:32:26 PM</t>
  </si>
  <si>
    <t>SR020130268193</t>
  </si>
  <si>
    <t>2/6/2026</t>
  </si>
  <si>
    <t>MT2532602JFX</t>
  </si>
  <si>
    <t>P26201011</t>
  </si>
  <si>
    <t>2/6/2026 10:12:42 AM</t>
  </si>
  <si>
    <t>A978250X6118243</t>
  </si>
  <si>
    <t>AAAAAAAAAAAA</t>
  </si>
  <si>
    <t>P26201155</t>
  </si>
  <si>
    <t>2/6/2026 5:48:34 PM</t>
  </si>
  <si>
    <t>A978250X6118558</t>
  </si>
  <si>
    <t>A978250X6201848</t>
  </si>
  <si>
    <t>P26201038</t>
  </si>
  <si>
    <t>2/6/2026 2:40:50 PM</t>
  </si>
  <si>
    <t>SR020203264930</t>
  </si>
  <si>
    <t>SR020203264930 CC2 BENT PIN @(Rack slot 11</t>
  </si>
  <si>
    <t>P26200945</t>
  </si>
  <si>
    <t>2/6/2026 1:24:18 AM</t>
  </si>
  <si>
    <t>A978250X6119605</t>
  </si>
  <si>
    <t>A978250X6202209</t>
  </si>
  <si>
    <t>P26200948</t>
  </si>
  <si>
    <t>2/6/2026 1:59:13 AM</t>
  </si>
  <si>
    <t>SR020203264649</t>
  </si>
  <si>
    <t>L11 NVLink Switch Information Consistent Check fail (CANNOT UPDATE)</t>
  </si>
  <si>
    <t>MT2541601TN4</t>
  </si>
  <si>
    <t>MT2532602RVH</t>
  </si>
  <si>
    <t>P26201137</t>
  </si>
  <si>
    <t>2/6/2026 3:51:38 PM</t>
  </si>
  <si>
    <t>RK212</t>
  </si>
  <si>
    <t>GB200 L11 GPU Missing</t>
  </si>
  <si>
    <t>Single Node NCCL failed on GPU 0008:06:00 and 0008:06:00</t>
  </si>
  <si>
    <t>P26201140</t>
  </si>
  <si>
    <t>2/6/2026 4:46:14 PM</t>
  </si>
  <si>
    <t>SR020203261509</t>
  </si>
  <si>
    <t>L11 Cable Cartridge fail / Rack0_SW0_acp4 CC3_C0_Lane_0</t>
  </si>
  <si>
    <t>P26201156</t>
  </si>
  <si>
    <t>2/6/2026 5:56:25 PM</t>
  </si>
  <si>
    <t>SR020130265920</t>
  </si>
  <si>
    <t>A978250X6123418</t>
  </si>
  <si>
    <t>A978250X6123318</t>
  </si>
  <si>
    <t>P26201035</t>
  </si>
  <si>
    <t>2/6/2026 1:00:46 PM</t>
  </si>
  <si>
    <t>SR020130262396</t>
  </si>
  <si>
    <t>SR020130262396 偵測不到POWER資訊</t>
  </si>
  <si>
    <t>DGPSR2548064S</t>
  </si>
  <si>
    <t>DGPSR25440R4G</t>
  </si>
  <si>
    <t>P26201135</t>
  </si>
  <si>
    <t>2/6/2026 3:34:20 PM</t>
  </si>
  <si>
    <t>L11 Cable Cartridge fail / Rack0_SW5_acp75 CC2_C0_Lane_11</t>
  </si>
  <si>
    <t>P26200938</t>
  </si>
  <si>
    <t>2/6/2026 12:47:32 AM</t>
  </si>
  <si>
    <t>SR020203266887</t>
  </si>
  <si>
    <t>L11 Cable cartridge Defect Rack0_SW5_acp58 CC1_C14 / SR020203266887</t>
  </si>
  <si>
    <t>P26201186</t>
  </si>
  <si>
    <t>2/6/2026 10:07:12 PM</t>
  </si>
  <si>
    <t>SR020130266079</t>
  </si>
  <si>
    <t>P26201237</t>
  </si>
  <si>
    <t>2/7/2026 9:14:51 AM</t>
  </si>
  <si>
    <t>SR020130267180</t>
  </si>
  <si>
    <t>2/7/2026</t>
  </si>
  <si>
    <t>P26201321</t>
  </si>
  <si>
    <t>2/7/2026 9:03:33 PM</t>
  </si>
  <si>
    <t>SR020203261482</t>
  </si>
  <si>
    <t>GB200 SCM BMC flash fail</t>
  </si>
  <si>
    <t>L11 SCM BMC flash fail _BMC LED Light orange color</t>
  </si>
  <si>
    <t>A978250X6201816</t>
  </si>
  <si>
    <t>P26201332</t>
  </si>
  <si>
    <t>2/7/2026 10:25:09 PM</t>
  </si>
  <si>
    <t>L11 Cable cartridge Defect SR020203266407</t>
  </si>
  <si>
    <t>P26201395</t>
  </si>
  <si>
    <t>2/9/2026 10:03:25 PM</t>
  </si>
  <si>
    <t>SR020203265801</t>
  </si>
  <si>
    <t>2/9/2026</t>
  </si>
  <si>
    <t>L11 TEST FAIL:SW2_CC2_C11, link_none,已交換過compute與nvl switch,固定位置</t>
  </si>
  <si>
    <t>P26201401</t>
  </si>
  <si>
    <t>2/9/2026 10:26:29 AM</t>
  </si>
  <si>
    <t>NV SWITCH 燈號異常_更換TW640</t>
  </si>
  <si>
    <t>MT2546602TPY</t>
  </si>
  <si>
    <t>MT2532602G9W</t>
  </si>
  <si>
    <t>P26201428</t>
  </si>
  <si>
    <t>2/9/2026 2:12:15 PM</t>
  </si>
  <si>
    <t>nvswitch 燈號只有3顆</t>
  </si>
  <si>
    <t>MT2546602KW4</t>
  </si>
  <si>
    <t>MT253060130E</t>
  </si>
  <si>
    <t>P26201435</t>
  </si>
  <si>
    <t>2/9/2026 10:03:51 PM</t>
  </si>
  <si>
    <t>SR020203265952</t>
  </si>
  <si>
    <t>CC1(1824025185183) BENT PIN SLOT11(SW2)</t>
  </si>
  <si>
    <t>P26201515</t>
  </si>
  <si>
    <t>2/9/2026 8:12:23 PM</t>
  </si>
  <si>
    <t>SR020203261282</t>
  </si>
  <si>
    <t>RK206</t>
  </si>
  <si>
    <t>GB200 L11 Single Node NCCL Test fail</t>
  </si>
  <si>
    <t>http://10.160.100.12/logs/ Firmus/2026/February/ SR020203261282/09/R-BURN/A978250X6124787/905A08351A61/ Failure-Records-Full.txt Single Node NCCL failed on GPU 0008:06:00 and 0009:06:00</t>
  </si>
  <si>
    <t>A978250X6202220</t>
  </si>
  <si>
    <t>A978250X6202030</t>
  </si>
  <si>
    <t>P26201517</t>
  </si>
  <si>
    <t>2/9/2026 8:43:06 PM</t>
  </si>
  <si>
    <t>http://10.160.100.10/logs/ Firmus/2026/February/ SR020203261482/09/R-BURN/A978250X6201862/905A08351DD2/ gb300_cartridge_nvidia_L11_field_diag_summary.log</t>
  </si>
  <si>
    <t>A978250X6202005</t>
  </si>
  <si>
    <t>P26201524</t>
  </si>
  <si>
    <t>2/9/2026 10:09:28 PM</t>
  </si>
  <si>
    <t>Error while invoking api /redfish/v1/Chassis/CBC_3. Error message =&gt; The requested resource of type Chassis named 'CBC_3' was not found http://10.160.100.10/logs/Firmus/2026/February/SR020130267180/09/R-BURN/A978250X6116889/905A08354F54/gb300_cartridge_nvidia_L11_field_diag_summary.log</t>
  </si>
  <si>
    <t>A978250X6118588</t>
  </si>
  <si>
    <t>P26201525</t>
  </si>
  <si>
    <t>2/9/2026 10:09:55 PM</t>
  </si>
  <si>
    <t>SR020203263749</t>
  </si>
  <si>
    <t>L11 Cable Cartridge fail (BENT PIN SLOT 16)</t>
  </si>
  <si>
    <t>P26201547</t>
  </si>
  <si>
    <t>2/10/2026 7:51:08 AM</t>
  </si>
  <si>
    <t>SR020206262034</t>
  </si>
  <si>
    <t>2/10/2026</t>
  </si>
  <si>
    <t>SR020206262034 L11 TEST FAIL:powershelf #4 PSU device 4(DGPSR26020SSL) has missing information,跟著power走;2/10 TW4520 協助過帳</t>
  </si>
  <si>
    <t>DGPSR26020SSL</t>
  </si>
  <si>
    <t>DGPSR25440R4L</t>
  </si>
  <si>
    <t>P26201549</t>
  </si>
  <si>
    <t>2/10/2026 7:44:59 AM</t>
  </si>
  <si>
    <t>P26201555</t>
  </si>
  <si>
    <t>2/10/2026 12:23:21 PM</t>
  </si>
  <si>
    <t>SR020203264754</t>
  </si>
  <si>
    <t>SR020203264754 CC2 Bent Pin (Slot 9);TW4520;協助過帳</t>
  </si>
  <si>
    <t>P26201556</t>
  </si>
  <si>
    <t>2/10/2026 12:23:56 PM</t>
  </si>
  <si>
    <t>SR020203269589</t>
  </si>
  <si>
    <t>SR020203269589 NVL Switch L11 FD Test [FAIL];TW4520;協助過帳</t>
  </si>
  <si>
    <t>P26201582</t>
  </si>
  <si>
    <t>2/10/2026 10:36:43 AM</t>
  </si>
  <si>
    <t>SR020203266491</t>
  </si>
  <si>
    <t>PowerShelf 燈號異常100M_更換_TW640</t>
  </si>
  <si>
    <t>T525480734</t>
  </si>
  <si>
    <t>T525481029</t>
  </si>
  <si>
    <t>P26201583</t>
  </si>
  <si>
    <t>2/10/2026 10:42:22 AM</t>
  </si>
  <si>
    <t>SR020203266191</t>
  </si>
  <si>
    <t>Power Shelf 網速燈號異常只跑100M_更換_TW718</t>
  </si>
  <si>
    <t>T525480736</t>
  </si>
  <si>
    <t>T525480979</t>
  </si>
  <si>
    <t>P26201599</t>
  </si>
  <si>
    <t>2/10/2026 1:26:30 PM</t>
  </si>
  <si>
    <t>SR020203264772</t>
  </si>
  <si>
    <t>SR020203264772 L11 TEST FAIL:SW1(MT25486052Y5) 抓不到IP;TW4520;協助過帳</t>
  </si>
  <si>
    <t>MT25486052Y5</t>
  </si>
  <si>
    <t>MT2541602TT1</t>
  </si>
  <si>
    <t>P26201610</t>
  </si>
  <si>
    <t>2/10/2026 2:15:26 PM</t>
  </si>
  <si>
    <t>SR020203261343</t>
  </si>
  <si>
    <t>Power Shelf Defective 100m_更換_TW640</t>
  </si>
  <si>
    <t>T525480710</t>
  </si>
  <si>
    <t>T525480715</t>
  </si>
  <si>
    <t>P26201620</t>
  </si>
  <si>
    <t>2/10/2026 3:09:51 PM</t>
  </si>
  <si>
    <t>RK114</t>
  </si>
  <si>
    <t>GB200 M.2 / E1.S Check fail</t>
  </si>
  <si>
    <t>GB300 E1.S Check fail 數量少偵測1顆HDD_已更換_PM1265</t>
  </si>
  <si>
    <t>A978250X6202079</t>
  </si>
  <si>
    <t>A978250X6124909</t>
  </si>
  <si>
    <t>P26201642</t>
  </si>
  <si>
    <t>2/10/2026 5:36:11 PM</t>
  </si>
  <si>
    <t>http://10.160.100.10/l ogs/Firmus/2026/February /SR020130267180/10/R-BURN /A978250X6116889/905A08354F54/gb300_compute_nvidia_L11_field_diag_summary.log</t>
  </si>
  <si>
    <t>A978250X6119460</t>
  </si>
  <si>
    <t>P26201649</t>
  </si>
  <si>
    <t>2/10/2026 6:23:50 PM</t>
  </si>
  <si>
    <t>SR020203268544</t>
  </si>
  <si>
    <t>L11 Bent pin slot 10</t>
  </si>
  <si>
    <t>P26201664</t>
  </si>
  <si>
    <t>2/10/2026 9:30:14 PM</t>
  </si>
  <si>
    <t>SR020203264561</t>
  </si>
  <si>
    <t>L11 Cable cartridge Defect BENT-PIN SR020203264561</t>
  </si>
  <si>
    <t>P26201666</t>
  </si>
  <si>
    <t>2/10/2026 9:56:42 PM</t>
  </si>
  <si>
    <t>SR020203267366</t>
  </si>
  <si>
    <t>A978250X6201828</t>
  </si>
  <si>
    <t>A978250X6122297</t>
  </si>
  <si>
    <t>P26201668</t>
  </si>
  <si>
    <t>2/10/2026 10:17:36 PM</t>
  </si>
  <si>
    <t>SR020203268371</t>
  </si>
  <si>
    <t>L11 BENT PIN SLOT 12 - Rack0_SW3_acp38 CC1_C9_Lane_6 link_none</t>
  </si>
  <si>
    <t>P26201674</t>
  </si>
  <si>
    <t>2/10/2026 10:31:03 PM</t>
  </si>
  <si>
    <t>SR020203266141</t>
  </si>
  <si>
    <t>A978250X6203082</t>
  </si>
  <si>
    <t>A978250X6124015</t>
  </si>
  <si>
    <t>P26201676</t>
  </si>
  <si>
    <t>2/10/2026 10:38:57 PM</t>
  </si>
  <si>
    <t>L11 Raw_lane_ber error value of 3e-06 exceeded threshold on (switch 1 dev 1 topo 0, nvlink 2)] @(Rack slot 17, CBC 3</t>
  </si>
  <si>
    <t>MT2546602VA4</t>
  </si>
  <si>
    <t>MT254560240J</t>
  </si>
  <si>
    <t>P26201682</t>
  </si>
  <si>
    <t>2/10/2026 11:18:47 PM</t>
  </si>
  <si>
    <t>SR020203264591</t>
  </si>
  <si>
    <t>L11 Cable cartridge Defect - Rack0_SW7_acp112 CC3_C9_Lane_15 link_bad_quality_high_ber</t>
  </si>
  <si>
    <t>P26201749</t>
  </si>
  <si>
    <t>2/11/2026 1:01:42 PM</t>
  </si>
  <si>
    <t>2/11/2026</t>
  </si>
  <si>
    <t>SR020203264772 L11 TEST FAIL:PowerShelf#4 PMB(T525480336) Updating PMC Backup timeout,MRB</t>
  </si>
  <si>
    <t>T525480336</t>
  </si>
  <si>
    <t>SV25383360</t>
  </si>
  <si>
    <t>P26201751</t>
  </si>
  <si>
    <t>2/11/2026 9:44:49 AM</t>
  </si>
  <si>
    <t>SR020206264897</t>
  </si>
  <si>
    <t>P26201826</t>
  </si>
  <si>
    <t>2/11/2026 4:09:04 PM</t>
  </si>
  <si>
    <t>http://10.160.100.12/logs/Firmus/2026/ February/ SR020206264897/11/ R-BURN/A978250X6201247/ 905A0832F8B8/gb300_compute_nvidia_L11_field_diag_summary.log</t>
  </si>
  <si>
    <t>MT2550601LED</t>
  </si>
  <si>
    <t>MT2545600E9Q</t>
  </si>
  <si>
    <t>P26201828</t>
  </si>
  <si>
    <t>2/11/2026 5:54:32 PM</t>
  </si>
  <si>
    <t>L11 Cable cartridge Defect / Rack0_SW2_acp96 CC3_C5_Lane_5</t>
  </si>
  <si>
    <t>P26201836</t>
  </si>
  <si>
    <t>2/11/2026 8:19:56 PM</t>
  </si>
  <si>
    <t>SR020206261733</t>
  </si>
  <si>
    <t>NVLINK Switch Functional Issue / Rack0_SW8_acp112 CC3_C9_Lane_17 link_none</t>
  </si>
  <si>
    <t>MT2550601TQ3</t>
  </si>
  <si>
    <t>MT2532602JFZ</t>
  </si>
  <si>
    <t>P26201859</t>
  </si>
  <si>
    <t>2/11/2026 11:35:12 PM</t>
  </si>
  <si>
    <t>SR020206268197</t>
  </si>
  <si>
    <t>RK132</t>
  </si>
  <si>
    <t>GB200 Dmesg NVRM issue</t>
  </si>
  <si>
    <t>L11 Acceptable temperature limits exceeded or the thermal sensor is broken. http://10.181.56.71 /logs /Firmus /2026 /February /SR020206268197 /11 /R-BURN /A978250X6203590 /905A0832F9FA</t>
  </si>
  <si>
    <t>A978250X6202148</t>
  </si>
  <si>
    <t>A978250X6204332</t>
  </si>
  <si>
    <t>P26201894</t>
  </si>
  <si>
    <t>2/12/2026 9:21:27 AM</t>
  </si>
  <si>
    <t>SR020206268093</t>
  </si>
  <si>
    <t>2/12/2026</t>
  </si>
  <si>
    <t>SR020206268093 Power Shelf #7 PMB 更新FAIL;TW4520;2/12 協助過帳</t>
  </si>
  <si>
    <t>T525482695</t>
  </si>
  <si>
    <t>T525480937</t>
  </si>
  <si>
    <t>P26201936</t>
  </si>
  <si>
    <t>SR020206267528</t>
  </si>
  <si>
    <t>L11 TEST FAIL:POWER LED不亮</t>
  </si>
  <si>
    <t>THASP254700Q5</t>
  </si>
  <si>
    <t>2/12/2026 7:59:18 PM</t>
  </si>
  <si>
    <t>P26201964</t>
  </si>
  <si>
    <t>2/12/2026 4:56:30 PM</t>
  </si>
  <si>
    <t>Shutdown unexpectedly when GPU Burn test. And critical log of Sensor 'Chassis_0_Front_IO_Temp_0' in BMC SEL. Sensor 'Chassis_0_Front_IO_Temp_0' reading of 40.000000</t>
  </si>
  <si>
    <t>A978250X6202269</t>
  </si>
  <si>
    <t>A978250X6204298</t>
  </si>
  <si>
    <t>P26201986</t>
  </si>
  <si>
    <t>2/12/2026 10:57:03 PM</t>
  </si>
  <si>
    <t>A978250X6124977</t>
  </si>
  <si>
    <t>A978250X6122196</t>
  </si>
  <si>
    <t>P26202046</t>
  </si>
  <si>
    <t>2/13/2026 10:12:56 AM</t>
  </si>
  <si>
    <t>SR020206261296</t>
  </si>
  <si>
    <t>2/13/2026</t>
  </si>
  <si>
    <t>L11 TEST FAIL:SW7,CC0_C7, link_none</t>
  </si>
  <si>
    <t>P26202047</t>
  </si>
  <si>
    <t>L11 TEST FAIL:SW7,CC2_C7, link_none</t>
  </si>
  <si>
    <t>P26202054</t>
  </si>
  <si>
    <t>2/13/2026 9:54:13 AM</t>
  </si>
  <si>
    <t>SR020206263786</t>
  </si>
  <si>
    <t>L10 Both HIGH FEC and RAW BER found (連線不穩定)導致R-burn 燒機FAIL _已更換_PM1265</t>
  </si>
  <si>
    <t>A978250X6118401</t>
  </si>
  <si>
    <t>A978250X6202012</t>
  </si>
  <si>
    <t>P26202062</t>
  </si>
  <si>
    <t>SR020206266573</t>
  </si>
  <si>
    <t>2/13/2026 7:48:55 PM</t>
  </si>
  <si>
    <t>CC2_C10_Lane_8, link_none,0, 0跟CC2_C12_Lane_8, link_none,0, 0 (BENT PIN SLOT 13)</t>
  </si>
  <si>
    <t>P26202122</t>
  </si>
  <si>
    <t>2/13/2026 8:57:29 PM</t>
  </si>
  <si>
    <t>SR020206266171</t>
  </si>
  <si>
    <t>MT2550602FQJ</t>
  </si>
  <si>
    <t>MT2532602G8F</t>
  </si>
  <si>
    <t>P26202130</t>
  </si>
  <si>
    <t>2/13/2026 10:01:45 PM</t>
  </si>
  <si>
    <t>SR020206261207</t>
  </si>
  <si>
    <t>A978250X6124002</t>
  </si>
  <si>
    <t>A978250X6204157</t>
  </si>
  <si>
    <t>P26202134</t>
  </si>
  <si>
    <t>2/13/2026 10:14:50 PM</t>
  </si>
  <si>
    <t>P26202151</t>
  </si>
  <si>
    <t>2/14/2026 12:32:21 AM</t>
  </si>
  <si>
    <t>SR020206263238</t>
  </si>
  <si>
    <t>2/14/2026</t>
  </si>
  <si>
    <t>L11 Cable cartridge defect. Slot 11 bent pin.</t>
  </si>
  <si>
    <t>P26202160</t>
  </si>
  <si>
    <t>2/14/2026 1:41:09 AM</t>
  </si>
  <si>
    <t>A978250X6202054</t>
  </si>
  <si>
    <t>A978250X6204285</t>
  </si>
  <si>
    <t>P26202225</t>
  </si>
  <si>
    <t>2/14/2026 5:56:44 PM</t>
  </si>
  <si>
    <t>SR020206266097</t>
  </si>
  <si>
    <t>L11 Cable Cartridge fail (BENT PIN SLOT 12)</t>
  </si>
  <si>
    <t>P26202273</t>
  </si>
  <si>
    <t>2/19/2026 5:04:46 PM</t>
  </si>
  <si>
    <t>2/19/2026</t>
  </si>
  <si>
    <t>L11 Cable catridge defect - Rack0_SW8_acp83 CC2_C2_Lane_17 link_none</t>
  </si>
  <si>
    <t>P26202275</t>
  </si>
  <si>
    <t>2/19/2026 5:37:44 PM</t>
  </si>
  <si>
    <t>SR020206267809</t>
  </si>
  <si>
    <t>Cable cartridge Defect - Rack0_SW8_acp83 CC2_C2_Lane_17 link_none</t>
  </si>
  <si>
    <t>P26202285</t>
  </si>
  <si>
    <t>2/19/2026 6:09:31 PM</t>
  </si>
  <si>
    <t>SR020206267940</t>
  </si>
  <si>
    <t>A978250X6118626</t>
  </si>
  <si>
    <t>P26202287</t>
  </si>
  <si>
    <t>2/19/2026 6:24:01 PM</t>
  </si>
  <si>
    <t>A978250X6118432</t>
  </si>
  <si>
    <t>A978250X6202028</t>
  </si>
  <si>
    <t>P26202309</t>
  </si>
  <si>
    <t>2/19/2026 7:59:44 PM</t>
  </si>
  <si>
    <t>A978250X6201540</t>
  </si>
  <si>
    <t>P26202310</t>
  </si>
  <si>
    <t>2/19/2026 8:00:58 PM</t>
  </si>
  <si>
    <t>SRS-52UGB300-NVL72-TI036</t>
  </si>
  <si>
    <t>SR020206269093</t>
  </si>
  <si>
    <t>L11 Cable catridge defect _ Rack0_SW8_acp129 CC0_C14_Lane_17 link_none</t>
  </si>
  <si>
    <t>P26202316</t>
  </si>
  <si>
    <t>2/19/2026 9:12:27 PM</t>
  </si>
  <si>
    <t>A978250X6124988</t>
  </si>
  <si>
    <t>A978250X6201798</t>
  </si>
  <si>
    <t>P26202341</t>
  </si>
  <si>
    <t>2/19/2026 10:18:07 PM</t>
  </si>
  <si>
    <t>PIO-121GL-NB3-LC5-TI036</t>
  </si>
  <si>
    <t>A979646X6209243</t>
  </si>
  <si>
    <t>A979646X6209144</t>
  </si>
  <si>
    <t>P26202344</t>
  </si>
  <si>
    <t>2/19/2026 10:32:31 PM</t>
  </si>
  <si>
    <t>SR020206264526</t>
  </si>
  <si>
    <t>A978250X6202219</t>
  </si>
  <si>
    <t>P26202543</t>
  </si>
  <si>
    <t>2/21/2026 9:17:59 PM</t>
  </si>
  <si>
    <t>2/21/2026</t>
  </si>
  <si>
    <t>P26202657</t>
  </si>
  <si>
    <t>SR020214269305</t>
  </si>
  <si>
    <t>PS013</t>
  </si>
  <si>
    <t>Mistakes from Vendors (CM問題)</t>
  </si>
  <si>
    <t>2/23/2026</t>
  </si>
  <si>
    <t>PSU device 2 has missing information or could not be fully detected</t>
  </si>
  <si>
    <t>THASP254700ER</t>
  </si>
  <si>
    <t>2/23/2026 10:42:10 PM</t>
  </si>
  <si>
    <t>P26202715</t>
  </si>
  <si>
    <t>2/23/2026 5:18:56 PM</t>
  </si>
  <si>
    <t>L11 Cable Cartridge fail / Rack0_SW0_acp1 CC0_C0_Lane_0</t>
  </si>
  <si>
    <t>P26202755</t>
  </si>
  <si>
    <t>2/23/2026 10:30:24 PM</t>
  </si>
  <si>
    <t>P26202759</t>
  </si>
  <si>
    <t>2/23/2026 10:34:38 PM</t>
  </si>
  <si>
    <t>A978250X6119475</t>
  </si>
  <si>
    <t>P26202774</t>
  </si>
  <si>
    <t>2/23/2026 10:42:46 PM</t>
  </si>
  <si>
    <t>A978250X6202566</t>
  </si>
  <si>
    <t>A978250X6121625</t>
  </si>
  <si>
    <t>P26202779</t>
  </si>
  <si>
    <t>2/23/2026 10:54:32 PM</t>
  </si>
  <si>
    <t>A978250X6204081</t>
  </si>
  <si>
    <t>A978250X6123993</t>
  </si>
  <si>
    <t>P26202782</t>
  </si>
  <si>
    <t>2/23/2026 10:58:24 PM</t>
  </si>
  <si>
    <t>A978250X6124020</t>
  </si>
  <si>
    <t>P26202789</t>
  </si>
  <si>
    <t>2/23/2026 11:09:13 PM</t>
  </si>
  <si>
    <t>SR020214261249</t>
  </si>
  <si>
    <t>A978250X6211588</t>
  </si>
  <si>
    <t>P26202840</t>
  </si>
  <si>
    <t>2/24/2026 9:42:02 AM</t>
  </si>
  <si>
    <t>SR020214266307</t>
  </si>
  <si>
    <t>2/24/2026</t>
  </si>
  <si>
    <t>SR020214266307 L11 TEST FAIL:SW0 update Timeout or EOF reached TW4520 2/24協助過帳</t>
  </si>
  <si>
    <t>MT25506019Q3</t>
  </si>
  <si>
    <t>MT2532602G8J</t>
  </si>
  <si>
    <t>P26202857</t>
  </si>
  <si>
    <t>2/24/2026 12:52:33 PM</t>
  </si>
  <si>
    <t>SR020214269683</t>
  </si>
  <si>
    <t>SR020214269683 witch_tray,Rack0_SW1_acp83,CC2_C2_Lane_3 TW4520 2/24 協助過帳</t>
  </si>
  <si>
    <t>P26202858</t>
  </si>
  <si>
    <t>2/24/2026 12:53:09 PM</t>
  </si>
  <si>
    <t>SR020214262332</t>
  </si>
  <si>
    <t>SR020214262332 witch_tray,Rack0_SW1_acp83,CC2_C2_Lane_3 TW4520 2/24 協助過帳</t>
  </si>
  <si>
    <t>P26202922</t>
  </si>
  <si>
    <t>2/24/2026 5:56:37 PM</t>
  </si>
  <si>
    <t>A978250X6210868</t>
  </si>
  <si>
    <t>A978250X6212242</t>
  </si>
  <si>
    <t>P26202928</t>
  </si>
  <si>
    <t>2/24/2026 6:08:39 PM</t>
  </si>
  <si>
    <t>SR020214263961</t>
  </si>
  <si>
    <t>A978250X6211611</t>
  </si>
  <si>
    <t>A978250X6211834</t>
  </si>
  <si>
    <t>P26202958</t>
  </si>
  <si>
    <t>2/24/2026 8:16:33 PM</t>
  </si>
  <si>
    <t>L11 Use to replace L10 servers that have failed Rburn test from the rack</t>
  </si>
  <si>
    <t>A978250X6118760</t>
  </si>
  <si>
    <t>A978250X6211833</t>
  </si>
  <si>
    <t>P26202984</t>
  </si>
  <si>
    <t>2/24/2026 9:13:03 PM</t>
  </si>
  <si>
    <t>A978250X6213422</t>
  </si>
  <si>
    <t>P26203024</t>
  </si>
  <si>
    <t>2/25/2026 7:07:44 AM</t>
  </si>
  <si>
    <t>SR020223262980</t>
  </si>
  <si>
    <t>2/25/2026</t>
  </si>
  <si>
    <t>SR020223262980 PowerSupplyUnit 3、4 status :Disabled,固定位置@TW4520 2/25 協助過帳</t>
  </si>
  <si>
    <t>THAS9254700RP</t>
  </si>
  <si>
    <t>THAS92547009H</t>
  </si>
  <si>
    <t>P26203065</t>
  </si>
  <si>
    <t>2/25/2026 10:16:13 AM</t>
  </si>
  <si>
    <t>SR020223262980 Power Supply SN(DGPSR26021P4B)實體與讀取(DGPSR26021B73)不符 更換SRK-01DTPW-5KB1-01@TW4520 2/25協助過帳</t>
  </si>
  <si>
    <t>DGPSR26021P4B</t>
  </si>
  <si>
    <t>DGPSR2602193G</t>
  </si>
  <si>
    <t>P26203066</t>
  </si>
  <si>
    <t>SR020223262980 Power Supply SN(DGPSR26021P88)實體與讀取(DGPSR26021B73)不符 更換SRK-01DTPW-5KB1-01@TW4520 2/25協助過帳</t>
  </si>
  <si>
    <t>DGPSR26021P88</t>
  </si>
  <si>
    <t>DGPSR26021935</t>
  </si>
  <si>
    <t>P26203067</t>
  </si>
  <si>
    <t>SR020223262980 Power Supply SN(DGPSR26021P3L)實體與讀取(DGPSR26021B73)不符 更換SRK-01DTPW-5KB1-01@TW4520 2/25協助過帳</t>
  </si>
  <si>
    <t>DGPSR26021P3L</t>
  </si>
  <si>
    <t>DGPSR26021933</t>
  </si>
  <si>
    <t>P26203206</t>
  </si>
  <si>
    <t>2/25/2026 10:24:01 PM</t>
  </si>
  <si>
    <t>SR020223265345</t>
  </si>
  <si>
    <t>A978250X6212504</t>
  </si>
  <si>
    <t>A978250X6210299</t>
  </si>
  <si>
    <t>P26203209</t>
  </si>
  <si>
    <t>2/25/2026 10:41:23 PM</t>
  </si>
  <si>
    <t>A978250X6213448</t>
  </si>
  <si>
    <t>A978250X6213402</t>
  </si>
  <si>
    <t>P26203211</t>
  </si>
  <si>
    <t>2/25/2026 10:49:13 PM</t>
  </si>
  <si>
    <t>A978250X6210356</t>
  </si>
  <si>
    <t>A978250X6210290</t>
  </si>
  <si>
    <t>P26203214</t>
  </si>
  <si>
    <t>2/25/2026 11:11:13 PM</t>
  </si>
  <si>
    <t>SR020223263653</t>
  </si>
  <si>
    <t>P26203225</t>
  </si>
  <si>
    <t>SR020223265998</t>
  </si>
  <si>
    <t>2/26/2026</t>
  </si>
  <si>
    <t>CC3 SLOT 18 BENT PIN</t>
  </si>
  <si>
    <t>P26203226</t>
  </si>
  <si>
    <t>SR020214268082</t>
  </si>
  <si>
    <t>P26203227</t>
  </si>
  <si>
    <t>Bent pin</t>
  </si>
  <si>
    <t>MT2550602FN5</t>
  </si>
  <si>
    <t>P26203228</t>
  </si>
  <si>
    <t>L11 TEST FAIL:link_downed error,(Rack slot 25,slot 17, CBC 2)</t>
  </si>
  <si>
    <t>P26203229</t>
  </si>
  <si>
    <t>SR020214263769</t>
  </si>
  <si>
    <t>L11 TEST FAIL:SW6,CC3,C9,link_none</t>
  </si>
  <si>
    <t>2/26/2026 10:19:18 PM</t>
  </si>
  <si>
    <t>CC32025125351653</t>
  </si>
  <si>
    <t>2/26/2026 11:08:11 PM</t>
  </si>
  <si>
    <t>L11 CC1 Bent pin Slot 16</t>
  </si>
  <si>
    <t>MT26066046XB</t>
  </si>
  <si>
    <t>2/26/2026 10:32:27 PM</t>
  </si>
  <si>
    <t>2/26/2026 10:18:14 PM</t>
  </si>
  <si>
    <t>P26203455</t>
  </si>
  <si>
    <t>2/27/2026 2:30:49 PM</t>
  </si>
  <si>
    <t>AS006</t>
  </si>
  <si>
    <t>OTHERS 其他(未定義)</t>
  </si>
  <si>
    <t>2/27/2026</t>
  </si>
  <si>
    <t>SR020223265998 RJ45_U45 P6(353835CM1283) no link</t>
  </si>
  <si>
    <t>P26203552</t>
  </si>
  <si>
    <t>2/27/2026 9:59:04 PM</t>
  </si>
  <si>
    <t>SR020223264638</t>
  </si>
  <si>
    <t>A978250X6211819</t>
  </si>
  <si>
    <t>A978250X6210388</t>
  </si>
  <si>
    <t>P26203555</t>
  </si>
  <si>
    <t>2/27/2026 10:06:21 PM</t>
  </si>
  <si>
    <t>A978250X6212251</t>
  </si>
  <si>
    <t>P26203558</t>
  </si>
  <si>
    <t>2/27/2026 10:16:26 PM</t>
  </si>
  <si>
    <t>A978250X6210359</t>
  </si>
  <si>
    <t>A978250X6210319</t>
  </si>
  <si>
    <t>A978250X6213436</t>
    <phoneticPr fontId="7" type="noConversion"/>
  </si>
  <si>
    <t>A978250X6210368</t>
    <phoneticPr fontId="7" type="noConversion"/>
  </si>
  <si>
    <t>P26300009</t>
  </si>
  <si>
    <t>SR020223269867</t>
  </si>
  <si>
    <t>3/2/2026</t>
  </si>
  <si>
    <t>3/3/2026 1:28:02 PM</t>
  </si>
  <si>
    <t>SW2_CC1_C9_link_none@TW4520@3/3協助過帳</t>
  </si>
  <si>
    <t>P26300010</t>
  </si>
  <si>
    <t>SW7_CC2_C7_link_none@TW4520@3/3協助過帳</t>
  </si>
  <si>
    <t>P26300116</t>
  </si>
  <si>
    <t>3/2/2026 5:11:04 PM</t>
  </si>
  <si>
    <t>SR020223268841</t>
  </si>
  <si>
    <t>L11 NVLink Switch Information Consistent Check fail (UPDATE TIMEOUT)</t>
  </si>
  <si>
    <t>MT2607603HTZ</t>
  </si>
  <si>
    <t>MT26076019EM</t>
  </si>
  <si>
    <t>P26300203</t>
  </si>
  <si>
    <t>3/3/2026 3:54:53 AM</t>
  </si>
  <si>
    <t>SR020223263155</t>
  </si>
  <si>
    <t>3/3/2026</t>
  </si>
  <si>
    <t>L11 GPU Missing</t>
  </si>
  <si>
    <t>A978250X6202082</t>
  </si>
  <si>
    <t>P26300225</t>
  </si>
  <si>
    <t>SR020223263515</t>
  </si>
  <si>
    <t>SW3_CC2_C1, link_none,SW7_CC2_C1, link_none</t>
  </si>
  <si>
    <t>3/3/2026 8:50:59 PM</t>
  </si>
  <si>
    <t>P26300411</t>
  </si>
  <si>
    <t>3/3/2026 10:06:24 PM</t>
  </si>
  <si>
    <t>SR020223263667</t>
  </si>
  <si>
    <t>A978250X6210980</t>
  </si>
  <si>
    <t>A978250X6210993</t>
  </si>
  <si>
    <t>P26300416</t>
  </si>
  <si>
    <t>3/3/2026 10:19:44 PM</t>
  </si>
  <si>
    <t>L11 Cable Cartridge fail BENT PIN SLOT 14 Rack0_SW5_acp38 CC1_C9_Lane_10 link_none Rack0_SW5_acp142 CC1_C17_Lane_11 link_none</t>
  </si>
  <si>
    <t>New Input Q'ty</t>
    <phoneticPr fontId="7" type="noConversion"/>
  </si>
  <si>
    <t>P26300615</t>
  </si>
  <si>
    <t>3/4/2026 10:11:53 PM</t>
  </si>
  <si>
    <t>3/4/2026</t>
  </si>
  <si>
    <t>A978250X6212488</t>
  </si>
  <si>
    <t>P26300618</t>
  </si>
  <si>
    <t>3/4/2026 10:53:09 PM</t>
  </si>
  <si>
    <t>A978250X6212207</t>
  </si>
  <si>
    <t>P26300622</t>
  </si>
  <si>
    <t>3/4/2026 11:21:02 PM</t>
  </si>
  <si>
    <t>A978250X6204331</t>
  </si>
  <si>
    <t>P26300649</t>
  </si>
  <si>
    <t>3/5/2026 1:27:02 AM</t>
  </si>
  <si>
    <t>3/5/2026</t>
  </si>
  <si>
    <t>A978250X6210877</t>
  </si>
  <si>
    <t>A978250X6210349</t>
  </si>
  <si>
    <t>P26300744</t>
  </si>
  <si>
    <t>3/5/2026 12:41:02 PM</t>
  </si>
  <si>
    <t>SR020302266577</t>
  </si>
  <si>
    <t>SR020302266577 1號燈號不亮@TW4520@3/5協助過帳</t>
  </si>
  <si>
    <t>MT26076016J0</t>
  </si>
  <si>
    <t>MT26076019EK</t>
  </si>
  <si>
    <t>P26300873</t>
  </si>
  <si>
    <t>3/5/2026 11:08:09 PM</t>
  </si>
  <si>
    <t>P26300923</t>
  </si>
  <si>
    <t>3/6/2026 1:05:33 AM</t>
  </si>
  <si>
    <t>SRS-GB300-NVL72-M1-FG001</t>
  </si>
  <si>
    <t>SR020227269788</t>
  </si>
  <si>
    <t>3/6/2026</t>
  </si>
  <si>
    <t>L11 Power Shelf Defective (Cannot Power On)</t>
  </si>
  <si>
    <t>T726024697</t>
  </si>
  <si>
    <t>T726023502</t>
  </si>
  <si>
    <t>P26300924</t>
  </si>
  <si>
    <t>3/6/2026 1:10:09 AM</t>
  </si>
  <si>
    <t>SR020223263552</t>
  </si>
  <si>
    <t>L11 Cable Cartridge fail (BENT PIN SLOT 13)</t>
  </si>
  <si>
    <t>P26300936</t>
  </si>
  <si>
    <t>3/6/2026 5:31:18 AM</t>
  </si>
  <si>
    <t>SR020302267153</t>
  </si>
  <si>
    <t>RK217</t>
  </si>
  <si>
    <t>GB200 L11 Leakage sensor issue</t>
  </si>
  <si>
    <t>L11 Leakage sensor issue</t>
  </si>
  <si>
    <t>A979646X6215114</t>
  </si>
  <si>
    <t>A979646X6302975</t>
  </si>
  <si>
    <t>Untested / 
Insufficient test Q'ty</t>
    <phoneticPr fontId="7" type="noConversion"/>
  </si>
  <si>
    <t>P26301057</t>
  </si>
  <si>
    <t>3/8/2026 11:54:16 PM</t>
  </si>
  <si>
    <t>SR020227268814</t>
  </si>
  <si>
    <t>P26301102</t>
  </si>
  <si>
    <t>3/7/2026 12:33:00 AM</t>
  </si>
  <si>
    <t>SR020302267380</t>
  </si>
  <si>
    <t>3/7/2026</t>
  </si>
  <si>
    <t>L11 Cable Cartridge fail (BENT PIN SLOT 10) Rack0_SW1_acp54 CC1_C13_Lane_2 / SR020302267380</t>
  </si>
  <si>
    <t>P26301103</t>
  </si>
  <si>
    <t>3/7/2026 12:36:24 AM</t>
  </si>
  <si>
    <t>SR020302265451</t>
  </si>
  <si>
    <t>A979646X6216591</t>
  </si>
  <si>
    <t>A979646X6217539</t>
  </si>
  <si>
    <t>P26301115</t>
  </si>
  <si>
    <t>3/7/2026 1:13:01 AM</t>
  </si>
  <si>
    <t>SR020302266378</t>
  </si>
  <si>
    <t>10.10.42.198 only 0 Fabric state shows OK, expected 4</t>
  </si>
  <si>
    <t>A979646X6301787</t>
  </si>
  <si>
    <t>A979646X6216976</t>
  </si>
  <si>
    <t>P26301127</t>
  </si>
  <si>
    <t>3/7/2026 1:21:21 AM</t>
  </si>
  <si>
    <t>SR020223267066</t>
  </si>
  <si>
    <t>A978250X6120820</t>
  </si>
  <si>
    <t>A978250X6301862</t>
  </si>
  <si>
    <t>P26301140</t>
  </si>
  <si>
    <t>3/7/2026 6:25:29 AM</t>
  </si>
  <si>
    <t>SR020302264202</t>
  </si>
  <si>
    <t>L11 Switch Tray Nvidia Field Diag Test fail</t>
  </si>
  <si>
    <t>A979646X6216631</t>
  </si>
  <si>
    <t>A979646X6217554</t>
  </si>
  <si>
    <t>P26301160</t>
  </si>
  <si>
    <t>3/7/2026 9:31:53 AM</t>
  </si>
  <si>
    <t>A979646X6300310</t>
  </si>
  <si>
    <t>P26301218</t>
  </si>
  <si>
    <t>3/7/2026 8:56:23 PM</t>
  </si>
  <si>
    <t>SR020302263241</t>
  </si>
  <si>
    <t>BENT PIN COMP TRAY #16 SLOT 25 CC0</t>
  </si>
  <si>
    <t>P26301219</t>
  </si>
  <si>
    <t>3/7/2026 9:00:55 PM</t>
  </si>
  <si>
    <t>BENT PIN COMP TRAY #17 SLOT 26 CC1</t>
  </si>
  <si>
    <t>P26301223</t>
  </si>
  <si>
    <t>3/7/2026 9:21:00 PM</t>
  </si>
  <si>
    <t>SR020306262819</t>
  </si>
  <si>
    <t>RK131</t>
  </si>
  <si>
    <t>GB200 GPU Missing</t>
  </si>
  <si>
    <t>A979646X6303120</t>
  </si>
  <si>
    <t>A979646X6301557</t>
  </si>
  <si>
    <t>P26301287</t>
  </si>
  <si>
    <t>3/8/2026 4:12:34 PM</t>
  </si>
  <si>
    <t>SR020306261762</t>
  </si>
  <si>
    <t>3/8/2026</t>
  </si>
  <si>
    <t>A979646X6217481</t>
  </si>
  <si>
    <t>A979646X6216509</t>
  </si>
  <si>
    <t>P26301289</t>
  </si>
  <si>
    <t>3/8/2026 6:29:14 PM</t>
  </si>
  <si>
    <t>SR020306263095</t>
  </si>
  <si>
    <t>A979646X6217327</t>
  </si>
  <si>
    <t>A979646X6215578</t>
  </si>
  <si>
    <t>P26301291</t>
  </si>
  <si>
    <t>3/8/2026 6:40:29 PM</t>
  </si>
  <si>
    <t>SR020306263192</t>
  </si>
  <si>
    <t>A979646X6216637</t>
  </si>
  <si>
    <t>P26301293</t>
  </si>
  <si>
    <t>3/8/2026 7:37:11 PM</t>
  </si>
  <si>
    <t>SR020306263581</t>
  </si>
  <si>
    <t>A979646X6215018</t>
  </si>
  <si>
    <t>A979646X6301048</t>
  </si>
  <si>
    <t>P26301295</t>
  </si>
  <si>
    <t>3/8/2026 9:14:04 PM</t>
  </si>
  <si>
    <t>SR020224266767</t>
  </si>
  <si>
    <t>A979646X6301571</t>
  </si>
  <si>
    <t>A979646X6302522</t>
  </si>
  <si>
    <t>P26301297</t>
  </si>
  <si>
    <t>3/8/2026 10:04:58 PM</t>
  </si>
  <si>
    <t>10.10.63.155 only 0 Fabric state shows OK, expected 4</t>
  </si>
  <si>
    <t>A979646X6215573</t>
  </si>
  <si>
    <t>P26301298</t>
  </si>
  <si>
    <t>3/8/2026 10:08:09 PM</t>
  </si>
  <si>
    <t>SR020306261954</t>
  </si>
  <si>
    <t>NVRM invalid state or config @(Rack slot 18, CBC 2, 4x19 connector 2)</t>
  </si>
  <si>
    <t>A979646X6303008</t>
  </si>
  <si>
    <t>A979646X6215572</t>
  </si>
  <si>
    <t>P26301299</t>
  </si>
  <si>
    <t>3/8/2026 10:11:42 PM</t>
  </si>
  <si>
    <t>SR020306264272</t>
  </si>
  <si>
    <t>A979646X6215593</t>
  </si>
  <si>
    <t>P26301301</t>
  </si>
  <si>
    <t>3/8/2026 10:21:08 PM</t>
  </si>
  <si>
    <t>SR020223263900</t>
  </si>
  <si>
    <t>A978250X6200307</t>
  </si>
  <si>
    <t>P26301302</t>
  </si>
  <si>
    <t>3/8/2026 10:27:50 PM</t>
  </si>
  <si>
    <t>A979646X6301563</t>
  </si>
  <si>
    <t>P26301305</t>
  </si>
  <si>
    <t>3/8/2026 10:39:11 PM</t>
  </si>
  <si>
    <t>P26301307</t>
  </si>
  <si>
    <t>3/8/2026 11:34:32 PM</t>
  </si>
  <si>
    <t>A978250X6301883</t>
  </si>
  <si>
    <t>P26301310</t>
  </si>
  <si>
    <t>3/9/2026 12:02:31 AM</t>
  </si>
  <si>
    <t>RK213</t>
  </si>
  <si>
    <t>GB200 L11 No BMC IP</t>
  </si>
  <si>
    <t>3/9/2026</t>
  </si>
  <si>
    <t>L11 No BMC IP</t>
  </si>
  <si>
    <t>A978250X6204082</t>
  </si>
  <si>
    <t>P26301312</t>
  </si>
  <si>
    <t>3/9/2026 12:21:11 AM</t>
  </si>
  <si>
    <t>A978250X6301876</t>
  </si>
  <si>
    <t>P26301314</t>
  </si>
  <si>
    <t>3/9/2026 3:35:19 AM</t>
  </si>
  <si>
    <t>RK213 GB200 L11 No BMC IP</t>
  </si>
  <si>
    <t>A978250X6213398</t>
  </si>
  <si>
    <t>P26301316</t>
  </si>
  <si>
    <t>3/9/2026 3:48:41 AM</t>
  </si>
  <si>
    <t>GB200 Ethernet/infiniband SelfTest fail</t>
  </si>
  <si>
    <t>L11 Ethernet/infiniband SelfTest fail</t>
  </si>
  <si>
    <t>A978250X6117558</t>
  </si>
  <si>
    <t>A978250X6211648</t>
  </si>
  <si>
    <t>P26301318</t>
  </si>
  <si>
    <t>3/9/2026 3:54:32 AM</t>
  </si>
  <si>
    <t>P26301354</t>
  </si>
  <si>
    <t>3/9/2026 7:16:18 AM</t>
  </si>
  <si>
    <t>RK121</t>
  </si>
  <si>
    <t>GB200 Dmesg report error</t>
  </si>
  <si>
    <t>L11 Dmesg report error</t>
  </si>
  <si>
    <t>A978250X6200313</t>
  </si>
  <si>
    <t>P26301468</t>
  </si>
  <si>
    <t>3/9/2026 9:21:50 PM</t>
  </si>
  <si>
    <t>Bent Pin NVL switch Tray Slot 11</t>
  </si>
  <si>
    <t>Total</t>
    <phoneticPr fontId="7" type="noConversion"/>
  </si>
  <si>
    <t>P26301493</t>
  </si>
  <si>
    <t>3/9/2026 11:38:18 PM</t>
  </si>
  <si>
    <t>SR020224267540</t>
  </si>
  <si>
    <t>A979646X6301854</t>
  </si>
  <si>
    <t>A979646X6301810</t>
  </si>
  <si>
    <t>P26301659</t>
  </si>
  <si>
    <t>3/10/2026 8:05:25 PM</t>
  </si>
  <si>
    <t>SR020306267553</t>
  </si>
  <si>
    <t>3/10/2026</t>
  </si>
  <si>
    <t>The leak sensor Ch0LeaDet0ColPla reading 0V shows a shorted sensor (short pins at connector)</t>
  </si>
  <si>
    <t>A979646X6301092</t>
  </si>
  <si>
    <t>A979646X6303694</t>
  </si>
  <si>
    <t>P26301664</t>
  </si>
  <si>
    <t>3/10/2026 8:33:02 PM</t>
  </si>
  <si>
    <t>SR020306268919</t>
  </si>
  <si>
    <t>DEFECTIVE POWER SHELF CHASSIS UNABLE TO POWER PMC</t>
  </si>
  <si>
    <t>613337RBX04X15452CS</t>
  </si>
  <si>
    <t>613337RBX04X154226U</t>
  </si>
  <si>
    <t>P26301522</t>
  </si>
  <si>
    <t>3/10/2026 4:38:24 AM</t>
  </si>
  <si>
    <t>SR020306263835</t>
  </si>
  <si>
    <t>A979646X6216564</t>
  </si>
  <si>
    <t>A979646X6302284</t>
  </si>
  <si>
    <t>P26301622</t>
  </si>
  <si>
    <t>3/10/2026 3:11:12 PM</t>
  </si>
  <si>
    <t>SR020302265624</t>
  </si>
  <si>
    <t>SR020302265624 Failed to executed command sudo python import base64 cable cartridge3 eeprom@TW4520@協助過帳</t>
  </si>
  <si>
    <t>MT26076016BA</t>
  </si>
  <si>
    <t>MT2607600WGA</t>
  </si>
  <si>
    <t>P26301669</t>
  </si>
  <si>
    <t>3/10/2026 9:04:35 PM</t>
  </si>
  <si>
    <t>SR020306266075</t>
  </si>
  <si>
    <t>A979646X6215537</t>
  </si>
  <si>
    <t>A979646X6305516</t>
  </si>
  <si>
    <t>P26301524</t>
  </si>
  <si>
    <t>3/10/2026 4:53:54 AM</t>
  </si>
  <si>
    <t>SR020224267400</t>
  </si>
  <si>
    <t>Rack chassis defect (Rack櫃不良)</t>
  </si>
  <si>
    <t>L11 Rack chassis defect (Rack櫃不良)</t>
  </si>
  <si>
    <t>A979646X6217069</t>
  </si>
  <si>
    <t>A979646X6300583</t>
  </si>
  <si>
    <t>P26301597</t>
  </si>
  <si>
    <t>3/10/2026 12:30:55 PM</t>
  </si>
  <si>
    <t>RK218</t>
  </si>
  <si>
    <t>GB200 L11 Sensor missing</t>
  </si>
  <si>
    <t>Sensor only 0 Fabric state shows OK</t>
  </si>
  <si>
    <t>A979646X6214959</t>
  </si>
  <si>
    <t>A979646X6303163</t>
  </si>
  <si>
    <t>P26301590</t>
  </si>
  <si>
    <t>3/10/2026 9:50:25 AM</t>
  </si>
  <si>
    <t>SR020306264439</t>
  </si>
  <si>
    <t>A979646X6303176</t>
  </si>
  <si>
    <t>A979646X6217397</t>
  </si>
  <si>
    <t>P26301672</t>
  </si>
  <si>
    <t>3/10/2026 9:16:21 PM</t>
  </si>
  <si>
    <t>SR020306266031</t>
  </si>
  <si>
    <t>A979646X6301828</t>
  </si>
  <si>
    <t>A979646X6303712</t>
  </si>
  <si>
    <t>P26301665</t>
  </si>
  <si>
    <t>3/10/2026 8:45:26 PM</t>
  </si>
  <si>
    <t>SR020306267214</t>
  </si>
  <si>
    <t>A979646X6217688</t>
  </si>
  <si>
    <t>A979646X6304703</t>
  </si>
  <si>
    <t>P26301692</t>
  </si>
  <si>
    <t>3/11/2026 12:18:09 AM</t>
  </si>
  <si>
    <t>SR020309261294</t>
  </si>
  <si>
    <t>3/11/2026</t>
  </si>
  <si>
    <t>613337RBX04X15452CU</t>
  </si>
  <si>
    <t>613337RBX04X154226S</t>
  </si>
  <si>
    <t>P26301694</t>
  </si>
  <si>
    <t>3/11/2026 12:50:21 AM</t>
  </si>
  <si>
    <t>L11 Power Shelf Defective(PMC)</t>
  </si>
  <si>
    <t>SRK-01LNPM-PMB1-01-TI036</t>
  </si>
  <si>
    <t>614MP1RBX03X1550118</t>
  </si>
  <si>
    <t>614MP1RBX03X15401E4</t>
  </si>
  <si>
    <t>P26301713</t>
  </si>
  <si>
    <t>3/11/2026 1:35:52 AM</t>
  </si>
  <si>
    <t>bent pin comp tray rack slot 2</t>
  </si>
  <si>
    <t>P26301715</t>
  </si>
  <si>
    <t>3/11/2026 1:43:00 AM</t>
  </si>
  <si>
    <t>SR020306268381</t>
  </si>
  <si>
    <t>BENT PIN COMP TRAY #7 SLOT 6 C2</t>
  </si>
  <si>
    <t>P26301733</t>
  </si>
  <si>
    <t>3/11/2026 5:06:30 AM</t>
  </si>
  <si>
    <t>A979646X6215536</t>
  </si>
  <si>
    <t>A979646X6302609</t>
  </si>
  <si>
    <t>P26301736</t>
  </si>
  <si>
    <t>3/11/2026 5:22:32 AM</t>
  </si>
  <si>
    <t>SR020306266795</t>
  </si>
  <si>
    <t>A979646X6217064</t>
  </si>
  <si>
    <t>A979646X6304939</t>
  </si>
  <si>
    <t>P26301794</t>
  </si>
  <si>
    <t>3/11/2026 10:18:18 AM</t>
  </si>
  <si>
    <t>SR020306265777</t>
  </si>
  <si>
    <t>L10 server parts failed in Rack level, record only. (Rack內的L10系統不良, 記錄用)</t>
  </si>
  <si>
    <t>A979646X6303189</t>
  </si>
  <si>
    <t>A979646X6303780</t>
  </si>
  <si>
    <t>P26301837</t>
  </si>
  <si>
    <t>3/11/2026 4:23:59 PM</t>
  </si>
  <si>
    <t>SR020306268934</t>
  </si>
  <si>
    <t>Power Shelf Defective - Unable to power PMB</t>
  </si>
  <si>
    <t>613337RBX04X15452CX</t>
  </si>
  <si>
    <t>613337RBX04X154329Y</t>
  </si>
  <si>
    <t>P26301852</t>
  </si>
  <si>
    <t>3/11/2026 6:03:05 PM</t>
  </si>
  <si>
    <t>A979646X6300459</t>
  </si>
  <si>
    <t>A979646X6306090</t>
  </si>
  <si>
    <t>P26301853</t>
  </si>
  <si>
    <t>3/11/2026 6:04:47 PM</t>
  </si>
  <si>
    <t>A979646X6215528</t>
  </si>
  <si>
    <t>A979646X6306082</t>
  </si>
  <si>
    <t>P26301856</t>
  </si>
  <si>
    <t>3/11/2026 6:29:30 PM</t>
  </si>
  <si>
    <t>Bent pin rack slot #12 switch tray</t>
  </si>
  <si>
    <t>Power shelf control module</t>
    <phoneticPr fontId="7" type="noConversion"/>
  </si>
  <si>
    <t>P26301908</t>
  </si>
  <si>
    <t>3/11/2026 8:57:30 PM</t>
  </si>
  <si>
    <t>SR020306268397</t>
  </si>
  <si>
    <t>http://10.160.100.12 /logs /Tesla /2026 /March /SR020306268397 /11 /R-BURN /A979646X6303745 /905A0834F0FF /gb300_ compute_ nvidia_ L11_ field_ diag_ summary.log</t>
  </si>
  <si>
    <t>P26301911</t>
  </si>
  <si>
    <t>3/11/2026 9:21:37 PM</t>
  </si>
  <si>
    <t>SR020309264908</t>
  </si>
  <si>
    <t>A979646X6305518</t>
  </si>
  <si>
    <t>A979646X6304755</t>
  </si>
  <si>
    <t>P26301913</t>
  </si>
  <si>
    <t>3/11/2026 9:28:33 PM</t>
  </si>
  <si>
    <t>A979646X6305157</t>
  </si>
  <si>
    <t>A979646X6217456</t>
  </si>
  <si>
    <t>P26301914</t>
  </si>
  <si>
    <t>3/11/2026 9:29:27 PM</t>
  </si>
  <si>
    <t>A979646X6305154</t>
  </si>
  <si>
    <t>A979646X6305534</t>
  </si>
  <si>
    <t>P26301925</t>
  </si>
  <si>
    <t>3/11/2026 9:56:50 PM</t>
  </si>
  <si>
    <t>A979646X6217686</t>
  </si>
  <si>
    <t>A979646X6304758</t>
  </si>
  <si>
    <t>P26301929</t>
  </si>
  <si>
    <t>3/11/2026 10:40:07 PM</t>
  </si>
  <si>
    <t>A979646X6215126</t>
  </si>
  <si>
    <t>A979646X6306083</t>
  </si>
  <si>
    <t>P26301943</t>
  </si>
  <si>
    <t>3/12/2026 12:17:12 AM</t>
  </si>
  <si>
    <t>SR020309261706</t>
  </si>
  <si>
    <t>3/12/2026</t>
  </si>
  <si>
    <t>A979646X6305512</t>
  </si>
  <si>
    <t>A979646X6303729</t>
  </si>
  <si>
    <t>P26301950</t>
  </si>
  <si>
    <t>3/12/2026 12:28:50 AM</t>
  </si>
  <si>
    <t>SR020306269945</t>
  </si>
  <si>
    <t>A979646X6302539</t>
  </si>
  <si>
    <t>A979646X6215038</t>
  </si>
  <si>
    <t>P26301953</t>
  </si>
  <si>
    <t>3/12/2026 12:46:15 AM</t>
  </si>
  <si>
    <t>SR020309262398</t>
  </si>
  <si>
    <t>Rack0 _SW2 _acp29, CC0_C7 _Lane_4, link_high _raw_ber http://10.160.100.12 /logs /Tesla /2026 /March /SR020309262398 /11 /R-BURN /A979646X6305622 /905A0835050E /Failure- Records-Full.txt</t>
  </si>
  <si>
    <t>P26301995</t>
  </si>
  <si>
    <t>3/12/2026 7:33:22 AM</t>
  </si>
  <si>
    <t>SR020309262183</t>
  </si>
  <si>
    <t>only 54 NVLink status shows OK</t>
  </si>
  <si>
    <t>A979646X6305186</t>
  </si>
  <si>
    <t>A979646X6303621</t>
  </si>
  <si>
    <t>P26302036</t>
  </si>
  <si>
    <t>3/12/2026 10:52:10 AM</t>
  </si>
  <si>
    <t>SR020309261700</t>
  </si>
  <si>
    <t>A979646X6302453</t>
  </si>
  <si>
    <t>A979646X6303627</t>
  </si>
  <si>
    <t>P26302121</t>
  </si>
  <si>
    <t>3/12/2026 8:36:50 PM</t>
  </si>
  <si>
    <t>http://10.160.100.12 /logs /Tesla /2026 /March /SR020309262183 /12 /R-BURN /A979646X6304729 /905A08350545 /gb300_ compute_ nvidia_ L11_ field_ diag_ summary.log</t>
  </si>
  <si>
    <t>P26302122</t>
  </si>
  <si>
    <t>3/12/2026 8:43:53 PM</t>
  </si>
  <si>
    <t>SR020309268071</t>
  </si>
  <si>
    <t>Power Shelf Defective Chassis- Unable to power PMB</t>
  </si>
  <si>
    <t>613337RBX01X15502PS</t>
  </si>
  <si>
    <t>613337RBX04X1542287</t>
  </si>
  <si>
    <t>P26302137</t>
  </si>
  <si>
    <t>3/12/2026 10:37:58 PM</t>
  </si>
  <si>
    <t>SR020309267651</t>
  </si>
  <si>
    <t>A979646X6306225</t>
  </si>
  <si>
    <t>A979646X6304804</t>
  </si>
  <si>
    <t>P26302144</t>
  </si>
  <si>
    <t>3/12/2026 10:58:42 PM</t>
  </si>
  <si>
    <t>SR020309265376</t>
  </si>
  <si>
    <t>A979646X6304767</t>
  </si>
  <si>
    <t>A979646X6303646</t>
  </si>
  <si>
    <t>P26302156</t>
  </si>
  <si>
    <t>3/12/2026 11:09:02 PM</t>
  </si>
  <si>
    <t>SR020309264426</t>
  </si>
  <si>
    <t>A979646X6304949</t>
  </si>
  <si>
    <t>A979646X6303645</t>
  </si>
  <si>
    <t>P26302158</t>
  </si>
  <si>
    <t>3/12/2026 11:13:53 PM</t>
  </si>
  <si>
    <t>SR020309263317</t>
  </si>
  <si>
    <t>A979646X6304957</t>
  </si>
  <si>
    <t>A979646X6304891</t>
  </si>
  <si>
    <t>P26302174</t>
  </si>
  <si>
    <t>3/12/2026 11:27:42 PM</t>
  </si>
  <si>
    <t>A979646X6305179</t>
  </si>
  <si>
    <t>A979646X6303180</t>
  </si>
  <si>
    <t>P26302176</t>
  </si>
  <si>
    <t>3/12/2026 11:31:57 PM</t>
  </si>
  <si>
    <t>A979646X6306258</t>
  </si>
  <si>
    <t>P26302180</t>
  </si>
  <si>
    <t>3/13/2026 12:16:35 AM</t>
  </si>
  <si>
    <t>SR020309262709</t>
  </si>
  <si>
    <t>3/13/2026</t>
  </si>
  <si>
    <t>A979646X6301837</t>
  </si>
  <si>
    <t>A979646X6306100</t>
  </si>
  <si>
    <t>P26302190</t>
  </si>
  <si>
    <t>SR020309269793</t>
  </si>
  <si>
    <t>613337RBX01X15502JM</t>
  </si>
  <si>
    <t>P26302288</t>
  </si>
  <si>
    <t>SR020309266880</t>
  </si>
  <si>
    <t>Failed to executed command sudo python import base64 cable cartridge3 eeprom</t>
  </si>
  <si>
    <t>MT2543601141</t>
  </si>
  <si>
    <t>P26302340</t>
  </si>
  <si>
    <t>3/13/2026 9:03:34 PM</t>
  </si>
  <si>
    <t>SR020311261816</t>
  </si>
  <si>
    <t>http://10.160.100.10/logs/Tesla/2026/March/SR020311261816/13/R-BURN/A979646X6306249/905A08352DA9/Failure-Records-Full.txt</t>
  </si>
  <si>
    <t>MT2609605QKG</t>
  </si>
  <si>
    <t>MT2607600WHM</t>
  </si>
  <si>
    <t>L11 Power Shelf Defective (Chassis)</t>
    <phoneticPr fontId="7" type="noConversion"/>
  </si>
  <si>
    <t>P26302344</t>
  </si>
  <si>
    <t>3/13/2026 9:28:09 PM</t>
  </si>
  <si>
    <t>SR020311265172</t>
  </si>
  <si>
    <t>RK215</t>
  </si>
  <si>
    <t>GB200 L11 Auto Reboot</t>
  </si>
  <si>
    <t>A979646X6306742</t>
  </si>
  <si>
    <t>P26302345</t>
  </si>
  <si>
    <t>3/13/2026 9:47:11 PM</t>
  </si>
  <si>
    <t>SR020311261184</t>
  </si>
  <si>
    <t>A979646X6305954</t>
  </si>
  <si>
    <t>A979646X6300809</t>
  </si>
  <si>
    <t>P26302357</t>
  </si>
  <si>
    <t>3/13/2026 10:29:30 PM</t>
  </si>
  <si>
    <t>A979646X6302435</t>
  </si>
  <si>
    <t>A979646X6217685</t>
  </si>
  <si>
    <t>P26302359</t>
  </si>
  <si>
    <t>3/13/2026 10:35:24 PM</t>
  </si>
  <si>
    <t>A979646X6302313</t>
  </si>
  <si>
    <t>A979646X6303757</t>
  </si>
  <si>
    <t>P26302361</t>
  </si>
  <si>
    <t>3/13/2026 10:46:42 PM</t>
  </si>
  <si>
    <t>SR020311264027</t>
  </si>
  <si>
    <t>A979646X6305729</t>
  </si>
  <si>
    <t>A979646X6303758</t>
  </si>
  <si>
    <t>P26302370</t>
  </si>
  <si>
    <t>3/13/2026 11:12:27 PM</t>
  </si>
  <si>
    <t>SR020311266797</t>
  </si>
  <si>
    <t>A979646X6306739</t>
  </si>
  <si>
    <t>P26302379</t>
  </si>
  <si>
    <t>3/14/2026 12:25:26 AM</t>
  </si>
  <si>
    <t>3/14/2026</t>
  </si>
  <si>
    <t>http://10.160.100.12/logs/Tesla/ 2026/March/SR020309262183/ 13/R-BURN/A979646X6304729/905A08350545/ gb300_compute_nvidia_L11_field_diag_summary.log</t>
  </si>
  <si>
    <t>P26302396</t>
  </si>
  <si>
    <t>3/14/2026 1:39:24 AM</t>
  </si>
  <si>
    <t>Cable cartridge defect. Rack0_SW0_acp43 CC2_C10_Lane_0 link_none</t>
  </si>
  <si>
    <t>P26302415</t>
  </si>
  <si>
    <t>3/14/2026 2:01:58 AM</t>
  </si>
  <si>
    <t>witch_tray Rack0_SW4_acp43 CC2_C10_Lane_8 link_none comp_tray Rack0_SW4_acp43 CC2_C10_Lane_8 link_none</t>
  </si>
  <si>
    <t>P26302416</t>
  </si>
  <si>
    <t>3/14/2026 2:03:20 AM</t>
  </si>
  <si>
    <t>SR020311266566</t>
  </si>
  <si>
    <t>GB200 L11 GPU Burn Test</t>
  </si>
  <si>
    <t>L11 GPU Burn Test</t>
  </si>
  <si>
    <t>A979646X6306264</t>
  </si>
  <si>
    <t>A979646X6304670</t>
  </si>
  <si>
    <t>P26302496</t>
  </si>
  <si>
    <t>3/14/2026 8:20:10 PM</t>
  </si>
  <si>
    <t>A979646X6306747</t>
  </si>
  <si>
    <t>A979646X6303766</t>
  </si>
  <si>
    <t>P26302498</t>
  </si>
  <si>
    <t>3/14/2026 8:37:17 PM</t>
  </si>
  <si>
    <t>A979646X6307499</t>
  </si>
  <si>
    <t>A979646X6301838</t>
  </si>
  <si>
    <t>P26302505</t>
  </si>
  <si>
    <t>3/14/2026 10:21:40 PM</t>
  </si>
  <si>
    <t>SR020311264303</t>
  </si>
  <si>
    <t>A979646X6306070</t>
  </si>
  <si>
    <t>A979646X6300496</t>
  </si>
  <si>
    <t>P26302507</t>
  </si>
  <si>
    <t>3/14/2026 10:28:41 PM</t>
  </si>
  <si>
    <t>A979646X6300500</t>
  </si>
  <si>
    <t>A979646X6300503</t>
  </si>
  <si>
    <t>P26302509</t>
  </si>
  <si>
    <t>3/14/2026 10:34:30 PM</t>
  </si>
  <si>
    <t>SR020311264067</t>
  </si>
  <si>
    <t>A979646X6302587</t>
  </si>
  <si>
    <t>A979646X6307525</t>
  </si>
  <si>
    <t>P26302522</t>
  </si>
  <si>
    <t>3/14/2026 10:41:25 PM</t>
  </si>
  <si>
    <t>A979646X6305735</t>
  </si>
  <si>
    <t>A979646X6302143</t>
  </si>
  <si>
    <t>P26302524</t>
  </si>
  <si>
    <t>SR020311264117</t>
  </si>
  <si>
    <t>PENDING</t>
  </si>
  <si>
    <t>P26302525</t>
  </si>
  <si>
    <t>3/14/2026 11:00:12 PM</t>
  </si>
  <si>
    <t>SR020311261275</t>
  </si>
  <si>
    <t>A979646X6302570</t>
  </si>
  <si>
    <t>A979646X6302139</t>
  </si>
  <si>
    <t>P26302566</t>
  </si>
  <si>
    <t>3/15/2026 3:27:55 PM</t>
  </si>
  <si>
    <t>SR020311266122</t>
  </si>
  <si>
    <t>3/15/2026</t>
  </si>
  <si>
    <t>A979646X6305031</t>
  </si>
  <si>
    <t>A979646X6306826</t>
  </si>
  <si>
    <t>P26302569</t>
  </si>
  <si>
    <t>3/15/2026 6:33:30 PM</t>
  </si>
  <si>
    <t>SR020311269487</t>
  </si>
  <si>
    <t>A979646X6215555</t>
  </si>
  <si>
    <t>A979646X6305805</t>
  </si>
  <si>
    <t>P26302571</t>
  </si>
  <si>
    <t>3/15/2026 6:40:51 PM</t>
  </si>
  <si>
    <t>SR020311269196</t>
  </si>
  <si>
    <t>A979646X6305771</t>
  </si>
  <si>
    <t>A979646X6305801</t>
  </si>
  <si>
    <t>P26302573</t>
  </si>
  <si>
    <t>3/15/2026 6:45:19 PM</t>
  </si>
  <si>
    <t>SR020311267215</t>
  </si>
  <si>
    <t>A979646X6306177</t>
  </si>
  <si>
    <t>A979646X6305799</t>
  </si>
  <si>
    <t>P26302575</t>
  </si>
  <si>
    <t>3/15/2026 9:11:52 PM</t>
  </si>
  <si>
    <t>SR020311269322</t>
  </si>
  <si>
    <t>A97664X6303955</t>
  </si>
  <si>
    <t>A97966X6305802</t>
  </si>
  <si>
    <t>P26302577</t>
  </si>
  <si>
    <t>3/15/2026 9:18:10 PM</t>
  </si>
  <si>
    <t>SR020313261010</t>
  </si>
  <si>
    <t>A979646X6306642</t>
  </si>
  <si>
    <t>A979646X6305804</t>
  </si>
  <si>
    <t>P26302579</t>
  </si>
  <si>
    <t>3/15/2026 10:07:46 PM</t>
  </si>
  <si>
    <t>A979646X6302548</t>
  </si>
  <si>
    <t>A979646X6305820</t>
  </si>
  <si>
    <t>P26302581</t>
  </si>
  <si>
    <t>3/15/2026 10:11:53 PM</t>
  </si>
  <si>
    <t>A979646X6302545</t>
  </si>
  <si>
    <t>A979646X6305817</t>
  </si>
  <si>
    <t>P26302583</t>
  </si>
  <si>
    <t>3/15/2026 10:18:17 PM</t>
  </si>
  <si>
    <t>A979646X6302096</t>
  </si>
  <si>
    <t>A979646X6306546</t>
  </si>
  <si>
    <t>P26302585</t>
  </si>
  <si>
    <t>3/15/2026 10:23:32 PM</t>
  </si>
  <si>
    <t>A979646X6301846</t>
  </si>
  <si>
    <t>A979646X6305819</t>
  </si>
  <si>
    <t>P26302587</t>
  </si>
  <si>
    <t>3/15/2026 10:26:43 PM</t>
  </si>
  <si>
    <t>A979646X6217070</t>
  </si>
  <si>
    <t>A979646X6302144</t>
  </si>
  <si>
    <t>P26302589</t>
  </si>
  <si>
    <t>3/15/2026 10:33:52 PM</t>
  </si>
  <si>
    <t>SR020311269887</t>
  </si>
  <si>
    <t>A979646X6306926</t>
  </si>
  <si>
    <t>A979646X6306718</t>
  </si>
  <si>
    <t>P26302591</t>
  </si>
  <si>
    <t>3/15/2026 10:42:33 PM</t>
  </si>
  <si>
    <t>SR020311266868</t>
  </si>
  <si>
    <t>A979646X6303419</t>
  </si>
  <si>
    <t>A979646X6305808</t>
  </si>
  <si>
    <t>P26302592</t>
  </si>
  <si>
    <t>3/15/2026 10:54:26 PM</t>
  </si>
  <si>
    <t>SR020311269690</t>
  </si>
  <si>
    <t>L11 SINGLE UNIT Unable to power on</t>
  </si>
  <si>
    <t>A979646X6307528</t>
  </si>
  <si>
    <t>A979646X6305806</t>
  </si>
  <si>
    <t>P26302595</t>
  </si>
  <si>
    <t>3/15/2026 11:06:05 PM</t>
  </si>
  <si>
    <t>SR020311269912</t>
  </si>
  <si>
    <t>A979646X6306721</t>
  </si>
  <si>
    <t>P26302597</t>
  </si>
  <si>
    <t>3/15/2026 11:15:24 PM</t>
  </si>
  <si>
    <t>SR020311261007</t>
  </si>
  <si>
    <t>L11 Cable cartridge Defect / CC2_C10</t>
  </si>
  <si>
    <t>P26302598</t>
  </si>
  <si>
    <t>3/15/2026 11:21:32 PM</t>
  </si>
  <si>
    <t>L11 NVLink Switch Information Consistent Check fail SR020311264303</t>
  </si>
  <si>
    <t>MT2602607VNY</t>
  </si>
  <si>
    <t>MT2607601BLH</t>
  </si>
  <si>
    <t>P26302642</t>
  </si>
  <si>
    <t>3/16/2026 9:51:35 AM</t>
  </si>
  <si>
    <t>3/16/2026</t>
  </si>
  <si>
    <t>SR020311261275 NVL Switch e8:9e:49:4a:3c:90;10.10.56.169 unreachable</t>
  </si>
  <si>
    <t>MT2543600VXN</t>
  </si>
  <si>
    <t>MT26076019EL</t>
  </si>
  <si>
    <t>2026/3/15-16</t>
    <phoneticPr fontId="7" type="noConversion"/>
  </si>
  <si>
    <t>Sun-Mon</t>
    <phoneticPr fontId="7" type="noConversion"/>
  </si>
  <si>
    <t>P26302815</t>
  </si>
  <si>
    <t>3/16/2026 9:55:41 PM</t>
  </si>
  <si>
    <t>SR020313262082</t>
  </si>
  <si>
    <t>A979646X6301555</t>
  </si>
  <si>
    <t>P26302818</t>
  </si>
  <si>
    <t>3/16/2026 10:04:24 PM</t>
  </si>
  <si>
    <t>SR020313267920</t>
  </si>
  <si>
    <t>A979646X6302124</t>
  </si>
  <si>
    <t>A979646X6215391</t>
  </si>
  <si>
    <t>P26302820</t>
  </si>
  <si>
    <t>3/16/2026 10:15:10 PM</t>
  </si>
  <si>
    <t>A979646X6306647</t>
  </si>
  <si>
    <t>A979646X6216605</t>
  </si>
  <si>
    <t>P26302823</t>
  </si>
  <si>
    <t>3/16/2026 10:21:30 PM</t>
  </si>
  <si>
    <t>SR020313267813</t>
  </si>
  <si>
    <t>A979646X6215446</t>
  </si>
  <si>
    <t>A979646X6215035</t>
  </si>
  <si>
    <t>P26302825</t>
  </si>
  <si>
    <t>3/16/2026 10:36:23 PM</t>
  </si>
  <si>
    <t>SR020313263893</t>
  </si>
  <si>
    <t>L11 Single Unit GB300 Unable to power on</t>
  </si>
  <si>
    <t>A979646X6304870</t>
  </si>
  <si>
    <t>A979646X6307544</t>
  </si>
  <si>
    <t>P26302827</t>
  </si>
  <si>
    <t>3/16/2026 10:45:46 PM</t>
  </si>
  <si>
    <t>SR020313261710</t>
  </si>
  <si>
    <t>A979646X6303762</t>
  </si>
  <si>
    <t>A979646X6301835</t>
  </si>
  <si>
    <t>P26302831</t>
  </si>
  <si>
    <t>3/16/2026 11:22:28 PM</t>
  </si>
  <si>
    <t>SR020311269703</t>
  </si>
  <si>
    <t>L11 Cable Cartridge fail / Rack0_SW3_acp54 CC1_C13_Lane_6</t>
  </si>
  <si>
    <t>P26302835</t>
  </si>
  <si>
    <t>3/17/2026 12:56:34 AM</t>
  </si>
  <si>
    <t>SR020313262487</t>
  </si>
  <si>
    <t>3/17/2026</t>
  </si>
  <si>
    <t>L11 Cable cartridge Defect / BENT PIN SLOT 1</t>
  </si>
  <si>
    <t>P26302866</t>
  </si>
  <si>
    <t>3/17/2026 9:28:52 AM</t>
  </si>
  <si>
    <t>SR020313262241</t>
  </si>
  <si>
    <t>Rack0_SW4_acp25,CC0_C6_Lane_8,link_none, CC0 ( BENT PIN SLOT 7)</t>
  </si>
  <si>
    <t>P26302917</t>
  </si>
  <si>
    <t>3/17/2026 2:48:50 PM</t>
  </si>
  <si>
    <t>SR020313265294</t>
  </si>
  <si>
    <t>SR020313265294 PowerSupplyUnit 3、4 FAIL</t>
  </si>
  <si>
    <t>613339RBX01X15511JY</t>
  </si>
  <si>
    <t>613339RBX04X15352GT</t>
  </si>
  <si>
    <t>P26302921</t>
  </si>
  <si>
    <t>3/17/2026 1:56:55 PM</t>
  </si>
  <si>
    <t>SR020311267149</t>
  </si>
  <si>
    <t>nmx-controller service has been run on one NVL switch tray, but the status is showing not ok</t>
  </si>
  <si>
    <t>MT2609601LHV</t>
  </si>
  <si>
    <t>MT25416069PX</t>
  </si>
  <si>
    <t>P26302995</t>
  </si>
  <si>
    <t>3/17/2026 8:24:28 PM</t>
  </si>
  <si>
    <t>SR020313268954</t>
  </si>
  <si>
    <t>A979646X6301719</t>
  </si>
  <si>
    <t>P26302999</t>
  </si>
  <si>
    <t>3/17/2026 8:36:12 PM</t>
  </si>
  <si>
    <t>SR020313265448</t>
  </si>
  <si>
    <t>UNABLE TO POWER ON</t>
  </si>
  <si>
    <t>A979646X6302285</t>
  </si>
  <si>
    <t>A979646X6301721</t>
  </si>
  <si>
    <t>P26303009</t>
  </si>
  <si>
    <t>3/17/2026 8:47:32 PM</t>
  </si>
  <si>
    <t>SR020313264079</t>
  </si>
  <si>
    <t>A979646X6306872</t>
  </si>
  <si>
    <t>A979646X6308444</t>
  </si>
  <si>
    <t>P26303030</t>
  </si>
  <si>
    <t>3/17/2026 8:57:25 PM</t>
  </si>
  <si>
    <t>A979646X6307582</t>
  </si>
  <si>
    <t>A979646X6308442</t>
  </si>
  <si>
    <t>P26303034</t>
  </si>
  <si>
    <t>3/17/2026 9:03:27 PM</t>
  </si>
  <si>
    <t>SR020313264888</t>
  </si>
  <si>
    <t>A979646X6303382</t>
  </si>
  <si>
    <t>A979646X6308432</t>
  </si>
  <si>
    <t>P26303037</t>
  </si>
  <si>
    <t>3/17/2026 9:07:52 PM</t>
  </si>
  <si>
    <t>SR020313266056</t>
  </si>
  <si>
    <t>A979646X6307536</t>
  </si>
  <si>
    <t>P26303039</t>
  </si>
  <si>
    <t>3/17/2026 9:12:10 PM</t>
  </si>
  <si>
    <t>A979646X6308449</t>
  </si>
  <si>
    <t>P26303042</t>
  </si>
  <si>
    <t>3/17/2026 9:49:55 PM</t>
  </si>
  <si>
    <t>SR020313265927</t>
  </si>
  <si>
    <t>GB200 L11 Compute Node Information Consistent Check fail - only 0 Fabric state shows OK, expected 4</t>
  </si>
  <si>
    <t>A979646X6305014</t>
  </si>
  <si>
    <t>A979646X6308448</t>
  </si>
  <si>
    <t>P26303058</t>
  </si>
  <si>
    <t>3/17/2026 10:26:47 PM</t>
  </si>
  <si>
    <t>NVLINK Switch Functional Issue / nmx-controller service has been run on one NVL switch tray, but the status is showing not ok.</t>
  </si>
  <si>
    <t>MT260960506G</t>
  </si>
  <si>
    <t>MT25416069PP</t>
  </si>
  <si>
    <t>P26303059</t>
  </si>
  <si>
    <t>3/17/2026 10:44:42 PM</t>
  </si>
  <si>
    <t>SR020313261902</t>
  </si>
  <si>
    <t>Cable cartridge Defect _ Rack slot 18, CBC 2, 4x19 connector 2, column 14, pins A/B, G/H, C/D, E/F</t>
  </si>
  <si>
    <t>P26303180</t>
  </si>
  <si>
    <t>3/18/2026 4:00:38 PM</t>
  </si>
  <si>
    <t>3/18/2026</t>
  </si>
  <si>
    <t>http://10.160.100.12 /logs /Tesla /2026 /March /SR020313265448 /18 /R-BURN /A979646X6215541 /905A08351934 /Failure-Records -Full.txt Rack0_ SW1_ acp115, CC2_C10 _Lane_3, link_none</t>
  </si>
  <si>
    <t>P26303181</t>
  </si>
  <si>
    <t>3/18/2026 4:01:56 PM</t>
  </si>
  <si>
    <t>http://10.160.100.12 /logs /Tesla /2026 /March /SR020313265927 /18 /R-BURN /A979646X6304977 /905A08352CB1 /Failure-Records -Full.txt Rack0_ SW4_ acp104,CC3_ C7_Lane _9, link_ high_raw _ber</t>
  </si>
  <si>
    <t>P26303183</t>
  </si>
  <si>
    <t>3/18/2026 5:05:42 PM</t>
  </si>
  <si>
    <t>SR020313266044</t>
  </si>
  <si>
    <t>auto shut down in The BMC log sel</t>
  </si>
  <si>
    <t>A979646X6308422</t>
  </si>
  <si>
    <t>P26303184</t>
  </si>
  <si>
    <t>3/18/2026 5:07:30 PM</t>
  </si>
  <si>
    <t>SR020313265723</t>
  </si>
  <si>
    <t>http://10.160.100.12/logs/Tesla/2026/March/SR020313265723/18/R-BURN/A979646X6301679/905A08350ADE/gb300_compute_nvidia_L11_field_diag_summary.log</t>
  </si>
  <si>
    <t>A979646X6306697</t>
  </si>
  <si>
    <t>A979646X6312180</t>
  </si>
  <si>
    <t>P26303196</t>
  </si>
  <si>
    <t>3/18/2026 6:24:05 PM</t>
  </si>
  <si>
    <t>SR020316268635</t>
  </si>
  <si>
    <t>NT006</t>
  </si>
  <si>
    <t>No BMC IP address / BMC port issue(IPMI IP為0.0.0.0)</t>
  </si>
  <si>
    <t>A979646X6217848</t>
  </si>
  <si>
    <t>A979646X6307486</t>
  </si>
  <si>
    <t>P26303223</t>
  </si>
  <si>
    <t>3/18/2026 9:23:26 PM</t>
  </si>
  <si>
    <t>SR020316269420</t>
  </si>
  <si>
    <t>A979646X6312063</t>
  </si>
  <si>
    <t>A979646X6312186</t>
  </si>
  <si>
    <t>P26303225</t>
  </si>
  <si>
    <t>3/18/2026 9:29:13 PM</t>
  </si>
  <si>
    <t>SR020316269361</t>
  </si>
  <si>
    <t>A979646X6312188</t>
  </si>
  <si>
    <t>P26303228</t>
  </si>
  <si>
    <t>3/18/2026 9:58:47 PM</t>
  </si>
  <si>
    <t>A979646X6215550</t>
  </si>
  <si>
    <t>A979646X6308468</t>
  </si>
  <si>
    <t>P26303229</t>
  </si>
  <si>
    <t>3/18/2026 10:01:11 PM</t>
  </si>
  <si>
    <t>A979646X6301945</t>
  </si>
  <si>
    <t>A979646X6312181</t>
  </si>
  <si>
    <t>P26303231</t>
  </si>
  <si>
    <t>3/18/2026 10:06:28 PM</t>
  </si>
  <si>
    <t>P26303232</t>
  </si>
  <si>
    <t>3/18/2026 10:08:18 PM</t>
  </si>
  <si>
    <t>P26303234</t>
  </si>
  <si>
    <t>3/18/2026 10:09:45 PM</t>
  </si>
  <si>
    <t>A979646X6307549</t>
  </si>
  <si>
    <t>A979646X6312182</t>
  </si>
  <si>
    <t>P26303239</t>
  </si>
  <si>
    <t>3/18/2026 10:22:48 PM</t>
  </si>
  <si>
    <t>SR020316268751</t>
  </si>
  <si>
    <t>P26303243</t>
  </si>
  <si>
    <t>3/18/2026 10:31:41 PM</t>
  </si>
  <si>
    <t>L11 Cable Cartridge fail (CC0)</t>
  </si>
  <si>
    <t>P26303245</t>
  </si>
  <si>
    <t>3/18/2026 10:35:01 PM</t>
  </si>
  <si>
    <t>L11 Cable Cartridge fail (CC1)</t>
  </si>
  <si>
    <t>P26303248</t>
  </si>
  <si>
    <t>3/18/2026 10:49:52 PM</t>
  </si>
  <si>
    <t>A979646X6303769</t>
  </si>
  <si>
    <t>A979646X6312077</t>
  </si>
  <si>
    <t>P26303254</t>
  </si>
  <si>
    <t>3/18/2026 11:24:02 PM</t>
  </si>
  <si>
    <t>A979646X6307507</t>
  </si>
  <si>
    <t>A979646X6301753</t>
  </si>
  <si>
    <t>P26303280</t>
  </si>
  <si>
    <t>3/19/2026 12:55:38 AM</t>
  </si>
  <si>
    <t>3/19/2026</t>
  </si>
  <si>
    <t>A979646X6302474</t>
  </si>
  <si>
    <t>P26303294</t>
  </si>
  <si>
    <t>3/19/2026 1:30:33 AM</t>
  </si>
  <si>
    <t>A979646X6302676</t>
  </si>
  <si>
    <t>A979646X6301961</t>
  </si>
  <si>
    <t>P26303342</t>
  </si>
  <si>
    <t>3/19/2026 9:30:33 AM</t>
  </si>
  <si>
    <t>only 0 Fabric state shows OK, expected 4</t>
  </si>
  <si>
    <t>A979646X6311349</t>
  </si>
  <si>
    <t>P26303343</t>
  </si>
  <si>
    <t>3/19/2026 9:33:31 AM</t>
  </si>
  <si>
    <t>NVRM invalid state or config</t>
  </si>
  <si>
    <t>A979646X6304777</t>
  </si>
  <si>
    <t>P26303377</t>
  </si>
  <si>
    <t>3/19/2026 1:53:07 PM</t>
  </si>
  <si>
    <t>RK135</t>
  </si>
  <si>
    <t>Firmware flash fail to getting IPMI Sensors as missing during Bring Up</t>
  </si>
  <si>
    <t>Firmware flash fail to getting IPMI Sensors as missing during Bring Up _已更換_PM1265</t>
  </si>
  <si>
    <t>A979646X6311313</t>
  </si>
  <si>
    <t>P26303412</t>
  </si>
  <si>
    <t>3/19/2026 4:45:43 PM</t>
  </si>
  <si>
    <t>A979646X6302524</t>
  </si>
  <si>
    <t>A979646X6311294</t>
  </si>
  <si>
    <t>P26303434</t>
  </si>
  <si>
    <t>3/19/2026 8:13:09 PM</t>
  </si>
  <si>
    <t>SR020316269585</t>
  </si>
  <si>
    <t>L11 Cable cartridge Defect (BENT PIN SLOT 10)</t>
  </si>
  <si>
    <t>P26303448</t>
  </si>
  <si>
    <t>3/19/2026 9:46:47 PM</t>
  </si>
  <si>
    <t>SR020316266804</t>
  </si>
  <si>
    <t>PS001</t>
  </si>
  <si>
    <t>DOA - Unable to power on (無法開機)</t>
  </si>
  <si>
    <t>POWER SUPPLY - Unable to power onSR020316266804</t>
  </si>
  <si>
    <t>SRK-01LNPW-5KB1-01-TI036</t>
  </si>
  <si>
    <t>6PL6Z01X1551HFE</t>
  </si>
  <si>
    <t>6PL6Z01X1551DAW</t>
  </si>
  <si>
    <t>P26303452</t>
  </si>
  <si>
    <t>3/19/2026 10:26:59 PM</t>
  </si>
  <si>
    <t>SR020316269965</t>
  </si>
  <si>
    <t>A979646X6303771</t>
  </si>
  <si>
    <t>A979646X6313575</t>
  </si>
  <si>
    <t>P26303460</t>
  </si>
  <si>
    <t>3/19/2026 10:50:57 PM</t>
  </si>
  <si>
    <t>A979646X6311292</t>
  </si>
  <si>
    <t>A979646X6312073</t>
  </si>
  <si>
    <t>P26303463</t>
  </si>
  <si>
    <t>3/19/2026 11:01:32 PM</t>
  </si>
  <si>
    <t>SRK-01LNPW-5KB1-01-TI036</t>
    <phoneticPr fontId="7" type="noConversion"/>
  </si>
  <si>
    <t xml:space="preserve">	5.5kW PSU GB300</t>
    <phoneticPr fontId="7" type="noConversion"/>
  </si>
  <si>
    <t>P26303498</t>
  </si>
  <si>
    <t>3/20/2026 6:57:11 AM</t>
  </si>
  <si>
    <t>SR020316267122</t>
  </si>
  <si>
    <t>3/20/2026</t>
  </si>
  <si>
    <t>A979646X6313464</t>
  </si>
  <si>
    <t>P26303500</t>
  </si>
  <si>
    <t>SR020316266748</t>
  </si>
  <si>
    <t>switch tray Rack0 SW4 acp35 CC2 C8 Lane 8, link none,0, 0</t>
  </si>
  <si>
    <t>P26303501</t>
  </si>
  <si>
    <t>3/20/2026 3:57:36 PM</t>
  </si>
  <si>
    <t>SR020316267930</t>
  </si>
  <si>
    <t>BENT PIN SW0 SLOT 9</t>
  </si>
  <si>
    <t>P26303503</t>
  </si>
  <si>
    <t>3/20/2026 7:19:19 AM</t>
  </si>
  <si>
    <t>Cable cartridge Defect (BENT PIN SLOT 10) SR020316269585</t>
  </si>
  <si>
    <t>P26303509</t>
  </si>
  <si>
    <t>3/20/2026 11:55:04 AM</t>
  </si>
  <si>
    <t>大量link_none,此nvl switch 已在多櫃驗證皆有相同問題 / RACK:SR020311261007,SR020316269361,SR020316269585</t>
  </si>
  <si>
    <t>MT2609605368</t>
  </si>
  <si>
    <t>MT2543600X0R</t>
  </si>
  <si>
    <t>P26303626</t>
  </si>
  <si>
    <t>3/20/2026 5:47:08 PM</t>
  </si>
  <si>
    <t>A979646X6307500</t>
  </si>
  <si>
    <t>A979646X6313805</t>
  </si>
  <si>
    <t>P26303628</t>
  </si>
  <si>
    <t>3/20/2026 5:53:46 PM</t>
  </si>
  <si>
    <t>SR020311265314</t>
  </si>
  <si>
    <t>GB200 L11 Auto Reboot on Compute Field Diag Test</t>
  </si>
  <si>
    <t>A979646X6312103</t>
  </si>
  <si>
    <t>A979646X6311397</t>
  </si>
  <si>
    <t>P26303636</t>
  </si>
  <si>
    <t>3/20/2026 6:29:40 PM</t>
  </si>
  <si>
    <t>A979646X6217366</t>
  </si>
  <si>
    <t>P26303655</t>
  </si>
  <si>
    <t>3/20/2026 9:57:32 PM</t>
  </si>
  <si>
    <t>SR020316266156</t>
  </si>
  <si>
    <t>A979646X6313812</t>
  </si>
  <si>
    <t>P26303669</t>
  </si>
  <si>
    <t>3/20/2026 10:06:53 PM</t>
  </si>
  <si>
    <t>SR020316266464</t>
  </si>
  <si>
    <t>A979646X6300486</t>
  </si>
  <si>
    <t>A979646X6313813</t>
  </si>
  <si>
    <t>P26303673</t>
  </si>
  <si>
    <t>3/20/2026 10:18:07 PM</t>
  </si>
  <si>
    <t>A979646X6303104</t>
  </si>
  <si>
    <t>A979646X6313081</t>
  </si>
  <si>
    <t>P26303676</t>
  </si>
  <si>
    <t>3/20/2026 10:31:09 PM</t>
  </si>
  <si>
    <t>A979646X6304893</t>
  </si>
  <si>
    <t>A979646X6313073</t>
  </si>
  <si>
    <t>P26303680</t>
  </si>
  <si>
    <t>3/20/2026 10:36:19 PM</t>
  </si>
  <si>
    <t>A979646X6311340</t>
  </si>
  <si>
    <t>A979646X6313807</t>
  </si>
  <si>
    <t>P26303683</t>
  </si>
  <si>
    <t>3/20/2026 10:48:14 PM</t>
  </si>
  <si>
    <t>P26303686</t>
  </si>
  <si>
    <t>3/20/2026 11:08:31 PM</t>
  </si>
  <si>
    <t>A979646X6313811</t>
  </si>
  <si>
    <t>3/21/2026 7:14:55 AM</t>
  </si>
  <si>
    <t>P26303691</t>
  </si>
  <si>
    <t>3/21/2026 12:17:45 AM</t>
  </si>
  <si>
    <t>SR020316261333</t>
  </si>
  <si>
    <t>3/21/2026</t>
  </si>
  <si>
    <t>A979646X6311380</t>
  </si>
  <si>
    <t>A979646X6307516</t>
  </si>
  <si>
    <t>P26303696</t>
  </si>
  <si>
    <t>3/21/2026 12:32:07 AM</t>
  </si>
  <si>
    <t>SR020316262160</t>
  </si>
  <si>
    <t>A979646X6313088</t>
  </si>
  <si>
    <t>P26303699</t>
  </si>
  <si>
    <t>3/21/2026 12:43:52 AM</t>
  </si>
  <si>
    <t>SR020316266715</t>
  </si>
  <si>
    <t>A979646X6313042</t>
  </si>
  <si>
    <t>A979646X6313037</t>
  </si>
  <si>
    <t>P26303703</t>
  </si>
  <si>
    <t>3/21/2026 12:53:52 AM</t>
  </si>
  <si>
    <t>A979646X6313472</t>
  </si>
  <si>
    <t>P26303721</t>
  </si>
  <si>
    <t>3/21/2026 5:13:54 AM</t>
  </si>
  <si>
    <t>L11 Compute Tray Nvidia Field Diag Test fail SR020316266464</t>
  </si>
  <si>
    <t>A979646X6313060</t>
  </si>
  <si>
    <t>P26303723</t>
  </si>
  <si>
    <t>3/21/2026 5:20:50 AM</t>
  </si>
  <si>
    <t>A979646X6311322</t>
  </si>
  <si>
    <t>A979646X6313059</t>
  </si>
  <si>
    <t>P26303725</t>
  </si>
  <si>
    <t>3/21/2026 5:27:13 AM</t>
  </si>
  <si>
    <t>A979646X6313111</t>
  </si>
  <si>
    <t>A979646X6313057</t>
  </si>
  <si>
    <t>P26303727</t>
  </si>
  <si>
    <t>3/21/2026 5:56:11 AM</t>
  </si>
  <si>
    <t>SR020316265892</t>
  </si>
  <si>
    <t>A979646X6314586</t>
  </si>
  <si>
    <t>P26303825</t>
  </si>
  <si>
    <t>3/21/2026 5:39:12 PM</t>
  </si>
  <si>
    <t>SR020316265242</t>
  </si>
  <si>
    <t>L11 Power Shelf Defective (SWITCHING POWER SUPPLY RED LIGHT TURNING ON)</t>
  </si>
  <si>
    <t>6PL6Z01X1551E97</t>
  </si>
  <si>
    <t>6PL6Z04X15525ZE</t>
  </si>
  <si>
    <t>P26303828</t>
  </si>
  <si>
    <t>3/21/2026 5:48:10 PM</t>
  </si>
  <si>
    <t>SR020316264621</t>
  </si>
  <si>
    <t>A979646X6307513</t>
  </si>
  <si>
    <t>P26303840</t>
  </si>
  <si>
    <t>3/21/2026 6:17:11 PM</t>
  </si>
  <si>
    <t>GB200 Power cycling fail</t>
  </si>
  <si>
    <t>A979646X6307494</t>
  </si>
  <si>
    <t>P26303863</t>
  </si>
  <si>
    <t>3/21/2026 7:57:18 PM</t>
  </si>
  <si>
    <t>A979646X6303602</t>
  </si>
  <si>
    <t>A979646X6305652</t>
  </si>
  <si>
    <t>P26303869</t>
  </si>
  <si>
    <t>3/21/2026 8:25:08 PM</t>
  </si>
  <si>
    <t>Power Shelf Defective(POWER SUPPLY)</t>
  </si>
  <si>
    <t>6PL6Z01X1551GEE</t>
  </si>
  <si>
    <t>6PL6Z04X1552984</t>
  </si>
  <si>
    <t>P26303870</t>
  </si>
  <si>
    <t>3/21/2026 8:29:02 PM</t>
  </si>
  <si>
    <t>A979646X6307512</t>
  </si>
  <si>
    <t>P26303876</t>
  </si>
  <si>
    <t>3/21/2026 9:06:25 PM</t>
  </si>
  <si>
    <t>A979646X6302425</t>
  </si>
  <si>
    <t>P26303878</t>
  </si>
  <si>
    <t>3/21/2026 9:11:58 PM</t>
  </si>
  <si>
    <t>A979646X6313500</t>
  </si>
  <si>
    <t>A979646X6313005</t>
  </si>
  <si>
    <t>P26303880</t>
  </si>
  <si>
    <t>3/21/2026 9:19:33 PM</t>
  </si>
  <si>
    <t>SR020316264759</t>
  </si>
  <si>
    <t>A979646X6312153</t>
  </si>
  <si>
    <t>P26303889</t>
  </si>
  <si>
    <t>3/21/2026 10:20:07 PM</t>
  </si>
  <si>
    <t>SR020316265634</t>
  </si>
  <si>
    <t>P26303928</t>
  </si>
  <si>
    <t>3/22/2026 5:01:17 AM</t>
  </si>
  <si>
    <t>SR020316266720</t>
  </si>
  <si>
    <t>3/22/2026</t>
  </si>
  <si>
    <t>A979646X6312092</t>
  </si>
  <si>
    <t>A979646X6305557</t>
  </si>
  <si>
    <t>P26303930</t>
  </si>
  <si>
    <t>3/22/2026 5:08:50 AM</t>
  </si>
  <si>
    <t>SR020313266146</t>
  </si>
  <si>
    <t>L11 Single Node NCCL Test fail</t>
  </si>
  <si>
    <t>A979646X6301718</t>
  </si>
  <si>
    <t>A979646X6313045</t>
  </si>
  <si>
    <t>P26303976</t>
  </si>
  <si>
    <t>3/22/2026 3:26:05 PM</t>
  </si>
  <si>
    <t>A979646X6313806</t>
  </si>
  <si>
    <t>A979646X6312071</t>
  </si>
  <si>
    <t>P26303982</t>
  </si>
  <si>
    <t>3/22/2026 6:37:15 PM</t>
  </si>
  <si>
    <t>SR020316261555</t>
  </si>
  <si>
    <t>Cable cartridge Defect _ Rack0_SW3_acp45 CC0_C11_Lane_6 link_none</t>
  </si>
  <si>
    <t>P26303985</t>
  </si>
  <si>
    <t>3/22/2026 9:17:36 PM</t>
  </si>
  <si>
    <t>NVLINK Switch Functional Issue connector 1 no function light</t>
  </si>
  <si>
    <t>MT2609605L0F</t>
  </si>
  <si>
    <t>MT2610600ADT</t>
  </si>
  <si>
    <t>P26303986</t>
  </si>
  <si>
    <t>3/22/2026 9:48:21 PM</t>
  </si>
  <si>
    <t>SR020316265060</t>
  </si>
  <si>
    <t>A979646X6215313</t>
  </si>
  <si>
    <t>P26303988</t>
  </si>
  <si>
    <t>3/22/2026 9:59:38 PM</t>
  </si>
  <si>
    <t>A979646X6316999</t>
  </si>
  <si>
    <t>P26303990</t>
  </si>
  <si>
    <t>3/22/2026 10:08:41 PM</t>
  </si>
  <si>
    <t>P26303992</t>
  </si>
  <si>
    <t>3/22/2026 10:21:58 PM</t>
  </si>
  <si>
    <t>Missing PCIE and HDD Micron</t>
  </si>
  <si>
    <t>A979646X6300831</t>
  </si>
  <si>
    <t>A979646X6316978</t>
  </si>
  <si>
    <t>P26303994</t>
  </si>
  <si>
    <t>3/22/2026 10:23:21 PM</t>
  </si>
  <si>
    <t>A979646X6312148</t>
  </si>
  <si>
    <t>A979646X6316554</t>
  </si>
  <si>
    <t>P26304014</t>
  </si>
  <si>
    <t>3/23/2026 5:04:05 AM</t>
  </si>
  <si>
    <t>SR020316264373</t>
  </si>
  <si>
    <t>3/23/2026</t>
  </si>
  <si>
    <t>A979646X6316968</t>
  </si>
  <si>
    <t>A979646X6314941</t>
  </si>
  <si>
    <t>P26304016</t>
  </si>
  <si>
    <t>3/23/2026 5:09:26 AM</t>
  </si>
  <si>
    <t>SR020316262559</t>
  </si>
  <si>
    <t>A979646X6316970</t>
  </si>
  <si>
    <t>A979646X6314968</t>
  </si>
  <si>
    <t>P26304019</t>
  </si>
  <si>
    <t>3/23/2026 5:16:06 AM</t>
  </si>
  <si>
    <t>A979646X6314950</t>
  </si>
  <si>
    <t>P26304105</t>
  </si>
  <si>
    <t>3/23/2026 5:14:49 PM</t>
  </si>
  <si>
    <t>SR020316263918</t>
  </si>
  <si>
    <t>Power Shelf PMB Defective</t>
  </si>
  <si>
    <t>614MP1RBX03X16051Y9</t>
  </si>
  <si>
    <t>614MP1RBX03X15401HC</t>
  </si>
  <si>
    <t>P26304111</t>
  </si>
  <si>
    <t>3/23/2026 2:57:42 PM</t>
  </si>
  <si>
    <t>acp130 port沒有流量</t>
  </si>
  <si>
    <t>MT25426039DU</t>
  </si>
  <si>
    <t>MT26076019EH</t>
  </si>
  <si>
    <t>P26304134</t>
  </si>
  <si>
    <t>3/23/2026 6:21:55 PM</t>
  </si>
  <si>
    <t>SR020316263518</t>
  </si>
  <si>
    <t>Cable cartridge Defect (BENT PIN RACK SLOT #14)</t>
  </si>
  <si>
    <t>P26304140</t>
  </si>
  <si>
    <t>3/23/2026 6:28:06 PM</t>
  </si>
  <si>
    <t>A979646X6316526</t>
  </si>
  <si>
    <t>A979646X6316557</t>
  </si>
  <si>
    <t>P26304181</t>
  </si>
  <si>
    <t>3/23/2026 8:25:51 PM</t>
  </si>
  <si>
    <t>A979646X6316561</t>
  </si>
  <si>
    <t>A979646X6314992</t>
  </si>
  <si>
    <t>P26304183</t>
  </si>
  <si>
    <t>3/23/2026 8:32:38 PM</t>
  </si>
  <si>
    <t>A979646X6317031</t>
  </si>
  <si>
    <t>P26304186</t>
  </si>
  <si>
    <t>3/23/2026 8:41:51 PM</t>
  </si>
  <si>
    <t>A979646X6312061</t>
  </si>
  <si>
    <t>P26304190</t>
  </si>
  <si>
    <t>3/23/2026 8:48:28 PM</t>
  </si>
  <si>
    <t>SR020316263685</t>
  </si>
  <si>
    <t>A979646X6314892</t>
  </si>
  <si>
    <t>A979646X6317047</t>
  </si>
  <si>
    <t>P26304192</t>
  </si>
  <si>
    <t>3/23/2026 8:55:46 PM</t>
  </si>
  <si>
    <t>A979646X6304854</t>
  </si>
  <si>
    <t>A979646X6317029</t>
  </si>
  <si>
    <t>P26304200</t>
  </si>
  <si>
    <t>3/23/2026 9:49:50 PM</t>
  </si>
  <si>
    <t>SR020316264145</t>
  </si>
  <si>
    <t>Power Shelf Fan Defective</t>
  </si>
  <si>
    <t>6PL6Z04X15527XW</t>
  </si>
  <si>
    <t>6PL6Z01X1551GDU</t>
  </si>
  <si>
    <t>P26304208</t>
  </si>
  <si>
    <t>3/23/2026 10:47:47 PM</t>
  </si>
  <si>
    <t>L11 Cable cartridge Defect/ Rack0_SW1_acp105 CC0_C8_Lane_3 link_bad_quality</t>
  </si>
  <si>
    <t>P26304209</t>
  </si>
  <si>
    <t>3/23/2026 11:17:33 PM</t>
  </si>
  <si>
    <t>RK123</t>
  </si>
  <si>
    <t>GB200 NVIDIA Manufacturer Diagnostic MFG fail</t>
  </si>
  <si>
    <t>NVIDIA Manufacturer Diagnostic MFG fail</t>
  </si>
  <si>
    <t>A979646X6315270</t>
  </si>
  <si>
    <t>P26304240</t>
  </si>
  <si>
    <t>3/24/2026 1:35:48 AM</t>
  </si>
  <si>
    <t>3/24/2026</t>
  </si>
  <si>
    <t>P26304256</t>
  </si>
  <si>
    <t>3/24/2026 6:51:46 AM</t>
  </si>
  <si>
    <t>A979646X6314976</t>
  </si>
  <si>
    <t>A979646X6315260</t>
  </si>
  <si>
    <t>P26304259</t>
  </si>
  <si>
    <t>3/24/2026 6:56:47 AM</t>
  </si>
  <si>
    <t>SR020320268723</t>
  </si>
  <si>
    <t>A979646X6314936</t>
  </si>
  <si>
    <t>A979646X6317306</t>
  </si>
  <si>
    <t>P26304261</t>
  </si>
  <si>
    <t>3/24/2026 7:02:08 AM</t>
  </si>
  <si>
    <t>L11 NVLink Switch Information Consistent Check fail SR020316269361</t>
  </si>
  <si>
    <t>MT2609605358</t>
  </si>
  <si>
    <t>MT2610600AGJ</t>
  </si>
  <si>
    <t>P26304307</t>
  </si>
  <si>
    <t>3/24/2026 9:40:56 AM</t>
  </si>
  <si>
    <t>SR020320269039</t>
  </si>
  <si>
    <t>SR020320269039 上電無反應</t>
  </si>
  <si>
    <t>MT2611602AWY</t>
  </si>
  <si>
    <t>MT26096064CP</t>
  </si>
  <si>
    <t>P26304338</t>
  </si>
  <si>
    <t>3/24/2026 12:26:42 PM</t>
  </si>
  <si>
    <t>RK126</t>
  </si>
  <si>
    <t>GB200 Firmware flash firmware detect NULL</t>
  </si>
  <si>
    <t>GB200 Firmware flash firmware detect NULL_已更換_PM1265</t>
  </si>
  <si>
    <t>A979646X6317013</t>
  </si>
  <si>
    <t>P26304400</t>
  </si>
  <si>
    <t>3/24/2026 4:18:57 PM</t>
  </si>
  <si>
    <t>NVLINK Switch Functional Issue / NO PDB-CONV-1 Temp in all NVLink switch tray log history http:// 10.160.100.12 /logs /Tesla /2026 /March /SR020316264145 /24 /R-BURN /A979646X6316538 /905A0834FFCF /yam_debug-information /nvlswitch_ tray-0324. 151445 /nvl_switch _10.10.44 .13.log</t>
  </si>
  <si>
    <t>MT2611602DHG</t>
  </si>
  <si>
    <t>A979646X6317047</t>
    <phoneticPr fontId="7" type="noConversion"/>
  </si>
  <si>
    <t>P26304444</t>
  </si>
  <si>
    <t>3/24/2026 8:44:55 PM</t>
  </si>
  <si>
    <t>SR020320267510</t>
  </si>
  <si>
    <t>A979646X6317165</t>
  </si>
  <si>
    <t>A979646X6315251</t>
  </si>
  <si>
    <t>P26304446</t>
  </si>
  <si>
    <t>3/24/2026 8:55:18 PM</t>
  </si>
  <si>
    <t>A979646X6317299</t>
  </si>
  <si>
    <t>A979646X6316575</t>
  </si>
  <si>
    <t>P26304449</t>
  </si>
  <si>
    <t>3/24/2026 9:03:13 PM</t>
  </si>
  <si>
    <t>A979646X6316629</t>
  </si>
  <si>
    <t>A979646X6316573</t>
  </si>
  <si>
    <t>P26304451</t>
  </si>
  <si>
    <t>3/24/2026 9:11:06 PM</t>
  </si>
  <si>
    <t>SR020320267245</t>
  </si>
  <si>
    <t>A979646X6317058</t>
  </si>
  <si>
    <t>P26304453</t>
  </si>
  <si>
    <t>3/24/2026 9:17:40 PM</t>
  </si>
  <si>
    <t>SR020320269520</t>
  </si>
  <si>
    <t>A979646X6315224</t>
  </si>
  <si>
    <t>P26304455</t>
  </si>
  <si>
    <t>3/24/2026 9:22:04 PM</t>
  </si>
  <si>
    <t>A979646X6316653</t>
  </si>
  <si>
    <t>P26304457</t>
  </si>
  <si>
    <t>3/24/2026 9:43:52 PM</t>
  </si>
  <si>
    <t>SR020320269986</t>
  </si>
  <si>
    <t>A979646X6303743</t>
  </si>
  <si>
    <t>P26304459</t>
  </si>
  <si>
    <t>3/24/2026 9:50:57 PM</t>
  </si>
  <si>
    <t>A979646X6316664</t>
  </si>
  <si>
    <t>P26304460</t>
  </si>
  <si>
    <t>3/24/2026 10:03:57 PM</t>
  </si>
  <si>
    <t>P26304470</t>
  </si>
  <si>
    <t>3/24/2026 11:30:51 PM</t>
  </si>
  <si>
    <t>P26304472</t>
  </si>
  <si>
    <t>3/25/2026 1:42:10 AM</t>
  </si>
  <si>
    <t>SR020320264171</t>
  </si>
  <si>
    <t>3/25/2026</t>
  </si>
  <si>
    <t>Power Shelf Defective PMB - UNABLE TO UPDATE</t>
  </si>
  <si>
    <t>614MP1RBX03X160707V</t>
  </si>
  <si>
    <t>614MP1RXX03X652301U</t>
  </si>
  <si>
    <t>P26304498</t>
  </si>
  <si>
    <t>3/25/2026 1:34:00 AM</t>
  </si>
  <si>
    <t>MT2610604112</t>
  </si>
  <si>
    <t>MT260960426N</t>
  </si>
  <si>
    <t>P26304500</t>
  </si>
  <si>
    <t>3/25/2026 2:06:49 AM</t>
  </si>
  <si>
    <t>A979646X6301990</t>
  </si>
  <si>
    <t>A979646X6316577</t>
  </si>
  <si>
    <t>P26304517</t>
  </si>
  <si>
    <t>3/25/2026 6:41:22 AM</t>
  </si>
  <si>
    <t>A979646X6315225</t>
  </si>
  <si>
    <t>A979646X6317798</t>
  </si>
  <si>
    <t>P26304520</t>
  </si>
  <si>
    <t>3/25/2026 6:50:05 AM</t>
  </si>
  <si>
    <t>SR020316261769</t>
  </si>
  <si>
    <t>L11 Single Node NCCL Test fail / only 0 Fabric state shows OK, expected 4 SR020316261769</t>
  </si>
  <si>
    <t>A979646X6313524</t>
  </si>
  <si>
    <t>A979646X6316616</t>
  </si>
  <si>
    <t>P26304522</t>
  </si>
  <si>
    <t>3/25/2026 6:58:22 AM</t>
  </si>
  <si>
    <t>L11 Single Node NCCL Test fail / only 3 Fabric state shows OK, expected 4 SR020316261769</t>
  </si>
  <si>
    <t>A979646X6313523</t>
  </si>
  <si>
    <t>A979646X6317325</t>
  </si>
  <si>
    <t>P26304523</t>
  </si>
  <si>
    <t>3/25/2026 7:03:00 AM</t>
  </si>
  <si>
    <t>A979646X6313504</t>
  </si>
  <si>
    <t>A979646X6317786</t>
  </si>
  <si>
    <t>P26304575</t>
  </si>
  <si>
    <t>3/25/2026 12:44:52 PM</t>
  </si>
  <si>
    <t>MT26116033B8</t>
  </si>
  <si>
    <t>MT26096064CW</t>
  </si>
  <si>
    <t>P26304590</t>
  </si>
  <si>
    <t>3/25/2026 12:47:06 PM</t>
  </si>
  <si>
    <t>Cable cartridge Defect Ban Pin_更換_TW640</t>
  </si>
  <si>
    <t>P26304198</t>
  </si>
  <si>
    <t>3/23/2026 9:24:39 PM</t>
  </si>
  <si>
    <t>SRS-GB300-M1-TD004</t>
  </si>
  <si>
    <t>SR020313266535</t>
  </si>
  <si>
    <t>ARS-121GL-NB3-LC1-TD004</t>
  </si>
  <si>
    <t>A983988X6309343</t>
  </si>
  <si>
    <t>A983988X6309356</t>
  </si>
  <si>
    <t>SRS-GB300-M1-TD004</t>
    <phoneticPr fontId="7" type="noConversion"/>
  </si>
  <si>
    <t>P26304662</t>
  </si>
  <si>
    <t>3/25/2026 8:49:26 PM</t>
  </si>
  <si>
    <t>only 64 NVLink status shows OK, expected 72</t>
  </si>
  <si>
    <t>A979646X6316723</t>
  </si>
  <si>
    <t>P26304665</t>
  </si>
  <si>
    <t>3/25/2026 8:56:07 PM</t>
  </si>
  <si>
    <t>SR020323262234</t>
  </si>
  <si>
    <t>A979646X6317163</t>
  </si>
  <si>
    <t>A979646X6316718</t>
  </si>
  <si>
    <t>P26304680</t>
  </si>
  <si>
    <t>3/25/2026 9:44:34 PM</t>
  </si>
  <si>
    <t>SR020323262878</t>
  </si>
  <si>
    <t>A979646X6316717</t>
  </si>
  <si>
    <t>P26304682</t>
  </si>
  <si>
    <t>3/25/2026 10:06:59 PM</t>
  </si>
  <si>
    <t>SR020323261145</t>
  </si>
  <si>
    <t>A979646X6317040</t>
  </si>
  <si>
    <t>A979646X6316726</t>
  </si>
  <si>
    <t>P26304685</t>
  </si>
  <si>
    <t>3/25/2026 10:17:56 PM</t>
  </si>
  <si>
    <t>A979646X6312108</t>
  </si>
  <si>
    <t>A979646X6317540</t>
  </si>
  <si>
    <t>P26304687</t>
  </si>
  <si>
    <t>3/25/2026 10:34:51 PM</t>
  </si>
  <si>
    <t>SR020323261254</t>
  </si>
  <si>
    <t>P26304693</t>
  </si>
  <si>
    <t>3/25/2026 10:44:32 PM</t>
  </si>
  <si>
    <t>A979646X6317179</t>
  </si>
  <si>
    <t>A979646X6318648</t>
  </si>
  <si>
    <t>P26304695</t>
  </si>
  <si>
    <t>3/25/2026 10:50:44 PM</t>
  </si>
  <si>
    <t>A979646X6313004</t>
  </si>
  <si>
    <t>A979646X6316715</t>
  </si>
  <si>
    <t>P26304699</t>
  </si>
  <si>
    <t>3/25/2026 11:04:30 PM</t>
  </si>
  <si>
    <t>SR020323261573</t>
  </si>
  <si>
    <t>A979646X6317068</t>
  </si>
  <si>
    <t>A979646X6316727</t>
  </si>
  <si>
    <t>P26304701</t>
  </si>
  <si>
    <t>3/25/2026 11:14:46 PM</t>
  </si>
  <si>
    <t>L11 Cable Cartridge fail( CC0_C2_Lane_4)</t>
  </si>
  <si>
    <t>P26304703</t>
  </si>
  <si>
    <t>3/25/2026 11:19:54 PM</t>
  </si>
  <si>
    <t>SR020323262812</t>
  </si>
  <si>
    <t>A979646X6317699</t>
  </si>
  <si>
    <t>A979646X6316683</t>
  </si>
  <si>
    <t>P26304712</t>
  </si>
  <si>
    <t>3/26/2026 12:12:57 AM</t>
  </si>
  <si>
    <t>3/26/2026</t>
  </si>
  <si>
    <t>A979646X6313014</t>
  </si>
  <si>
    <t>A979646X6317622</t>
  </si>
  <si>
    <t>P26304714</t>
  </si>
  <si>
    <t>3/26/2026 12:56:34 AM</t>
  </si>
  <si>
    <t>SR020320269893</t>
  </si>
  <si>
    <t>A979646X6314896</t>
  </si>
  <si>
    <t>A979646X6317830</t>
  </si>
  <si>
    <t>P26304716</t>
  </si>
  <si>
    <t>3/26/2026 1:02:56 AM</t>
  </si>
  <si>
    <t>A979646X6304694</t>
  </si>
  <si>
    <t>A979646X6315624</t>
  </si>
  <si>
    <t>P26304718</t>
  </si>
  <si>
    <t>3/26/2026 6:33:33 AM</t>
  </si>
  <si>
    <t>A979646X6315256</t>
  </si>
  <si>
    <t>A979646X6317750</t>
  </si>
  <si>
    <t>P26304740</t>
  </si>
  <si>
    <t>3/26/2026 6:25:02 AM</t>
  </si>
  <si>
    <t>SR020323264236</t>
  </si>
  <si>
    <t>A979646X6315662</t>
  </si>
  <si>
    <t>P26304748</t>
  </si>
  <si>
    <t>3/26/2026 6:41:13 AM</t>
  </si>
  <si>
    <t>L11 Compute Tray Nvidia Field Diag Test fail RLW_SRC_TRACK Nonfatal interrupt detected @(Rack slot 20, CBC 2 SR020320269893</t>
  </si>
  <si>
    <t>A979646X6306215</t>
  </si>
  <si>
    <t>A979646X6317720</t>
  </si>
  <si>
    <t>P26304750</t>
  </si>
  <si>
    <t>3/26/2026 6:45:31 AM</t>
  </si>
  <si>
    <t>L11 Compute Tray Nvidia Field Diag Test fail NETIR_LINK_DOWN Fatal interrupt detected @(Rack slot 21, CBC 2 SR020320269893</t>
  </si>
  <si>
    <t>A979646X6315659</t>
  </si>
  <si>
    <t>P26304777</t>
  </si>
  <si>
    <t>3/26/2026 1:11:27 PM</t>
  </si>
  <si>
    <t>SR020323264077</t>
  </si>
  <si>
    <t>SR020323264077 Rack0_SW5_acp68,CC3_C16_Lane_10, link_none,0, 0</t>
  </si>
  <si>
    <t>P26304778</t>
  </si>
  <si>
    <t>3/26/2026 1:15:25 PM</t>
  </si>
  <si>
    <t>SR020323264120</t>
  </si>
  <si>
    <t>SR020323264120 LED 恆亮橘燈,更新Timeout</t>
  </si>
  <si>
    <t>MT26116017J8</t>
  </si>
  <si>
    <t>MT261060007K</t>
  </si>
  <si>
    <t>P26304958</t>
  </si>
  <si>
    <t>3/26/2026 9:26:39 PM</t>
  </si>
  <si>
    <t>SR020323264339</t>
  </si>
  <si>
    <t>A979646X6317631</t>
  </si>
  <si>
    <t>A979646X6317423</t>
  </si>
  <si>
    <t>P26304961</t>
  </si>
  <si>
    <t>3/26/2026 9:59:40 PM</t>
  </si>
  <si>
    <t>SR020320265067</t>
  </si>
  <si>
    <t>A979646X6313015</t>
  </si>
  <si>
    <t>A979646X6314846</t>
  </si>
  <si>
    <t>P26304995</t>
  </si>
  <si>
    <t>3/26/2026 11:28:27 PM</t>
  </si>
  <si>
    <t>SR020323266037</t>
  </si>
  <si>
    <t>GB300 Power cycling fail</t>
  </si>
  <si>
    <t>A979646X6317689</t>
  </si>
  <si>
    <t>A979646X6317628</t>
  </si>
  <si>
    <t>P26304998</t>
  </si>
  <si>
    <t>3/26/2026 11:34:53 PM</t>
  </si>
  <si>
    <t>SR020323263734</t>
  </si>
  <si>
    <t>A979646X6316684</t>
  </si>
  <si>
    <t>A979646X6317193</t>
  </si>
  <si>
    <t>P26304999</t>
  </si>
  <si>
    <t>3/26/2026 11:37:17 PM</t>
  </si>
  <si>
    <t>A979646X6317364</t>
  </si>
  <si>
    <t>A979646X6317672</t>
  </si>
  <si>
    <t>P26305009</t>
  </si>
  <si>
    <t>3/27/2026 12:32:38 AM</t>
  </si>
  <si>
    <t>3/27/2026</t>
  </si>
  <si>
    <t>A979646X6317062</t>
  </si>
  <si>
    <t>A979646X6319035</t>
  </si>
  <si>
    <t>P26305014</t>
  </si>
  <si>
    <t>3/27/2026 12:48:00 AM</t>
  </si>
  <si>
    <t>SR020323264883</t>
  </si>
  <si>
    <t>A979646X6313017</t>
  </si>
  <si>
    <t>A979646X6317265</t>
  </si>
  <si>
    <t>P26305016</t>
  </si>
  <si>
    <t>3/27/2026 12:57:52 AM</t>
  </si>
  <si>
    <t>A979646X6317572</t>
  </si>
  <si>
    <t>A979646X6317466</t>
  </si>
  <si>
    <t>P26305018</t>
  </si>
  <si>
    <t>3/27/2026 1:04:24 AM</t>
  </si>
  <si>
    <t>SR020323266525</t>
  </si>
  <si>
    <t>A979646X6318013</t>
  </si>
  <si>
    <t>P26305059</t>
  </si>
  <si>
    <t>3/27/2026 8:55:26 AM</t>
  </si>
  <si>
    <t>CC_BAN_PIN_導致R-Burn Fail_位置:J9、J10、J11_已更換_PM1265</t>
  </si>
  <si>
    <t>P26305117</t>
  </si>
  <si>
    <t>3/27/2026 2:11:52 PM</t>
  </si>
  <si>
    <t>SR020323266599</t>
  </si>
  <si>
    <t>Rack0_SW4_acp85,CC0_C3_Lane_9, link_none,0, 0</t>
  </si>
  <si>
    <t>P26305119</t>
  </si>
  <si>
    <t>3/27/2026 2:12:27 PM</t>
  </si>
  <si>
    <t>SR020320267005</t>
  </si>
  <si>
    <t>Rack0_SW4_acp30,CC1_C7_Lane_8, link_none,0, 0</t>
  </si>
  <si>
    <t>P26305155</t>
  </si>
  <si>
    <t>3/27/2026 6:39:02 PM</t>
  </si>
  <si>
    <t>SR020323266890</t>
  </si>
  <si>
    <t>http://10.160.100.10/log s/Tesla/2026 /March /SR020323266890/27/R-BURN/ A979646X6317238/905A0835804D /gb300_cartridge_nvidia_L11_field_diag_summary.log</t>
  </si>
  <si>
    <t>A979646X6317913</t>
  </si>
  <si>
    <t>P26305170</t>
  </si>
  <si>
    <t>3/27/2026 8:24:06 PM</t>
  </si>
  <si>
    <t>A979646X6315235</t>
  </si>
  <si>
    <t>P26305173</t>
  </si>
  <si>
    <t>3/27/2026 8:25:26 PM</t>
  </si>
  <si>
    <t>A979646X6318940</t>
  </si>
  <si>
    <t>P26305174</t>
  </si>
  <si>
    <t>3/27/2026 8:28:51 PM</t>
  </si>
  <si>
    <t>A979646X6317826</t>
  </si>
  <si>
    <t>A979646X6316176</t>
  </si>
  <si>
    <t>P26305184</t>
  </si>
  <si>
    <t>3/27/2026 9:56:05 PM</t>
  </si>
  <si>
    <t>L11 Rack0_SW0_acp68 CC3_C16_Lane_0 link_none</t>
  </si>
  <si>
    <t>MT2543600EL0</t>
  </si>
  <si>
    <t>MT261060007G</t>
  </si>
  <si>
    <t>P26305188</t>
  </si>
  <si>
    <t>3/27/2026 10:46:17 PM</t>
  </si>
  <si>
    <t>SR020323267586</t>
  </si>
  <si>
    <t>A979646X6317232</t>
  </si>
  <si>
    <t>A979646X6320323</t>
  </si>
  <si>
    <t>P26305190</t>
  </si>
  <si>
    <t>3/27/2026 10:52:10 PM</t>
  </si>
  <si>
    <t>SR020323269026</t>
  </si>
  <si>
    <t>A979646X6216491</t>
  </si>
  <si>
    <t>A979646X6316226</t>
  </si>
  <si>
    <t>P26305200</t>
  </si>
  <si>
    <t>3/28/2026 12:21:37 AM</t>
  </si>
  <si>
    <t>3/28/2026</t>
  </si>
  <si>
    <t>MT2611602R1Z</t>
  </si>
  <si>
    <t>MT2610600WYZ</t>
  </si>
  <si>
    <t>P26305201</t>
  </si>
  <si>
    <t>3/28/2026 12:23:47 AM</t>
  </si>
  <si>
    <t>SR020323268797</t>
  </si>
  <si>
    <t>A979646X6315464</t>
  </si>
  <si>
    <t>A979646X6320357</t>
  </si>
  <si>
    <t>P26305203</t>
  </si>
  <si>
    <t>3/28/2026 12:39:23 AM</t>
  </si>
  <si>
    <t>A979646X6315664</t>
  </si>
  <si>
    <t>A979646X6319703</t>
  </si>
  <si>
    <t>P26305206</t>
  </si>
  <si>
    <t>3/28/2026 12:45:43 AM</t>
  </si>
  <si>
    <t>A979646X6214984</t>
  </si>
  <si>
    <t>A979646X6320914</t>
  </si>
  <si>
    <t>P26305209</t>
  </si>
  <si>
    <t>3/28/2026 1:08:01 AM</t>
  </si>
  <si>
    <t>A979646X6317632</t>
  </si>
  <si>
    <t>P26305237</t>
  </si>
  <si>
    <t>3/28/2026 1:59:48 AM</t>
  </si>
  <si>
    <t>SR020323268573</t>
  </si>
  <si>
    <t>A979646X6318784</t>
  </si>
  <si>
    <t>A979646X6318710</t>
  </si>
  <si>
    <t>P26305242</t>
  </si>
  <si>
    <t>3/28/2026 6:44:11 AM</t>
  </si>
  <si>
    <t>SR020323267924</t>
  </si>
  <si>
    <t>L11 Leakage sensor issue / Liquid cooling device has leakage! SR020323267924</t>
  </si>
  <si>
    <t>A979646X6318692</t>
  </si>
  <si>
    <t>A979646X6318135</t>
  </si>
  <si>
    <t>P26305252</t>
  </si>
  <si>
    <t>3/28/2026 12:33:56 PM</t>
  </si>
  <si>
    <t>SR020323268058</t>
  </si>
  <si>
    <t>CC2_C5_Lane_8, link_none,0, 0</t>
  </si>
  <si>
    <t>P26305292</t>
  </si>
  <si>
    <t>3/28/2026 3:54:30 PM</t>
  </si>
  <si>
    <t>SR020327263703</t>
  </si>
  <si>
    <t>A979646X6315207</t>
  </si>
  <si>
    <t>A979646X6317962</t>
  </si>
  <si>
    <t>P26305276</t>
  </si>
  <si>
    <t>3/30/2026 7:12:40 AM</t>
  </si>
  <si>
    <t>MT2543600WCG</t>
  </si>
  <si>
    <t>MT2610600A4T</t>
  </si>
  <si>
    <t>P26305316</t>
  </si>
  <si>
    <t>3/28/2026 10:32:51 PM</t>
  </si>
  <si>
    <t>SR020327269737</t>
  </si>
  <si>
    <t>A979646X6319291</t>
  </si>
  <si>
    <t>P26305318</t>
  </si>
  <si>
    <t>3/28/2026 10:53:07 PM</t>
  </si>
  <si>
    <t>SR020327264812</t>
  </si>
  <si>
    <t>L11 Unable to power on / no power led light</t>
  </si>
  <si>
    <t>A979646X6317495</t>
  </si>
  <si>
    <t>A979646X6320928</t>
  </si>
  <si>
    <t>P26305354</t>
  </si>
  <si>
    <t>3/29/2026 12:59:22 PM</t>
  </si>
  <si>
    <t>SR020327267253</t>
  </si>
  <si>
    <t>3/29/2026</t>
  </si>
  <si>
    <t>L11 NVLINK Switch Functional Issue</t>
  </si>
  <si>
    <t>MT26106040ZF</t>
  </si>
  <si>
    <t>MT2610600WTY</t>
  </si>
  <si>
    <t>P26305355</t>
  </si>
  <si>
    <t>3/29/2026 1:07:51 PM</t>
  </si>
  <si>
    <t>SR020327268410</t>
  </si>
  <si>
    <t>L11 Unable to power on,</t>
  </si>
  <si>
    <t>A979646X6320699</t>
  </si>
  <si>
    <t>A979646X6320376</t>
  </si>
  <si>
    <t>P26305365</t>
  </si>
  <si>
    <t>3/29/2026 6:30:07 PM</t>
  </si>
  <si>
    <t>GB200 L11 Auto Reboot / Auto Shutdown</t>
  </si>
  <si>
    <t>A979646X6317231</t>
  </si>
  <si>
    <t>A979646X6320777</t>
  </si>
  <si>
    <t>P26305367</t>
  </si>
  <si>
    <t>3/29/2026 6:35:17 PM</t>
  </si>
  <si>
    <t>A979646X6315469</t>
  </si>
  <si>
    <t>A979646X6316281</t>
  </si>
  <si>
    <t>P26305369</t>
  </si>
  <si>
    <t>3/29/2026 7:52:16 PM</t>
  </si>
  <si>
    <t>A979646X6318139</t>
  </si>
  <si>
    <t>P26305371</t>
  </si>
  <si>
    <t>3/29/2026 7:58:02 PM</t>
  </si>
  <si>
    <t>SR020327266203</t>
  </si>
  <si>
    <t>A979646X6317890</t>
  </si>
  <si>
    <t>A979646X6321087</t>
  </si>
  <si>
    <t>P26305373</t>
  </si>
  <si>
    <t>3/29/2026 8:11:42 PM</t>
  </si>
  <si>
    <t>SR020327267188</t>
  </si>
  <si>
    <t>A979646X6317506</t>
  </si>
  <si>
    <t>A979646X6320261</t>
  </si>
  <si>
    <t>P26305376</t>
  </si>
  <si>
    <t>3/29/2026 10:07:30 PM</t>
  </si>
  <si>
    <t>SR020323268755</t>
  </si>
  <si>
    <t>A979646X6318838</t>
  </si>
  <si>
    <t>A979646X6322359</t>
  </si>
  <si>
    <t>P26305377</t>
  </si>
  <si>
    <t>3/29/2026 9:01:35 PM</t>
  </si>
  <si>
    <t>SR020327264815</t>
  </si>
  <si>
    <t>L11 Cable Cartridge Defect (BENT PIN SLOT 1) Rack0_SW0_acp61CC0_C15_Lane_0 link_none</t>
  </si>
  <si>
    <t>P26305378</t>
  </si>
  <si>
    <t>3/29/2026 9:59:39 PM</t>
  </si>
  <si>
    <t>SR020327269761</t>
  </si>
  <si>
    <t>A979646X6318930</t>
  </si>
  <si>
    <t>P26305380</t>
  </si>
  <si>
    <t>3/29/2026 10:12:53 PM</t>
  </si>
  <si>
    <t>SR020327262147</t>
  </si>
  <si>
    <t>A979646X6316269</t>
  </si>
  <si>
    <t>P26305381</t>
  </si>
  <si>
    <t>3/29/2026 10:13:53 PM</t>
  </si>
  <si>
    <t>GB300 L11 Compute Tray Nvidia Field Diag Test fail</t>
  </si>
  <si>
    <t>A979646X6306543</t>
  </si>
  <si>
    <t>A979646X6319335</t>
  </si>
  <si>
    <t>P26305385</t>
  </si>
  <si>
    <t>3/29/2026 10:24:28 PM</t>
  </si>
  <si>
    <t>A979646X6320799</t>
  </si>
  <si>
    <t>A979646X6320950</t>
  </si>
  <si>
    <t>P26305386</t>
  </si>
  <si>
    <t>3/29/2026 10:24:59 PM</t>
  </si>
  <si>
    <t>A979646X6317228</t>
  </si>
  <si>
    <t>A979646X6320844</t>
  </si>
  <si>
    <t>P26305389</t>
  </si>
  <si>
    <t>3/29/2026 10:38:03 PM</t>
  </si>
  <si>
    <t>SR020327263738</t>
  </si>
  <si>
    <t>Cable cartridge Defect/ bent pin rack slot #14</t>
  </si>
  <si>
    <t>P26305434</t>
  </si>
  <si>
    <t>3/30/2026 8:14:56 AM</t>
  </si>
  <si>
    <t>RK130</t>
  </si>
  <si>
    <t>GB200 Auto Reboot</t>
  </si>
  <si>
    <t>3/30/2026</t>
  </si>
  <si>
    <t>GB300 auto shutdown</t>
  </si>
  <si>
    <t>A979646X6315493</t>
  </si>
  <si>
    <t>A979646X6319718</t>
  </si>
  <si>
    <t>P26305461</t>
  </si>
  <si>
    <t>3/30/2026 12:43:54 PM</t>
  </si>
  <si>
    <t>ONLY 0 FABRIC STATE SHOWS OK, EXPECTED 4</t>
  </si>
  <si>
    <t>A979646X6320238</t>
  </si>
  <si>
    <t>P26305486</t>
  </si>
  <si>
    <t>3/30/2026 5:03:43 PM</t>
  </si>
  <si>
    <t>A979646X6316284</t>
  </si>
  <si>
    <t>P26305487</t>
  </si>
  <si>
    <t>3/30/2026 5:05:45 PM</t>
  </si>
  <si>
    <t>A979646X6305691</t>
  </si>
  <si>
    <t>A979646X6316272</t>
  </si>
  <si>
    <t>P26305495</t>
  </si>
  <si>
    <t>3/30/2026 5:40:40 PM</t>
  </si>
  <si>
    <t>A97964X6319732</t>
  </si>
  <si>
    <t>P26305532</t>
  </si>
  <si>
    <t>3/30/2026 9:16:32 PM</t>
  </si>
  <si>
    <t>SR020327266653</t>
  </si>
  <si>
    <t>Power Shelf Defective (PMB LED NOT FUNCTION)</t>
  </si>
  <si>
    <t>614MP1RBX03X1605060</t>
  </si>
  <si>
    <t>614MP1RBX03X16051CH</t>
  </si>
  <si>
    <t>P26305536</t>
  </si>
  <si>
    <t>3/30/2026 9:06:04 PM</t>
  </si>
  <si>
    <t>SR020327269676</t>
  </si>
  <si>
    <t>A979646X6320967</t>
  </si>
  <si>
    <t>A979646X6319709</t>
  </si>
  <si>
    <t>P26305540</t>
  </si>
  <si>
    <t>3/30/2026 9:19:17 PM</t>
  </si>
  <si>
    <t>SR020327265629</t>
  </si>
  <si>
    <t>A979646X6318928</t>
  </si>
  <si>
    <t>A979646X6319700</t>
  </si>
  <si>
    <t>P26305552</t>
  </si>
  <si>
    <t>3/30/2026 11:25:07 PM</t>
  </si>
  <si>
    <t>A979646X6321050</t>
  </si>
  <si>
    <t>P26305555</t>
  </si>
  <si>
    <t>3/30/2026 11:36:24 PM</t>
  </si>
  <si>
    <t>A979646X6317751</t>
  </si>
  <si>
    <t>A979646X6321262</t>
  </si>
  <si>
    <t>P26305305</t>
  </si>
  <si>
    <t>3/28/2026 8:50:01 PM</t>
  </si>
  <si>
    <t>SR020320268666</t>
  </si>
  <si>
    <t>P26305363</t>
  </si>
  <si>
    <t>3/29/2026 6:22:44 PM</t>
  </si>
  <si>
    <t>A983988X6310594</t>
  </si>
  <si>
    <t>P26305589</t>
  </si>
  <si>
    <t>3/31/2026 1:18:27 AM</t>
  </si>
  <si>
    <t>3/31/2026</t>
  </si>
  <si>
    <t>A979646X6317324</t>
  </si>
  <si>
    <t>A979646X6320952</t>
  </si>
  <si>
    <t>P26305649</t>
  </si>
  <si>
    <t>3/31/2026 1:55:05 PM</t>
  </si>
  <si>
    <t>SR020327262812</t>
  </si>
  <si>
    <t>燈號異常</t>
  </si>
  <si>
    <t>MT26096050JY</t>
  </si>
  <si>
    <t>MT26056045KY</t>
  </si>
  <si>
    <t>P26305650</t>
  </si>
  <si>
    <t>MT26096050JZ</t>
  </si>
  <si>
    <t>MT26056045KZ</t>
  </si>
  <si>
    <t>P26305665</t>
  </si>
  <si>
    <t>3/31/2026 3:47:30 PM</t>
  </si>
  <si>
    <t>SR020327264112</t>
  </si>
  <si>
    <t>NVLINK Switch Functional Issue / Unable to update</t>
  </si>
  <si>
    <t>MT2604600F1G</t>
  </si>
  <si>
    <t>MT26056045L0</t>
  </si>
  <si>
    <t>P26305720</t>
  </si>
  <si>
    <t>3/31/2026 9:19:42 PM</t>
  </si>
  <si>
    <t>SR020327263868</t>
  </si>
  <si>
    <t>Rack0_SW6_acp55 CC2_C13_Lane_12 link_bad_quality_high_ber</t>
  </si>
  <si>
    <t>P26305724</t>
  </si>
  <si>
    <t>3/31/2026 10:29:25 PM</t>
  </si>
  <si>
    <t>SR020327268050</t>
  </si>
  <si>
    <t>BENT PIN RACK SLOT #5 AND RACK SLOT #9</t>
  </si>
  <si>
    <t>P26400002</t>
  </si>
  <si>
    <t>4/1/2026 12:39:46 AM</t>
  </si>
  <si>
    <t>4/1/2026</t>
  </si>
  <si>
    <t>A979646X6322364</t>
  </si>
  <si>
    <t>P26400003</t>
  </si>
  <si>
    <t>4/1/2026 12:41:10 AM</t>
  </si>
  <si>
    <t>SR020327265438</t>
  </si>
  <si>
    <t>A979646X6319342</t>
  </si>
  <si>
    <t>P26400005</t>
  </si>
  <si>
    <t>4/1/2026 12:45:13 AM</t>
  </si>
  <si>
    <t>SR020327267852</t>
  </si>
  <si>
    <t>A979646X6320248</t>
  </si>
  <si>
    <t>P26400007</t>
  </si>
  <si>
    <t>4/1/2026 12:54:12 AM</t>
  </si>
  <si>
    <t>SR020327266174</t>
  </si>
  <si>
    <t>L11 Cable Cartridge fail / BENT PIN SLOT 12</t>
  </si>
  <si>
    <t>P26400008</t>
  </si>
  <si>
    <t>4/1/2026 12:55:50 AM</t>
  </si>
  <si>
    <t>NVLINK Switch Functional Issue / UNABLE TO UPDATE</t>
  </si>
  <si>
    <t>MT2607601W0F</t>
  </si>
  <si>
    <t>MT26056044ZJ</t>
  </si>
  <si>
    <t>P26400009</t>
  </si>
  <si>
    <t>4/1/2026 1:01:35 AM</t>
  </si>
  <si>
    <t>A979646X6319743</t>
  </si>
  <si>
    <t>A9796466317228</t>
  </si>
  <si>
    <t>P26400081</t>
  </si>
  <si>
    <t>4/1/2026 1:54:36 PM</t>
  </si>
  <si>
    <t>SR020327266787</t>
  </si>
  <si>
    <t>NVL Switch e4:6d:ab:c4:b6:7c;10.10.6.8 unreachabl</t>
  </si>
  <si>
    <t>MT2606605V4E</t>
  </si>
  <si>
    <t>MT26116017HR</t>
  </si>
  <si>
    <t>P26400168</t>
  </si>
  <si>
    <t>4/1/2026 9:19:31 PM</t>
  </si>
  <si>
    <t>SR020327267645</t>
  </si>
  <si>
    <t>A979646X6316254</t>
  </si>
  <si>
    <t>A979646X6320830</t>
  </si>
  <si>
    <t>P26400170</t>
  </si>
  <si>
    <t>4/1/2026 9:28:30 PM</t>
  </si>
  <si>
    <t>A979646X6320472</t>
  </si>
  <si>
    <t>A979646X6320982</t>
  </si>
  <si>
    <t>P26400172</t>
  </si>
  <si>
    <t>4/1/2026 9:37:15 PM</t>
  </si>
  <si>
    <t>SR020331263112</t>
  </si>
  <si>
    <t>L11 Cable cartridge Defect / BENT-PIN SLOT 9 SR020331263112</t>
  </si>
  <si>
    <t>P26400173</t>
  </si>
  <si>
    <t>4/1/2026 9:46:06 PM</t>
  </si>
  <si>
    <t>SR020331266225</t>
  </si>
  <si>
    <t>A979646X6317916</t>
  </si>
  <si>
    <t>A979646X6322669</t>
  </si>
  <si>
    <t>P26400175</t>
  </si>
  <si>
    <t>4/1/2026 9:52:33 PM</t>
  </si>
  <si>
    <t>SR020327269178</t>
  </si>
  <si>
    <t>A979646X6311306</t>
  </si>
  <si>
    <t>A979646X6323334</t>
  </si>
  <si>
    <t>P26400179</t>
  </si>
  <si>
    <t>4/1/2026 10:47:14 PM</t>
  </si>
  <si>
    <t>P26400183</t>
  </si>
  <si>
    <t>4/1/2026 11:03:33 PM</t>
  </si>
  <si>
    <t>SR020331269370</t>
  </si>
  <si>
    <t>A979646X6314878</t>
  </si>
  <si>
    <t>A979646X6322709</t>
  </si>
  <si>
    <t>P26400185</t>
  </si>
  <si>
    <t>4/1/2026 11:07:38 PM</t>
  </si>
  <si>
    <t>SR020401261062</t>
  </si>
  <si>
    <t>A979646X6321256</t>
  </si>
  <si>
    <t>A979646X6322710</t>
  </si>
  <si>
    <t>P26400187</t>
  </si>
  <si>
    <t>4/1/2026 11:13:41 PM</t>
  </si>
  <si>
    <t>A979646X6322711</t>
  </si>
  <si>
    <t>P26400190</t>
  </si>
  <si>
    <t>4/1/2026 11:20:02 PM</t>
  </si>
  <si>
    <t>A979646X6316270</t>
  </si>
  <si>
    <t>A979646X6322712</t>
  </si>
  <si>
    <t>P26400200</t>
  </si>
  <si>
    <t>4/2/2026 1:26:18 AM</t>
  </si>
  <si>
    <t>SR020401262328</t>
  </si>
  <si>
    <t>4/2/2026</t>
  </si>
  <si>
    <t>A979646X6322975</t>
  </si>
  <si>
    <t>A979646X6322713</t>
  </si>
  <si>
    <t>P26400241</t>
  </si>
  <si>
    <t>4/2/2026 1:24:54 PM</t>
  </si>
  <si>
    <t>18 Node NCCL Test due to no flow on all of acp interfaces</t>
  </si>
  <si>
    <t>MT2611602R1Y</t>
  </si>
  <si>
    <t>MT26116022CH</t>
  </si>
  <si>
    <t>P26400267</t>
  </si>
  <si>
    <t>4/2/2026 2:21:29 PM</t>
  </si>
  <si>
    <t>Rack0_SW4_acp22,CC1_C5_Lane_8, link_high</t>
  </si>
  <si>
    <t>P26400304</t>
  </si>
  <si>
    <t>4/2/2026 4:01:55 PM</t>
  </si>
  <si>
    <t>NVLINK Switch Functional Issue / NULL info http:// 10.160.100.12 /logs /Tesla /2026 /April /SR020327263868 /02 /R-BURN /A979646X6317453 /905A083590F1 /905A083590F1.LOG</t>
  </si>
  <si>
    <t>MT26066046XU</t>
  </si>
  <si>
    <t>MT26056044ZK</t>
  </si>
  <si>
    <t>P26400314</t>
  </si>
  <si>
    <t>4/2/2026 6:18:42 PM</t>
  </si>
  <si>
    <t>SR020401263281</t>
  </si>
  <si>
    <t>BMC IP NULL http:// 10.160.100.12 /logs /Tesla /2026 /April /SR020401263281 /02 /R-BURN /A979646X6320854 /905A08358B6A /905A08358B6A.LOG</t>
  </si>
  <si>
    <t>MT2612606T6A</t>
  </si>
  <si>
    <t>MT26056045KP</t>
  </si>
  <si>
    <t>P26400315</t>
  </si>
  <si>
    <t>4/2/2026 7:14:29 PM</t>
  </si>
  <si>
    <t>SR020401264499</t>
  </si>
  <si>
    <t>A979646X6319312</t>
  </si>
  <si>
    <t>A979646X6323900</t>
  </si>
  <si>
    <t>P26400317</t>
  </si>
  <si>
    <t>4/2/2026 7:18:30 PM</t>
  </si>
  <si>
    <t>A979646X6322268</t>
  </si>
  <si>
    <t>A979646X6323898</t>
  </si>
  <si>
    <t>P26400319</t>
  </si>
  <si>
    <t>4/2/2026 7:22:36 PM</t>
  </si>
  <si>
    <t>SR020401264192</t>
  </si>
  <si>
    <t>A979646X6320427</t>
  </si>
  <si>
    <t>A979646X6323817</t>
  </si>
  <si>
    <t>P26400367</t>
  </si>
  <si>
    <t>4/2/2026 9:52:40 PM</t>
  </si>
  <si>
    <t>A979646X6317579</t>
  </si>
  <si>
    <t>A979646X6323388</t>
  </si>
  <si>
    <t>P26400373</t>
  </si>
  <si>
    <t>4/2/2026 10:43:28 PM</t>
  </si>
  <si>
    <t>SR020401263957</t>
  </si>
  <si>
    <t>A979646X6321814</t>
  </si>
  <si>
    <t>A979646X6322343</t>
  </si>
  <si>
    <t>P26400376</t>
  </si>
  <si>
    <t>4/2/2026 10:50:47 PM</t>
  </si>
  <si>
    <t>SR020401263386</t>
  </si>
  <si>
    <t>A979646X6322342</t>
  </si>
  <si>
    <t>P26400377</t>
  </si>
  <si>
    <t>4/2/2026 10:54:00 PM</t>
  </si>
  <si>
    <t>SR020401264696</t>
  </si>
  <si>
    <t>A979646X6301085</t>
  </si>
  <si>
    <t>A979646X6320819</t>
  </si>
  <si>
    <t>P26400378</t>
  </si>
  <si>
    <t>4/2/2026 10:56:11 PM</t>
  </si>
  <si>
    <t>A979646X6323004</t>
  </si>
  <si>
    <t>A979646X6322653</t>
  </si>
  <si>
    <t>P26400406</t>
  </si>
  <si>
    <t>4/3/2026 5:48:53 AM</t>
  </si>
  <si>
    <t>SR020401265055</t>
  </si>
  <si>
    <t>4/3/2026</t>
  </si>
  <si>
    <t>L11 Unable to power on / Button panel not Open SR020401265055</t>
  </si>
  <si>
    <t>A979646X6324746</t>
  </si>
  <si>
    <t>P26400409</t>
  </si>
  <si>
    <t>4/3/2026 6:33:54 AM</t>
  </si>
  <si>
    <t>L11 IPMI no response/ no IP detected</t>
  </si>
  <si>
    <t>A979646X6321202</t>
  </si>
  <si>
    <t>A979646X6322788</t>
  </si>
  <si>
    <t>P26400418</t>
  </si>
  <si>
    <t>4/3/2026 8:54:51 AM</t>
  </si>
  <si>
    <t>SR020401263703</t>
  </si>
  <si>
    <t>CC0_C3_Lane_7</t>
  </si>
  <si>
    <t>P26400426</t>
  </si>
  <si>
    <t>4/4/2026 6:41:07 AM</t>
  </si>
  <si>
    <t>SR020327265593</t>
  </si>
  <si>
    <t>GB200 Power Shelves fail無法更新_更換_tw640</t>
  </si>
  <si>
    <t>613337RBX01X16042NV</t>
  </si>
  <si>
    <t>613337RBX01X15502AX</t>
  </si>
  <si>
    <t>P26400568</t>
  </si>
  <si>
    <t>4/3/2026 10:22:55 PM</t>
  </si>
  <si>
    <t>SR020327267475</t>
  </si>
  <si>
    <t>RK124</t>
  </si>
  <si>
    <t>GB200 Firmware flash BMC fail unable detect BMC IP</t>
  </si>
  <si>
    <t>OPEN BMC</t>
  </si>
  <si>
    <t>A979646X6318725</t>
  </si>
  <si>
    <t>A979646X6401238</t>
  </si>
  <si>
    <t>P26400576</t>
  </si>
  <si>
    <t>4/3/2026 10:46:43 PM</t>
  </si>
  <si>
    <t>A979646X6320443</t>
  </si>
  <si>
    <t>A979646X6401522</t>
  </si>
  <si>
    <t>P26400578</t>
  </si>
  <si>
    <t>4/3/2026 10:51:59 PM</t>
  </si>
  <si>
    <t>SR020401265402</t>
  </si>
  <si>
    <t>A979646X6325021</t>
  </si>
  <si>
    <t>A979646X6401549</t>
  </si>
  <si>
    <t>P26400581</t>
  </si>
  <si>
    <t>4/3/2026 10:59:31 PM</t>
  </si>
  <si>
    <t>SR020331267046</t>
  </si>
  <si>
    <t>A979646X6321273</t>
  </si>
  <si>
    <t>A979646X6401542</t>
  </si>
  <si>
    <t>P26400589</t>
  </si>
  <si>
    <t>4/4/2026 6:02:52 AM</t>
  </si>
  <si>
    <t>SR020401266004</t>
  </si>
  <si>
    <t>4/4/2026</t>
  </si>
  <si>
    <t>L11 Cable Cartridge Nvidia FD Test fail Error while invoking api /redfish/v1/Chassis/CBC_0. http:// 10.181.56.71 logs Tesla 2026 April 03 R-BURN A979646X6323222 905A08358593 gb300_cartridge_nvidia_L11_field_diag_summary.log</t>
  </si>
  <si>
    <t>A979646X6322333</t>
  </si>
  <si>
    <t>A979646X6321792</t>
  </si>
  <si>
    <t>P26400592</t>
  </si>
  <si>
    <t>4/4/2026 6:08:53 AM</t>
  </si>
  <si>
    <t>L11 Cable Cartridge Nvidia FD Error while invoking api /redfish/v1/Chassis/CBC_0. Test fail http://10.181.56.71 logs Tesla 2026 April 03 R-BURN A979646X6323222 905A08358593 gb300_cartridge_nvidia_L11_field_diag_summary.log</t>
  </si>
  <si>
    <t>A979646X6322674</t>
  </si>
  <si>
    <t>A979646X6322265</t>
  </si>
  <si>
    <t>P26400624</t>
  </si>
  <si>
    <t>4/4/2026 1:13:07 PM</t>
  </si>
  <si>
    <t>SR020401267204</t>
  </si>
  <si>
    <t>Switch Cosmetic Issue (Switch外觀不良)</t>
  </si>
  <si>
    <t>Switch Cosmetic Issue (Switch外觀不良) 第3顆燈號亮度不足_更換_tw640</t>
  </si>
  <si>
    <t>MT2611602520</t>
  </si>
  <si>
    <t>MT26056045KR</t>
  </si>
  <si>
    <t>P26400631</t>
  </si>
  <si>
    <t>4/4/2026 4:56:50 PM</t>
  </si>
  <si>
    <t>SR020327261542</t>
  </si>
  <si>
    <t>BIOS BUILD DATE 20251003</t>
  </si>
  <si>
    <t>A979646X6315187</t>
  </si>
  <si>
    <t>P26400634</t>
  </si>
  <si>
    <t>4/4/2026 5:58:13 PM</t>
  </si>
  <si>
    <t>SR020401264934</t>
  </si>
  <si>
    <t>HB003</t>
  </si>
  <si>
    <t>LED failure (LED故障)</t>
  </si>
  <si>
    <t>LED failure (LEDæ•…éšœ) / NO LED LIGHT NVLINK SW</t>
  </si>
  <si>
    <t>A979646X6321788</t>
  </si>
  <si>
    <t>A979646X6401235</t>
  </si>
  <si>
    <t>P26400639</t>
  </si>
  <si>
    <t>4/4/2026 8:54:23 PM</t>
  </si>
  <si>
    <t>SR020401266864</t>
  </si>
  <si>
    <t>A979646X6323438</t>
  </si>
  <si>
    <t>A979646X6319722</t>
  </si>
  <si>
    <t>P26400641</t>
  </si>
  <si>
    <t>4/4/2026 9:03:13 PM</t>
  </si>
  <si>
    <t>P26400645</t>
  </si>
  <si>
    <t>4/4/2026 9:13:52 PM</t>
  </si>
  <si>
    <t>SR020331269709</t>
  </si>
  <si>
    <t>A979646X6320475</t>
  </si>
  <si>
    <t>A979646X6317417</t>
  </si>
  <si>
    <t>P26400667</t>
  </si>
  <si>
    <t>4/4/2026 10:27:47 PM</t>
  </si>
  <si>
    <t>SR020401262402</t>
  </si>
  <si>
    <t>A979646X6322369</t>
  </si>
  <si>
    <t>A979646X6401523</t>
  </si>
  <si>
    <t>P26400674</t>
  </si>
  <si>
    <t>4/5/2026 5:15:09 AM</t>
  </si>
  <si>
    <t>SR020401268403</t>
  </si>
  <si>
    <t>4/5/2026</t>
  </si>
  <si>
    <t>L11 Compute Tray Nvidia Field Diag Test fail / NVRM invalid state or config @(Rack slot 20, CBC 2, 4x19 connector 2)</t>
  </si>
  <si>
    <t>A979646X6320385</t>
  </si>
  <si>
    <t>A979646X6323319</t>
  </si>
  <si>
    <t>P26400683</t>
  </si>
  <si>
    <t>4/5/2026 5:49:50 AM</t>
  </si>
  <si>
    <t>SR020331269324</t>
  </si>
  <si>
    <t>L11 Unable to power on/ PANNEL BUTTON NOT POWER ON</t>
  </si>
  <si>
    <t>A979646X6323408</t>
  </si>
  <si>
    <t>A979646X6317555</t>
  </si>
  <si>
    <t>P26400685</t>
  </si>
  <si>
    <t>4/5/2026 5:54:27 AM</t>
  </si>
  <si>
    <t>SR020331263251</t>
  </si>
  <si>
    <t>L11 Unable to power on/ PUSH BUTTON PANNEL NOT FUNCTION POWER ON</t>
  </si>
  <si>
    <t>A979646X6318630</t>
  </si>
  <si>
    <t>P26400687</t>
  </si>
  <si>
    <t>4/5/2026 6:10:13 AM</t>
  </si>
  <si>
    <t>SR020401263526</t>
  </si>
  <si>
    <t>CH-FAN006</t>
  </si>
  <si>
    <t>FAN sensor failure (風扇感應器不良)</t>
  </si>
  <si>
    <t>L11 FAN sensor failure (風扇感應器不良) / Log: charts/sensor_data_and_records/ipmi_board_sensor_reading_fail / Chassis0FAN5REAR - RPM reading is 0</t>
  </si>
  <si>
    <t>A979646X6321283</t>
  </si>
  <si>
    <t>A979646X6315629</t>
  </si>
  <si>
    <t>P26400699</t>
  </si>
  <si>
    <t>4/6/2026 10:13:00 AM</t>
  </si>
  <si>
    <t>SR020401265465</t>
  </si>
  <si>
    <t>4/6/2026</t>
  </si>
  <si>
    <t>Rack slot 26, CBC 4, 4x19 connector 4, column 3,</t>
  </si>
  <si>
    <t>P26400714</t>
  </si>
  <si>
    <t>4/6/2026 3:53:26 PM</t>
  </si>
  <si>
    <t>SR020331265588</t>
  </si>
  <si>
    <t>GP008</t>
  </si>
  <si>
    <t>Other GPU failures (其他GPU異常)</t>
  </si>
  <si>
    <t>A979646X6401091</t>
  </si>
  <si>
    <t>A979646X6325014</t>
  </si>
  <si>
    <t>P26400716</t>
  </si>
  <si>
    <t>4/6/2026 3:54:58 PM</t>
  </si>
  <si>
    <t>MB010</t>
  </si>
  <si>
    <t>LAN port failure (網路端口故障)</t>
  </si>
  <si>
    <t>A979646X6322081</t>
  </si>
  <si>
    <t>A979646X6401248</t>
  </si>
  <si>
    <t>P26400734</t>
  </si>
  <si>
    <t>4/6/2026 9:41:15 PM</t>
  </si>
  <si>
    <t>SR020331264910</t>
  </si>
  <si>
    <t>A979646X6318780</t>
  </si>
  <si>
    <t>P26400750</t>
  </si>
  <si>
    <t>4/6/2026 9:58:11 PM</t>
  </si>
  <si>
    <t>SR020331267483</t>
  </si>
  <si>
    <t>A979646X6324004</t>
  </si>
  <si>
    <t>A979646X6319013</t>
  </si>
  <si>
    <t>P26400752</t>
  </si>
  <si>
    <t>4/6/2026 10:01:36 PM</t>
  </si>
  <si>
    <t>A979646X6321237</t>
  </si>
  <si>
    <t>P26400766</t>
  </si>
  <si>
    <t>4/6/2026 10:11:49 PM</t>
  </si>
  <si>
    <t>A979646X6401209</t>
  </si>
  <si>
    <t>A979646X6322237</t>
  </si>
  <si>
    <t>P26400770</t>
  </si>
  <si>
    <t>4/6/2026 10:15:04 PM</t>
  </si>
  <si>
    <t>SR020331267387</t>
  </si>
  <si>
    <t>A979646X6323916</t>
  </si>
  <si>
    <t>A979646X6322464</t>
  </si>
  <si>
    <t>P26400786</t>
  </si>
  <si>
    <t>4/6/2026 10:26:15 PM</t>
  </si>
  <si>
    <t>A979646X6320327</t>
  </si>
  <si>
    <t>A979646X6322444</t>
  </si>
  <si>
    <t>P26400788</t>
  </si>
  <si>
    <t>4/6/2026 10:35:24 PM</t>
  </si>
  <si>
    <t>A979646X6320926</t>
  </si>
  <si>
    <t>P26400790</t>
  </si>
  <si>
    <t>4/6/2026 10:53:32 PM</t>
  </si>
  <si>
    <t>A979646X6319744</t>
  </si>
  <si>
    <t>A979646X6314905</t>
  </si>
  <si>
    <t>P26400792</t>
  </si>
  <si>
    <t>4/6/2026 11:26:34 PM</t>
  </si>
  <si>
    <t>Cable cartridge Defect _ Rack0_SW8_acp4 CC3_C0_Lane_16 link_none</t>
  </si>
  <si>
    <t>P26400794</t>
  </si>
  <si>
    <t>4/7/2026 1:51:16 AM</t>
  </si>
  <si>
    <t>SR020331269028</t>
  </si>
  <si>
    <t>4/7/2026</t>
  </si>
  <si>
    <t>L11 Unable to power on/ power button no function to power on</t>
  </si>
  <si>
    <t>A979646X6401553</t>
  </si>
  <si>
    <t>A979646X6322244</t>
  </si>
  <si>
    <t>P26400797</t>
  </si>
  <si>
    <t>4/7/2026 4:16:07 AM</t>
  </si>
  <si>
    <t>L11 GPU Burn Test /NVIDIA server board Product Name mismatch in FRU : [] () and FRU ID 14: [GB300 MaxQ 1CPU:2GPU 12H Board PC] (1650726010751)</t>
  </si>
  <si>
    <t>A979646X6321051</t>
  </si>
  <si>
    <t>P26400799</t>
  </si>
  <si>
    <t>4/7/2026 1:44:21 PM</t>
  </si>
  <si>
    <t>L11 GPU Burn Test/ NVIDIA SMI tool only detected 3 GPU and it does not match the requesed 4</t>
  </si>
  <si>
    <t>A979646X6322404</t>
  </si>
  <si>
    <t>P26400807</t>
  </si>
  <si>
    <t>4/7/2026 10:22:14 AM</t>
  </si>
  <si>
    <t>Rack slot 9, CBC 4, 8x10 connector 7, column 10</t>
  </si>
  <si>
    <t>MT2610604P3E</t>
  </si>
  <si>
    <t>MT26116017PU</t>
  </si>
  <si>
    <t>P26400836</t>
  </si>
  <si>
    <t>4/7/2026 1:16:58 PM</t>
  </si>
  <si>
    <t>SR020331264121</t>
  </si>
  <si>
    <t>only 54 NVLink status shows OK, expected 72.only 3 Fabric state shows OK, expected 4_已更換_PM_1265</t>
  </si>
  <si>
    <t>A979646X6319314</t>
  </si>
  <si>
    <t>A979646X6322248</t>
  </si>
  <si>
    <t>P26400864</t>
  </si>
  <si>
    <t>4/7/2026 4:20:55 PM</t>
  </si>
  <si>
    <t>A979646X6319302</t>
  </si>
  <si>
    <t>P26400876</t>
  </si>
  <si>
    <t>4/7/2026 6:18:11 PM</t>
  </si>
  <si>
    <t>SR020331263467</t>
  </si>
  <si>
    <t>A979646X6306256</t>
  </si>
  <si>
    <t>A979646X6319808</t>
  </si>
  <si>
    <t>P26400939</t>
  </si>
  <si>
    <t>4/7/2026 9:26:44 PM</t>
  </si>
  <si>
    <t>L11 IPMI no response</t>
  </si>
  <si>
    <t>A979646X6324007</t>
  </si>
  <si>
    <t>A979646X6322980</t>
  </si>
  <si>
    <t>P26400941</t>
  </si>
  <si>
    <t>4/7/2026 9:43:51 PM</t>
  </si>
  <si>
    <t>A979646X6322438</t>
  </si>
  <si>
    <t>A979646X6322576</t>
  </si>
  <si>
    <t>P26400949</t>
  </si>
  <si>
    <t>4/7/2026 10:35:43 PM</t>
  </si>
  <si>
    <t>A979646X6307584</t>
  </si>
  <si>
    <t>A979646X6303168</t>
  </si>
  <si>
    <t>P26400950</t>
  </si>
  <si>
    <t>4/7/2026 10:38:06 PM</t>
  </si>
  <si>
    <t>A979646X6217527</t>
  </si>
  <si>
    <t>A979646X6320314</t>
  </si>
  <si>
    <t>P26401020</t>
  </si>
  <si>
    <t>4/8/2026 1:00:09 PM</t>
  </si>
  <si>
    <t>SR020331267441</t>
  </si>
  <si>
    <t>4/8/2026</t>
  </si>
  <si>
    <t>Auto Shutdown_已更換_PM1265</t>
  </si>
  <si>
    <t>A979646X6323054</t>
  </si>
  <si>
    <t>A979646X6323868</t>
  </si>
  <si>
    <t>P26401052</t>
  </si>
  <si>
    <t>4/8/2026 3:50:59 PM</t>
  </si>
  <si>
    <t>A979646X6322085</t>
  </si>
  <si>
    <t>A979646X6322723</t>
  </si>
  <si>
    <t>P26401061</t>
  </si>
  <si>
    <t>4/8/2026 5:59:24 PM</t>
  </si>
  <si>
    <t>L11 Cable cartridge Defect (BENT PIN SLOT 16)</t>
  </si>
  <si>
    <t>P26401122</t>
  </si>
  <si>
    <t>4/8/2026 8:33:14 PM</t>
  </si>
  <si>
    <t>SR020331261552</t>
  </si>
  <si>
    <t>A979646X6323429</t>
  </si>
  <si>
    <t>A979646X6321732</t>
  </si>
  <si>
    <t>P26401145</t>
  </si>
  <si>
    <t>4/9/2026 5:29:54 PM</t>
  </si>
  <si>
    <t>SR020331269082</t>
  </si>
  <si>
    <t>P26401231</t>
  </si>
  <si>
    <t>4/9/2026 9:11:20 AM</t>
  </si>
  <si>
    <t>GB200 NVIDIA Manufacturer Diagnostic CX7 / CX8 fail</t>
  </si>
  <si>
    <t>4/9/2026</t>
  </si>
  <si>
    <t>BF3 port 燈號無作用_已更換_PM1265</t>
  </si>
  <si>
    <t>403945AD0C83</t>
  </si>
  <si>
    <t>A979646X6319757</t>
  </si>
  <si>
    <t>P26401310</t>
  </si>
  <si>
    <t>4/9/2026 5:17:03 PM</t>
  </si>
  <si>
    <t>SR020331263868</t>
  </si>
  <si>
    <t>A979646X6318103</t>
  </si>
  <si>
    <t>A979646X6312144</t>
  </si>
  <si>
    <t>P26401314</t>
  </si>
  <si>
    <t>4/9/2026 5:20:05 PM</t>
  </si>
  <si>
    <t>A979646X6317980</t>
  </si>
  <si>
    <t>P26401318</t>
  </si>
  <si>
    <t>4/9/2026 5:27:33 PM</t>
  </si>
  <si>
    <t>A979646X6321180</t>
  </si>
  <si>
    <t>P26401336</t>
  </si>
  <si>
    <t>4/9/2026 8:40:57 PM</t>
  </si>
  <si>
    <t>A979646X6317814</t>
  </si>
  <si>
    <t>P26401351</t>
  </si>
  <si>
    <t>4/9/2026 10:13:15 PM</t>
  </si>
  <si>
    <t>SR020327268138</t>
  </si>
  <si>
    <t>Cable cartridge Defect /Rack0_SW0_acp30 CC1_C7_Lane_0 link_none 0</t>
  </si>
  <si>
    <t>P26401371</t>
  </si>
  <si>
    <t>4/10/2026 4:57:42 PM</t>
  </si>
  <si>
    <t>SR020331263095</t>
  </si>
  <si>
    <t>4/10/2026</t>
  </si>
  <si>
    <t>A979646X6317160</t>
  </si>
  <si>
    <t>P26401372</t>
  </si>
  <si>
    <t>4/10/2026 5:27:22 AM</t>
  </si>
  <si>
    <t>A979646X6324768</t>
  </si>
  <si>
    <t>P26401375</t>
  </si>
  <si>
    <t>4/10/2026 5:50:17 AM</t>
  </si>
  <si>
    <t>SR020331268856</t>
  </si>
  <si>
    <t>L11 FRU data is missing [Board Product] is empty [Board Serial] is empty [Board Part Number] is empty [Product Serial] is empty NVIDIA server board Product Name mismatch in FRU : [] () and FRU ID 14: [GB300 MaxQ 1CPU:2GPU 12H Board PC]</t>
  </si>
  <si>
    <t>A979646X6321086</t>
  </si>
  <si>
    <t>P26401377</t>
  </si>
  <si>
    <t>4/10/2026 5:55:18 AM</t>
  </si>
  <si>
    <t>L11 FRU data is missing [Board Product] is empty [Board Serial] is empty [Board Part Number] is empty [Product Serial] is empty NVIDIA server board Product Name mismatch in FRU : [] () and FRU ID 14: [GB300 MaxQ 1CPU:2GPU 12H Board PC] (1760926820400</t>
  </si>
  <si>
    <t>P26401379</t>
  </si>
  <si>
    <t>4/10/2026 6:02:10 AM</t>
  </si>
  <si>
    <t>SR020331264561</t>
  </si>
  <si>
    <t>L11 Unable to power on / PUSH BUTTON NOT FUNCTION</t>
  </si>
  <si>
    <t>P26401435</t>
  </si>
  <si>
    <t>4/10/2026 12:36:27 PM</t>
  </si>
  <si>
    <t>SR020331264160</t>
  </si>
  <si>
    <t>CC0_C2_Lane_17</t>
  </si>
  <si>
    <t>P26401530</t>
  </si>
  <si>
    <t>4/10/2026 4:59:44 PM</t>
  </si>
  <si>
    <t>P26401581</t>
  </si>
  <si>
    <t>4/11/2026 7:07:18 AM</t>
  </si>
  <si>
    <t>4/11/2026</t>
  </si>
  <si>
    <t>A979646X6317955</t>
  </si>
  <si>
    <t>P26401864</t>
  </si>
  <si>
    <t>4/13/2026 8:25:23 PM</t>
  </si>
  <si>
    <t>SR020331262251</t>
  </si>
  <si>
    <t>4/13/2026</t>
  </si>
  <si>
    <t>A979646X6321433</t>
  </si>
  <si>
    <t>A979646X6405658</t>
  </si>
  <si>
    <t>P26401868</t>
  </si>
  <si>
    <t>4/13/2026 8:41:42 PM</t>
  </si>
  <si>
    <t>SR020331262233</t>
  </si>
  <si>
    <t>MT26116022BK</t>
  </si>
  <si>
    <t>P26401870</t>
  </si>
  <si>
    <t>4/13/2026 9:12:55 PM</t>
  </si>
  <si>
    <t>SR020331265606</t>
  </si>
  <si>
    <t>P26401895</t>
  </si>
  <si>
    <t>4/13/2026 9:20:02 PM</t>
  </si>
  <si>
    <t>SR020331267937</t>
  </si>
  <si>
    <t>P26401951</t>
  </si>
  <si>
    <t>4/14/2026 12:42:30 PM</t>
  </si>
  <si>
    <t>4/14/2026</t>
  </si>
  <si>
    <t>Error while invoking api /redfish/v1/Chassis/CBC_3. Error message =&gt; The requested resource of type Chassis named 'CBC_3' was not found</t>
  </si>
  <si>
    <t>P26401952</t>
  </si>
  <si>
    <t>4/14/2026 12:38:27 PM</t>
  </si>
  <si>
    <t>Error while invoking api /redfish/v1/Chassis/CBC_0. Error message =&gt; The requested resource of type Chassis named 'CBC_0' was not found</t>
  </si>
  <si>
    <t>P26402129</t>
  </si>
  <si>
    <t>4/14/2026 8:55:45 PM</t>
  </si>
  <si>
    <t>A979646X6406776</t>
  </si>
  <si>
    <t>P26402133</t>
  </si>
  <si>
    <t>4/14/2026 9:04:11 PM</t>
  </si>
  <si>
    <t>A979646X6304996</t>
  </si>
  <si>
    <t>P26402137</t>
  </si>
  <si>
    <t>4/14/2026 9:08:15 PM</t>
  </si>
  <si>
    <t>P26402146</t>
  </si>
  <si>
    <t>4/14/2026 9:20:35 PM</t>
  </si>
  <si>
    <t>A979646X6406774</t>
  </si>
  <si>
    <t>P26402148</t>
  </si>
  <si>
    <t>4/14/2026 9:48:53 PM</t>
  </si>
  <si>
    <t>SR020331269845</t>
  </si>
  <si>
    <t>A979646X6302430</t>
  </si>
  <si>
    <t>P26402182</t>
  </si>
  <si>
    <t>4/14/2026 10:58:35 PM</t>
  </si>
  <si>
    <t>L11 GPU-NVGB300-12-MAXQ ( 1650726011412 ) missing gpu</t>
  </si>
  <si>
    <t>A979646X6406785</t>
  </si>
  <si>
    <t>A979646X6405684</t>
  </si>
  <si>
    <t>P26402187</t>
  </si>
  <si>
    <t>4/14/2026 11:25:04 PM</t>
  </si>
  <si>
    <t>L11 compute tray IPs cannot be detected from PXE</t>
  </si>
  <si>
    <t>A979646X6406879</t>
  </si>
  <si>
    <t>A979646X6405656</t>
  </si>
  <si>
    <t>P26402192</t>
  </si>
  <si>
    <t>4/15/2026 5:47:24 AM</t>
  </si>
  <si>
    <t>GB200 GPU Burn Test fail</t>
  </si>
  <si>
    <t>4/15/2026</t>
  </si>
  <si>
    <t>L11 GPU Burn Test fail</t>
  </si>
  <si>
    <t>A979646X6323822</t>
  </si>
  <si>
    <t>P26402194</t>
  </si>
  <si>
    <t>4/15/2026 5:53:25 AM</t>
  </si>
  <si>
    <t>A979646X6405665</t>
  </si>
  <si>
    <t>P26402196</t>
  </si>
  <si>
    <t>4/15/2026 6:23:36 AM</t>
  </si>
  <si>
    <t>A979646X6406880</t>
  </si>
  <si>
    <t>P26402201</t>
  </si>
  <si>
    <t>4/15/2026 6:39:36 AM</t>
  </si>
  <si>
    <t>L11 compute tray IP cannot be detected</t>
  </si>
  <si>
    <t>A979646X6406781</t>
  </si>
  <si>
    <t>P26402270</t>
  </si>
  <si>
    <t>4/15/2026 1:04:03 PM</t>
  </si>
  <si>
    <t>PEER (Rack slot 16, CBC 4, 8x10 connector 7</t>
  </si>
  <si>
    <t>MT26116028WU</t>
  </si>
  <si>
    <t>MT26116022BJ</t>
  </si>
  <si>
    <t>P26402271</t>
  </si>
  <si>
    <t>bandwidth out of range @(Rack slot 22, CBC 2, 4x19 connector 2)</t>
  </si>
  <si>
    <t>P26402385</t>
  </si>
  <si>
    <t>4/16/2026 6:14:17 AM</t>
  </si>
  <si>
    <t>4/16/2026</t>
  </si>
  <si>
    <t>A979646X6406881</t>
  </si>
  <si>
    <t>P26402391</t>
  </si>
  <si>
    <t>4/16/2026 8:19:43 AM</t>
  </si>
  <si>
    <t>CC0_C6_Lane_14, link_none,0, 0</t>
  </si>
  <si>
    <t>P26402573</t>
  </si>
  <si>
    <t>4/16/2026 10:35:14 PM</t>
  </si>
  <si>
    <t>http://10.181.56.71/logs/Tesla/2026/April/SR020331269845/16/R-BURN/A979646X6405669/905A08360E5C/Failure-Records-Full.txt</t>
  </si>
  <si>
    <t>A979646X6405687</t>
  </si>
  <si>
    <t>P26402632</t>
  </si>
  <si>
    <t>4/17/2026 10:05:44 AM</t>
  </si>
  <si>
    <t>4/17/2026</t>
  </si>
  <si>
    <t>MT26116016C5</t>
  </si>
  <si>
    <t>MT2611602268</t>
  </si>
  <si>
    <t>P26402692</t>
  </si>
  <si>
    <t>4/17/2026 5:30:24 PM</t>
  </si>
  <si>
    <t>http://10.181.56.71/logs/Tesla/2026/April/SR020331269845/17/R-BURN/A979646X6405669/905A08360E5C/gb300_compute_nvidia_L11_field_diag_summary.log</t>
  </si>
  <si>
    <t>A979646X6405679</t>
  </si>
  <si>
    <t>P26402713</t>
  </si>
  <si>
    <t>4/17/2026 7:51:14 PM</t>
  </si>
  <si>
    <t>SR020331265669</t>
  </si>
  <si>
    <t>http://10.181.56.71/logs/Tesla/2026/April/SR020331265669/17/R-BURN/A979646X6317355/905A0834F292/gb300_cartridge_nvidia_L11_field_diag_summary.log</t>
  </si>
  <si>
    <t>A979646X6324725</t>
  </si>
  <si>
    <t>P26402726</t>
  </si>
  <si>
    <t>4/17/2026 8:20:30 PM</t>
  </si>
  <si>
    <t>http://10.181.56.71/logs/Tesla/2026/April/SR020331265669/17/R-BURN/A979646X6315476/905A083506A1/Failure-Records-Full.txt</t>
  </si>
  <si>
    <t>A979646X6322769</t>
  </si>
  <si>
    <t>P26403055</t>
  </si>
  <si>
    <t>4/21/2026 6:27:38 AM</t>
  </si>
  <si>
    <t>SR020331268326</t>
  </si>
  <si>
    <t>4/21/2026</t>
  </si>
  <si>
    <t>P26403244</t>
  </si>
  <si>
    <t>4/22/2026 6:43:21 AM</t>
  </si>
  <si>
    <t>4/22/2026</t>
  </si>
  <si>
    <t>L11 GPU Missing / NVIDIA server board Product Name mismatch in FRU : [] () and FRU ID 14: [GB300 MaxQ 1CPU:2GPU 12H Board PC] (1650726010751)</t>
  </si>
  <si>
    <t>P26403247</t>
  </si>
  <si>
    <t>4/22/2026 6:47:24 AM</t>
  </si>
  <si>
    <t>L11 GPU Missing / NVIDIA server board Product Name mismatch in FRU ID 14: [GB300 MaxQ 1CPU:2GPU 12H Board PC] (1760726823566) and FRU : [] ()</t>
  </si>
  <si>
    <t>P26403267</t>
  </si>
  <si>
    <t>4/22/2026 12:24:02 PM</t>
  </si>
  <si>
    <t>C15,C16 CBC_2. Error message =&gt; The requested resource of type Chassis named 'CBC_2' was not found.;Update ErrorCode:RK024 To RK216 on 4/22/2026</t>
  </si>
  <si>
    <t>1821026354787C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</si>
</sst>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m/d;@"/>
    <numFmt numFmtId="178" formatCode="m&quot;月&quot;d&quot;日&quot;"/>
    <numFmt numFmtId="179" formatCode="0_);[Red]\(0\)"/>
  </numFmts>
  <fonts count="24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b/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color rgb="FF000000"/>
      <name val="新細明體"/>
      <family val="1"/>
      <charset val="136"/>
      <scheme val="minor"/>
    </font>
    <font>
      <b/>
      <sz val="10"/>
      <color rgb="FF000000"/>
      <name val="新細明體"/>
      <family val="1"/>
      <charset val="136"/>
      <scheme val="minor"/>
    </font>
    <font>
      <b/>
      <sz val="12"/>
      <color theme="1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Gill Sans MT"/>
      <family val="2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ajor"/>
    </font>
    <font>
      <sz val="10"/>
      <color theme="1"/>
      <name val="新細明體"/>
      <family val="1"/>
      <charset val="136"/>
      <scheme val="major"/>
    </font>
    <font>
      <sz val="10"/>
      <color theme="1"/>
      <name val="新細明體"/>
      <family val="2"/>
      <scheme val="minor"/>
    </font>
    <font>
      <sz val="10"/>
      <color rgb="FFFF000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sz val="10"/>
      <name val="新細明體"/>
      <family val="1"/>
      <scheme val="minor"/>
    </font>
    <font>
      <sz val="10"/>
      <name val="新細明體"/>
      <family val="1"/>
      <scheme val="major"/>
    </font>
    <font>
      <sz val="1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66669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666699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4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</cellStyleXfs>
  <cellXfs count="59">
    <xf numFmtId="0" fontId="0" fillId="0" borderId="0" xfId="0"/>
    <xf numFmtId="0" fontId="0" fillId="2" borderId="0" xfId="0" applyFill="1"/>
    <xf numFmtId="177" fontId="0" fillId="4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5" fillId="5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8" fillId="0" borderId="1" xfId="0" applyFont="1" applyBorder="1" applyAlignment="1">
      <alignment horizontal="left" vertical="center" wrapText="1"/>
    </xf>
    <xf numFmtId="0" fontId="12" fillId="0" borderId="0" xfId="6" applyFont="1">
      <alignment vertical="center"/>
    </xf>
    <xf numFmtId="0" fontId="12" fillId="0" borderId="1" xfId="6" applyFont="1" applyBorder="1" applyAlignment="1">
      <alignment horizontal="center" vertical="center"/>
    </xf>
    <xf numFmtId="10" fontId="12" fillId="0" borderId="1" xfId="7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6" applyFont="1" applyFill="1" applyBorder="1" applyAlignment="1">
      <alignment horizontal="center" vertical="center"/>
    </xf>
    <xf numFmtId="0" fontId="10" fillId="6" borderId="1" xfId="6" applyFont="1" applyFill="1" applyBorder="1">
      <alignment vertical="center"/>
    </xf>
    <xf numFmtId="0" fontId="13" fillId="0" borderId="1" xfId="6" applyFont="1" applyBorder="1" applyAlignment="1">
      <alignment horizontal="center" vertical="center"/>
    </xf>
    <xf numFmtId="10" fontId="13" fillId="0" borderId="1" xfId="7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76" fontId="0" fillId="2" borderId="2" xfId="2" applyNumberFormat="1" applyFont="1" applyFill="1" applyBorder="1" applyAlignment="1">
      <alignment horizontal="center" vertical="center"/>
    </xf>
    <xf numFmtId="0" fontId="15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2" fillId="0" borderId="3" xfId="6" applyFont="1" applyBorder="1" applyAlignment="1">
      <alignment horizontal="center" vertical="center"/>
    </xf>
    <xf numFmtId="0" fontId="15" fillId="0" borderId="1" xfId="0" applyFont="1" applyBorder="1" applyAlignment="1">
      <alignment vertical="top"/>
    </xf>
    <xf numFmtId="178" fontId="0" fillId="2" borderId="0" xfId="0" applyNumberFormat="1" applyFill="1"/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/>
    <xf numFmtId="0" fontId="17" fillId="2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6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5" fillId="2" borderId="1" xfId="0" applyFont="1" applyFill="1" applyBorder="1"/>
    <xf numFmtId="9" fontId="13" fillId="0" borderId="1" xfId="2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9" fillId="0" borderId="1" xfId="0" applyFont="1" applyBorder="1"/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/>
    <xf numFmtId="0" fontId="21" fillId="0" borderId="6" xfId="0" applyFont="1" applyBorder="1" applyAlignment="1">
      <alignment horizontal="left" vertical="center" wrapText="1"/>
    </xf>
    <xf numFmtId="0" fontId="22" fillId="0" borderId="1" xfId="0" applyFont="1" applyBorder="1"/>
    <xf numFmtId="0" fontId="18" fillId="0" borderId="10" xfId="0" applyFont="1" applyBorder="1" applyAlignment="1">
      <alignment horizontal="left" vertical="center" wrapText="1"/>
    </xf>
    <xf numFmtId="0" fontId="0" fillId="0" borderId="11" xfId="0" applyBorder="1"/>
    <xf numFmtId="179" fontId="20" fillId="6" borderId="1" xfId="0" applyNumberFormat="1" applyFont="1" applyFill="1" applyBorder="1" applyAlignment="1">
      <alignment horizontal="center" vertical="center" wrapText="1"/>
    </xf>
    <xf numFmtId="179" fontId="21" fillId="0" borderId="1" xfId="0" applyNumberFormat="1" applyFont="1" applyBorder="1"/>
    <xf numFmtId="179" fontId="15" fillId="0" borderId="1" xfId="0" applyNumberFormat="1" applyFont="1" applyBorder="1"/>
    <xf numFmtId="179" fontId="9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/>
    <xf numFmtId="0" fontId="0" fillId="0" borderId="1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0">
    <cellStyle name="Normal 2" xfId="3" xr:uid="{533779CD-7EAD-4363-A500-C915254AD649}"/>
    <cellStyle name="Normal 2 2" xfId="4" xr:uid="{E37CCE2D-84DC-40AD-AAC7-E247EAB3D646}"/>
    <cellStyle name="Normal 2 2 2" xfId="6" xr:uid="{C91D6873-7048-456A-B157-50C797F212E8}"/>
    <cellStyle name="Percent 2" xfId="1" xr:uid="{00000000-0005-0000-0000-000002000000}"/>
    <cellStyle name="Percent 2 2" xfId="5" xr:uid="{551C1AED-07B8-48F5-AAC5-EB0AE6A57B59}"/>
    <cellStyle name="Percent 2 2 2" xfId="7" xr:uid="{73077644-E816-4127-A4F9-63E977B68484}"/>
    <cellStyle name="一般" xfId="0" builtinId="0"/>
    <cellStyle name="一般 2" xfId="8" xr:uid="{655031E3-319B-411B-B7A8-27517F209DBA}"/>
    <cellStyle name="一般 3" xfId="9" xr:uid="{DF41D290-FA5B-4999-A017-E6EE84B1B380}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TI036</a:t>
            </a:r>
            <a:r>
              <a:rPr lang="en-US" baseline="0"/>
              <a:t> </a:t>
            </a:r>
            <a:r>
              <a:rPr lang="en-US"/>
              <a:t>GB300 L11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968379110812"/>
          <c:y val="8.014999147431752E-2"/>
          <c:w val="0.83176819583757067"/>
          <c:h val="0.694278947550741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'TI036 Summary'!$A$4</c:f>
              <c:strCache>
                <c:ptCount val="1"/>
                <c:pt idx="0">
                  <c:v>Pass Q'ty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'TI036 Summary'!$B$2:$BB$2</c:f>
              <c:numCache>
                <c:formatCode>m/d;@</c:formatCode>
                <c:ptCount val="23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  <c:pt idx="20">
                  <c:v>46132</c:v>
                </c:pt>
                <c:pt idx="21">
                  <c:v>46133</c:v>
                </c:pt>
                <c:pt idx="22">
                  <c:v>46134</c:v>
                </c:pt>
              </c:numCache>
            </c:numRef>
          </c:cat>
          <c:val>
            <c:numRef>
              <c:f>'TI036 Summary'!$B$4:$BD$4</c:f>
              <c:numCache>
                <c:formatCode>General</c:formatCode>
                <c:ptCount val="25"/>
                <c:pt idx="0">
                  <c:v>13</c:v>
                </c:pt>
                <c:pt idx="1">
                  <c:v>18</c:v>
                </c:pt>
                <c:pt idx="2">
                  <c:v>13</c:v>
                </c:pt>
                <c:pt idx="3">
                  <c:v>7</c:v>
                </c:pt>
                <c:pt idx="4">
                  <c:v>18</c:v>
                </c:pt>
                <c:pt idx="5">
                  <c:v>16</c:v>
                </c:pt>
                <c:pt idx="6">
                  <c:v>28</c:v>
                </c:pt>
                <c:pt idx="7">
                  <c:v>18</c:v>
                </c:pt>
                <c:pt idx="8">
                  <c:v>19</c:v>
                </c:pt>
                <c:pt idx="9">
                  <c:v>19</c:v>
                </c:pt>
                <c:pt idx="10">
                  <c:v>15</c:v>
                </c:pt>
                <c:pt idx="11">
                  <c:v>50</c:v>
                </c:pt>
                <c:pt idx="12">
                  <c:v>12</c:v>
                </c:pt>
                <c:pt idx="13">
                  <c:v>9</c:v>
                </c:pt>
                <c:pt idx="14">
                  <c:v>14</c:v>
                </c:pt>
                <c:pt idx="15">
                  <c:v>8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1-4DE3-A4CD-B7668668A570}"/>
            </c:ext>
          </c:extLst>
        </c:ser>
        <c:ser>
          <c:idx val="1"/>
          <c:order val="1"/>
          <c:tx>
            <c:strRef>
              <c:f>'TI036 Summary'!$A$5</c:f>
              <c:strCache>
                <c:ptCount val="1"/>
                <c:pt idx="0">
                  <c:v>Running Q'ty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'TI036 Summary'!$B$2:$BB$2</c:f>
              <c:numCache>
                <c:formatCode>m/d;@</c:formatCode>
                <c:ptCount val="23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  <c:pt idx="20">
                  <c:v>46132</c:v>
                </c:pt>
                <c:pt idx="21">
                  <c:v>46133</c:v>
                </c:pt>
                <c:pt idx="22">
                  <c:v>46134</c:v>
                </c:pt>
              </c:numCache>
            </c:numRef>
          </c:cat>
          <c:val>
            <c:numRef>
              <c:f>'TI036 Summary'!$B$5:$BB$5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1-4DE3-A4CD-B7668668A570}"/>
            </c:ext>
          </c:extLst>
        </c:ser>
        <c:ser>
          <c:idx val="2"/>
          <c:order val="2"/>
          <c:tx>
            <c:strRef>
              <c:f>'TI036 Summary'!$A$6</c:f>
              <c:strCache>
                <c:ptCount val="1"/>
                <c:pt idx="0">
                  <c:v>Failed Q'ty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'TI036 Summary'!$B$2:$BB$2</c:f>
              <c:numCache>
                <c:formatCode>m/d;@</c:formatCode>
                <c:ptCount val="23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  <c:pt idx="20">
                  <c:v>46132</c:v>
                </c:pt>
                <c:pt idx="21">
                  <c:v>46133</c:v>
                </c:pt>
                <c:pt idx="22">
                  <c:v>46134</c:v>
                </c:pt>
              </c:numCache>
            </c:numRef>
          </c:cat>
          <c:val>
            <c:numRef>
              <c:f>'TI036 Summary'!$B$6:$BB$6</c:f>
              <c:numCache>
                <c:formatCode>General</c:formatCode>
                <c:ptCount val="23"/>
                <c:pt idx="0">
                  <c:v>19</c:v>
                </c:pt>
                <c:pt idx="1">
                  <c:v>17</c:v>
                </c:pt>
                <c:pt idx="2">
                  <c:v>22</c:v>
                </c:pt>
                <c:pt idx="3">
                  <c:v>29</c:v>
                </c:pt>
                <c:pt idx="4">
                  <c:v>26</c:v>
                </c:pt>
                <c:pt idx="5">
                  <c:v>28</c:v>
                </c:pt>
                <c:pt idx="6">
                  <c:v>29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36</c:v>
                </c:pt>
                <c:pt idx="11">
                  <c:v>32</c:v>
                </c:pt>
                <c:pt idx="12">
                  <c:v>21</c:v>
                </c:pt>
                <c:pt idx="13">
                  <c:v>11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51-4DE3-A4CD-B7668668A5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'TI036 Summary'!$A$9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>
                  <a:alpha val="9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'TI036 Summary'!$B$2:$BC$2</c:f>
              <c:numCache>
                <c:formatCode>m/d;@</c:formatCode>
                <c:ptCount val="24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46119</c:v>
                </c:pt>
                <c:pt idx="12">
                  <c:v>46120</c:v>
                </c:pt>
                <c:pt idx="13">
                  <c:v>46121</c:v>
                </c:pt>
                <c:pt idx="14">
                  <c:v>46122</c:v>
                </c:pt>
                <c:pt idx="15">
                  <c:v>46125</c:v>
                </c:pt>
                <c:pt idx="16">
                  <c:v>46126</c:v>
                </c:pt>
                <c:pt idx="17">
                  <c:v>46127</c:v>
                </c:pt>
                <c:pt idx="18">
                  <c:v>46128</c:v>
                </c:pt>
                <c:pt idx="19">
                  <c:v>46129</c:v>
                </c:pt>
                <c:pt idx="20">
                  <c:v>46132</c:v>
                </c:pt>
                <c:pt idx="21">
                  <c:v>46133</c:v>
                </c:pt>
                <c:pt idx="22">
                  <c:v>46134</c:v>
                </c:pt>
                <c:pt idx="23">
                  <c:v>46135</c:v>
                </c:pt>
              </c:numCache>
            </c:numRef>
          </c:cat>
          <c:val>
            <c:numRef>
              <c:f>'TI036 Summary'!$B$9:$BC$9</c:f>
              <c:numCache>
                <c:formatCode>0.0%</c:formatCode>
                <c:ptCount val="24"/>
                <c:pt idx="0">
                  <c:v>0.40625</c:v>
                </c:pt>
                <c:pt idx="1">
                  <c:v>0.51428571428571423</c:v>
                </c:pt>
                <c:pt idx="2">
                  <c:v>0.37142857142857144</c:v>
                </c:pt>
                <c:pt idx="3">
                  <c:v>0.19444444444444445</c:v>
                </c:pt>
                <c:pt idx="4">
                  <c:v>0.40909090909090912</c:v>
                </c:pt>
                <c:pt idx="5">
                  <c:v>0.36363636363636365</c:v>
                </c:pt>
                <c:pt idx="6">
                  <c:v>0.49122807017543857</c:v>
                </c:pt>
                <c:pt idx="7">
                  <c:v>0.36734693877551022</c:v>
                </c:pt>
                <c:pt idx="8">
                  <c:v>0.38775510204081631</c:v>
                </c:pt>
                <c:pt idx="9">
                  <c:v>0.38</c:v>
                </c:pt>
                <c:pt idx="10">
                  <c:v>0.29411764705882354</c:v>
                </c:pt>
                <c:pt idx="11">
                  <c:v>0.6097560975609756</c:v>
                </c:pt>
                <c:pt idx="12">
                  <c:v>0.36363636363636365</c:v>
                </c:pt>
                <c:pt idx="13">
                  <c:v>0.45</c:v>
                </c:pt>
                <c:pt idx="14">
                  <c:v>0.875</c:v>
                </c:pt>
                <c:pt idx="15">
                  <c:v>0.8</c:v>
                </c:pt>
                <c:pt idx="16">
                  <c:v>0.8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51-4DE3-A4CD-B7668668A5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1"/>
        <c:axPos val="b"/>
        <c:numFmt formatCode="m/d;@" sourceLinked="1"/>
        <c:majorTickMark val="none"/>
        <c:minorTickMark val="none"/>
        <c:tickLblPos val="nextTo"/>
        <c:crossAx val="347444447"/>
        <c:crosses val="autoZero"/>
        <c:auto val="0"/>
        <c:lblAlgn val="ctr"/>
        <c:lblOffset val="100"/>
        <c:noMultiLvlLbl val="1"/>
      </c:catAx>
      <c:valAx>
        <c:axId val="347444447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between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dateAx>
        <c:axId val="1923413775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1923413295"/>
        <c:crosses val="autoZero"/>
        <c:auto val="1"/>
        <c:lblOffset val="100"/>
        <c:baseTimeUnit val="days"/>
        <c:majorUnit val="1"/>
        <c:minorUnit val="1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3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TD004</a:t>
            </a:r>
            <a:r>
              <a:rPr lang="en-US" baseline="0"/>
              <a:t> </a:t>
            </a:r>
            <a:r>
              <a:rPr lang="en-US"/>
              <a:t>GB300 L11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968379110812"/>
          <c:y val="8.014999147431752E-2"/>
          <c:w val="0.83176819583757067"/>
          <c:h val="0.694278947550741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'TD004 Summary'!$A$4</c:f>
              <c:strCache>
                <c:ptCount val="1"/>
                <c:pt idx="0">
                  <c:v>Pass Q'ty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'TD004 Summary'!$B$2:$P$2</c:f>
              <c:numCache>
                <c:formatCode>m/d;@</c:formatCode>
                <c:ptCount val="15"/>
                <c:pt idx="0">
                  <c:v>46104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46119</c:v>
                </c:pt>
                <c:pt idx="11">
                  <c:v>46120</c:v>
                </c:pt>
                <c:pt idx="12">
                  <c:v>46121</c:v>
                </c:pt>
                <c:pt idx="13">
                  <c:v>46122</c:v>
                </c:pt>
                <c:pt idx="14">
                  <c:v>46125</c:v>
                </c:pt>
              </c:numCache>
            </c:numRef>
          </c:cat>
          <c:val>
            <c:numRef>
              <c:f>'TD004 Summary'!$B$4:$P$4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D-4EDC-8BB9-96FF2B65D531}"/>
            </c:ext>
          </c:extLst>
        </c:ser>
        <c:ser>
          <c:idx val="1"/>
          <c:order val="1"/>
          <c:tx>
            <c:strRef>
              <c:f>'TD004 Summary'!$A$5</c:f>
              <c:strCache>
                <c:ptCount val="1"/>
                <c:pt idx="0">
                  <c:v>Running Q'ty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Ref>
              <c:f>'TD004 Summary'!$B$2:$P$2</c:f>
              <c:numCache>
                <c:formatCode>m/d;@</c:formatCode>
                <c:ptCount val="15"/>
                <c:pt idx="0">
                  <c:v>46104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46119</c:v>
                </c:pt>
                <c:pt idx="11">
                  <c:v>46120</c:v>
                </c:pt>
                <c:pt idx="12">
                  <c:v>46121</c:v>
                </c:pt>
                <c:pt idx="13">
                  <c:v>46122</c:v>
                </c:pt>
                <c:pt idx="14">
                  <c:v>46125</c:v>
                </c:pt>
              </c:numCache>
            </c:numRef>
          </c:cat>
          <c:val>
            <c:numRef>
              <c:f>'TD004 Summary'!$B$5:$AB$5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D-4EDC-8BB9-96FF2B65D531}"/>
            </c:ext>
          </c:extLst>
        </c:ser>
        <c:ser>
          <c:idx val="2"/>
          <c:order val="2"/>
          <c:tx>
            <c:strRef>
              <c:f>'TD004 Summary'!$A$6</c:f>
              <c:strCache>
                <c:ptCount val="1"/>
                <c:pt idx="0">
                  <c:v>Failed Q'ty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'TD004 Summary'!$B$2:$P$2</c:f>
              <c:numCache>
                <c:formatCode>m/d;@</c:formatCode>
                <c:ptCount val="15"/>
                <c:pt idx="0">
                  <c:v>46104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46119</c:v>
                </c:pt>
                <c:pt idx="11">
                  <c:v>46120</c:v>
                </c:pt>
                <c:pt idx="12">
                  <c:v>46121</c:v>
                </c:pt>
                <c:pt idx="13">
                  <c:v>46122</c:v>
                </c:pt>
                <c:pt idx="14">
                  <c:v>46125</c:v>
                </c:pt>
              </c:numCache>
            </c:numRef>
          </c:cat>
          <c:val>
            <c:numRef>
              <c:f>'TD004 Summary'!$B$6:$AB$6</c:f>
              <c:numCache>
                <c:formatCode>General</c:formatCode>
                <c:ptCount val="15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1D-4EDC-8BB9-96FF2B65D5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'TD004 Summary'!$A$9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>
                  <a:alpha val="9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'TD004 Summary'!$B$2:$AB$2</c:f>
              <c:numCache>
                <c:formatCode>m/d;@</c:formatCode>
                <c:ptCount val="15"/>
                <c:pt idx="0">
                  <c:v>46104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46119</c:v>
                </c:pt>
                <c:pt idx="11">
                  <c:v>46120</c:v>
                </c:pt>
                <c:pt idx="12">
                  <c:v>46121</c:v>
                </c:pt>
                <c:pt idx="13">
                  <c:v>46122</c:v>
                </c:pt>
                <c:pt idx="14">
                  <c:v>46125</c:v>
                </c:pt>
              </c:numCache>
            </c:numRef>
          </c:cat>
          <c:val>
            <c:numRef>
              <c:f>'TD004 Summary'!$B$9:$AC$9</c:f>
              <c:numCache>
                <c:formatCode>0.0%</c:formatCode>
                <c:ptCount val="15"/>
                <c:pt idx="0">
                  <c:v>0</c:v>
                </c:pt>
                <c:pt idx="1">
                  <c:v>0.14285714285714285</c:v>
                </c:pt>
                <c:pt idx="2">
                  <c:v>0</c:v>
                </c:pt>
                <c:pt idx="3">
                  <c:v>0</c:v>
                </c:pt>
                <c:pt idx="4">
                  <c:v>0.83333333333333337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1D-4EDC-8BB9-96FF2B65D5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1"/>
        <c:axPos val="b"/>
        <c:numFmt formatCode="m/d;@" sourceLinked="1"/>
        <c:majorTickMark val="none"/>
        <c:minorTickMark val="none"/>
        <c:tickLblPos val="nextTo"/>
        <c:crossAx val="347444447"/>
        <c:crosses val="autoZero"/>
        <c:auto val="0"/>
        <c:lblAlgn val="ctr"/>
        <c:lblOffset val="100"/>
        <c:noMultiLvlLbl val="1"/>
      </c:catAx>
      <c:valAx>
        <c:axId val="34744444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between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dateAx>
        <c:axId val="1923413775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1923413295"/>
        <c:crosses val="autoZero"/>
        <c:auto val="1"/>
        <c:lblOffset val="100"/>
        <c:baseTimeUnit val="days"/>
        <c:majorUnit val="1"/>
        <c:minorUnit val="1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3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FG001</a:t>
            </a:r>
            <a:r>
              <a:rPr lang="en-US" baseline="0"/>
              <a:t> </a:t>
            </a:r>
            <a:r>
              <a:rPr lang="en-US"/>
              <a:t>GB300 L11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968379110812"/>
          <c:y val="8.014999147431752E-2"/>
          <c:w val="0.83176819583757067"/>
          <c:h val="0.694278947550741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'FG001 Summary'!$A$4</c:f>
              <c:strCache>
                <c:ptCount val="1"/>
                <c:pt idx="0">
                  <c:v>Pass Q'ty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'FG001 Summary'!$B$2:$BB$2</c:f>
              <c:numCache>
                <c:formatCode>m/d;@</c:formatCode>
                <c:ptCount val="14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46090</c:v>
                </c:pt>
                <c:pt idx="13">
                  <c:v>46091</c:v>
                </c:pt>
              </c:numCache>
            </c:numRef>
          </c:cat>
          <c:val>
            <c:numRef>
              <c:f>'FG001 Summary'!$B$4:$BB$4</c:f>
              <c:numCache>
                <c:formatCode>General</c:formatCode>
                <c:ptCount val="14"/>
                <c:pt idx="0">
                  <c:v>6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4-4273-9C20-049C08E2A38C}"/>
            </c:ext>
          </c:extLst>
        </c:ser>
        <c:ser>
          <c:idx val="1"/>
          <c:order val="1"/>
          <c:tx>
            <c:strRef>
              <c:f>'FG001 Summary'!$A$5</c:f>
              <c:strCache>
                <c:ptCount val="1"/>
                <c:pt idx="0">
                  <c:v>Running Q'ty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'FG001 Summary'!$B$2:$BB$2</c:f>
              <c:numCache>
                <c:formatCode>m/d;@</c:formatCode>
                <c:ptCount val="14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46090</c:v>
                </c:pt>
                <c:pt idx="13">
                  <c:v>46091</c:v>
                </c:pt>
              </c:numCache>
            </c:numRef>
          </c:cat>
          <c:val>
            <c:numRef>
              <c:f>'FG001 Summary'!$B$5:$BB$5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4-4273-9C20-049C08E2A38C}"/>
            </c:ext>
          </c:extLst>
        </c:ser>
        <c:ser>
          <c:idx val="2"/>
          <c:order val="2"/>
          <c:tx>
            <c:strRef>
              <c:f>'FG001 Summary'!$A$6</c:f>
              <c:strCache>
                <c:ptCount val="1"/>
                <c:pt idx="0">
                  <c:v>Failed Q'ty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'FG001 Summary'!$B$2:$BB$2</c:f>
              <c:numCache>
                <c:formatCode>m/d;@</c:formatCode>
                <c:ptCount val="14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46090</c:v>
                </c:pt>
                <c:pt idx="13">
                  <c:v>46091</c:v>
                </c:pt>
              </c:numCache>
            </c:numRef>
          </c:cat>
          <c:val>
            <c:numRef>
              <c:f>'FG001 Summary'!$B$6:$BB$6</c:f>
              <c:numCache>
                <c:formatCode>General</c:formatCode>
                <c:ptCount val="14"/>
                <c:pt idx="0">
                  <c:v>9</c:v>
                </c:pt>
                <c:pt idx="1">
                  <c:v>18</c:v>
                </c:pt>
                <c:pt idx="2">
                  <c:v>20</c:v>
                </c:pt>
                <c:pt idx="3">
                  <c:v>12</c:v>
                </c:pt>
                <c:pt idx="4">
                  <c:v>12</c:v>
                </c:pt>
                <c:pt idx="5">
                  <c:v>7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94-4273-9C20-049C08E2A3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'FG001 Summary'!$A$8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>
                  <a:alpha val="9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244865794246445E-2"/>
                  <c:y val="4.2696516981242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D8-43C2-BE89-A0E0022CC9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'FG001 Summary'!$B$2:$BB$2</c:f>
              <c:numCache>
                <c:formatCode>m/d;@</c:formatCode>
                <c:ptCount val="14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46090</c:v>
                </c:pt>
                <c:pt idx="13">
                  <c:v>46091</c:v>
                </c:pt>
              </c:numCache>
            </c:numRef>
          </c:cat>
          <c:val>
            <c:numRef>
              <c:f>'FG001 Summary'!$B$8:$AJ$8</c:f>
              <c:numCache>
                <c:formatCode>0.0%</c:formatCode>
                <c:ptCount val="13"/>
                <c:pt idx="0">
                  <c:v>0.4</c:v>
                </c:pt>
                <c:pt idx="1">
                  <c:v>0.18181818181818182</c:v>
                </c:pt>
                <c:pt idx="2">
                  <c:v>0.2857142857142857</c:v>
                </c:pt>
                <c:pt idx="3">
                  <c:v>0.47826086956521741</c:v>
                </c:pt>
                <c:pt idx="4">
                  <c:v>0.29411764705882354</c:v>
                </c:pt>
                <c:pt idx="5">
                  <c:v>0.46153846153846156</c:v>
                </c:pt>
                <c:pt idx="6">
                  <c:v>0.14285714285714285</c:v>
                </c:pt>
                <c:pt idx="7">
                  <c:v>0.125</c:v>
                </c:pt>
                <c:pt idx="8">
                  <c:v>0.2857142857142857</c:v>
                </c:pt>
                <c:pt idx="9">
                  <c:v>0.2857142857142857</c:v>
                </c:pt>
                <c:pt idx="10">
                  <c:v>0.5714285714285714</c:v>
                </c:pt>
                <c:pt idx="11">
                  <c:v>0.25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94-4273-9C20-049C08E2A3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1"/>
        <c:axPos val="b"/>
        <c:numFmt formatCode="m/d;@" sourceLinked="1"/>
        <c:majorTickMark val="none"/>
        <c:minorTickMark val="none"/>
        <c:tickLblPos val="nextTo"/>
        <c:crossAx val="347444447"/>
        <c:crosses val="autoZero"/>
        <c:auto val="0"/>
        <c:lblAlgn val="ctr"/>
        <c:lblOffset val="100"/>
        <c:noMultiLvlLbl val="1"/>
      </c:catAx>
      <c:valAx>
        <c:axId val="34744444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between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dateAx>
        <c:axId val="1923413775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1923413295"/>
        <c:crosses val="autoZero"/>
        <c:auto val="1"/>
        <c:lblOffset val="100"/>
        <c:baseTimeUnit val="days"/>
        <c:majorUnit val="1"/>
        <c:minorUnit val="1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3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MA023</a:t>
            </a:r>
            <a:r>
              <a:rPr lang="en-US" baseline="0"/>
              <a:t> </a:t>
            </a:r>
            <a:r>
              <a:rPr lang="en-US"/>
              <a:t>GB300 L11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968379110812"/>
          <c:y val="8.014999147431752E-2"/>
          <c:w val="0.83176819583757067"/>
          <c:h val="0.694278947550741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'MA023 Summary '!$A$4</c:f>
              <c:strCache>
                <c:ptCount val="1"/>
                <c:pt idx="0">
                  <c:v>Pass Q'ty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'MA023 Summary '!$B$2:$BD$2</c:f>
              <c:strCache>
                <c:ptCount val="13"/>
                <c:pt idx="0">
                  <c:v>1/9</c:v>
                </c:pt>
                <c:pt idx="1">
                  <c:v>2026/1/10-1/11</c:v>
                </c:pt>
                <c:pt idx="2">
                  <c:v>1/12</c:v>
                </c:pt>
                <c:pt idx="3">
                  <c:v>1/13</c:v>
                </c:pt>
                <c:pt idx="4">
                  <c:v>1/14</c:v>
                </c:pt>
                <c:pt idx="5">
                  <c:v>1/15</c:v>
                </c:pt>
                <c:pt idx="6">
                  <c:v>1/16</c:v>
                </c:pt>
                <c:pt idx="7">
                  <c:v>1/17</c:v>
                </c:pt>
                <c:pt idx="8">
                  <c:v>1/19</c:v>
                </c:pt>
                <c:pt idx="9">
                  <c:v>1/20</c:v>
                </c:pt>
                <c:pt idx="10">
                  <c:v>1/21</c:v>
                </c:pt>
                <c:pt idx="11">
                  <c:v>1/22</c:v>
                </c:pt>
                <c:pt idx="12">
                  <c:v>1/23</c:v>
                </c:pt>
              </c:strCache>
            </c:strRef>
          </c:cat>
          <c:val>
            <c:numRef>
              <c:f>'MA023 Summary '!$B$4:$BD$4</c:f>
              <c:numCache>
                <c:formatCode>General</c:formatCode>
                <c:ptCount val="13"/>
                <c:pt idx="0">
                  <c:v>5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12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8-421B-80C3-0A47F437AE62}"/>
            </c:ext>
          </c:extLst>
        </c:ser>
        <c:ser>
          <c:idx val="1"/>
          <c:order val="1"/>
          <c:tx>
            <c:strRef>
              <c:f>'MA023 Summary '!$A$5</c:f>
              <c:strCache>
                <c:ptCount val="1"/>
                <c:pt idx="0">
                  <c:v>Running Q'ty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'MA023 Summary '!$B$2:$BD$2</c:f>
              <c:strCache>
                <c:ptCount val="13"/>
                <c:pt idx="0">
                  <c:v>1/9</c:v>
                </c:pt>
                <c:pt idx="1">
                  <c:v>2026/1/10-1/11</c:v>
                </c:pt>
                <c:pt idx="2">
                  <c:v>1/12</c:v>
                </c:pt>
                <c:pt idx="3">
                  <c:v>1/13</c:v>
                </c:pt>
                <c:pt idx="4">
                  <c:v>1/14</c:v>
                </c:pt>
                <c:pt idx="5">
                  <c:v>1/15</c:v>
                </c:pt>
                <c:pt idx="6">
                  <c:v>1/16</c:v>
                </c:pt>
                <c:pt idx="7">
                  <c:v>1/17</c:v>
                </c:pt>
                <c:pt idx="8">
                  <c:v>1/19</c:v>
                </c:pt>
                <c:pt idx="9">
                  <c:v>1/20</c:v>
                </c:pt>
                <c:pt idx="10">
                  <c:v>1/21</c:v>
                </c:pt>
                <c:pt idx="11">
                  <c:v>1/22</c:v>
                </c:pt>
                <c:pt idx="12">
                  <c:v>1/23</c:v>
                </c:pt>
              </c:strCache>
            </c:strRef>
          </c:cat>
          <c:val>
            <c:numRef>
              <c:f>'MA023 Summary '!$B$5:$BD$5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8-421B-80C3-0A47F437AE62}"/>
            </c:ext>
          </c:extLst>
        </c:ser>
        <c:ser>
          <c:idx val="2"/>
          <c:order val="2"/>
          <c:tx>
            <c:strRef>
              <c:f>'MA023 Summary '!$A$6</c:f>
              <c:strCache>
                <c:ptCount val="1"/>
                <c:pt idx="0">
                  <c:v>Failed Q'ty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'MA023 Summary '!$B$2:$BD$2</c:f>
              <c:strCache>
                <c:ptCount val="13"/>
                <c:pt idx="0">
                  <c:v>1/9</c:v>
                </c:pt>
                <c:pt idx="1">
                  <c:v>2026/1/10-1/11</c:v>
                </c:pt>
                <c:pt idx="2">
                  <c:v>1/12</c:v>
                </c:pt>
                <c:pt idx="3">
                  <c:v>1/13</c:v>
                </c:pt>
                <c:pt idx="4">
                  <c:v>1/14</c:v>
                </c:pt>
                <c:pt idx="5">
                  <c:v>1/15</c:v>
                </c:pt>
                <c:pt idx="6">
                  <c:v>1/16</c:v>
                </c:pt>
                <c:pt idx="7">
                  <c:v>1/17</c:v>
                </c:pt>
                <c:pt idx="8">
                  <c:v>1/19</c:v>
                </c:pt>
                <c:pt idx="9">
                  <c:v>1/20</c:v>
                </c:pt>
                <c:pt idx="10">
                  <c:v>1/21</c:v>
                </c:pt>
                <c:pt idx="11">
                  <c:v>1/22</c:v>
                </c:pt>
                <c:pt idx="12">
                  <c:v>1/23</c:v>
                </c:pt>
              </c:strCache>
            </c:strRef>
          </c:cat>
          <c:val>
            <c:numRef>
              <c:f>'MA023 Summary '!$B$6:$BD$6</c:f>
              <c:numCache>
                <c:formatCode>General</c:formatCode>
                <c:ptCount val="13"/>
                <c:pt idx="0">
                  <c:v>12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58-421B-80C3-0A47F437AE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'MA023 Summary '!$A$8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>
                  <a:alpha val="9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'MA023 Summary '!$B$2:$BD$2</c:f>
              <c:strCache>
                <c:ptCount val="13"/>
                <c:pt idx="0">
                  <c:v>1/9</c:v>
                </c:pt>
                <c:pt idx="1">
                  <c:v>2026/1/10-1/11</c:v>
                </c:pt>
                <c:pt idx="2">
                  <c:v>1/12</c:v>
                </c:pt>
                <c:pt idx="3">
                  <c:v>1/13</c:v>
                </c:pt>
                <c:pt idx="4">
                  <c:v>1/14</c:v>
                </c:pt>
                <c:pt idx="5">
                  <c:v>1/15</c:v>
                </c:pt>
                <c:pt idx="6">
                  <c:v>1/16</c:v>
                </c:pt>
                <c:pt idx="7">
                  <c:v>1/17</c:v>
                </c:pt>
                <c:pt idx="8">
                  <c:v>1/19</c:v>
                </c:pt>
                <c:pt idx="9">
                  <c:v>1/20</c:v>
                </c:pt>
                <c:pt idx="10">
                  <c:v>1/21</c:v>
                </c:pt>
                <c:pt idx="11">
                  <c:v>1/22</c:v>
                </c:pt>
                <c:pt idx="12">
                  <c:v>1/23</c:v>
                </c:pt>
              </c:strCache>
            </c:strRef>
          </c:cat>
          <c:val>
            <c:numRef>
              <c:f>'MA023 Summary '!$B$8:$BD$8</c:f>
              <c:numCache>
                <c:formatCode>0.0%</c:formatCode>
                <c:ptCount val="13"/>
                <c:pt idx="0">
                  <c:v>0.29411764705882354</c:v>
                </c:pt>
                <c:pt idx="1">
                  <c:v>0.55000000000000004</c:v>
                </c:pt>
                <c:pt idx="2">
                  <c:v>0.5</c:v>
                </c:pt>
                <c:pt idx="3">
                  <c:v>0.42105263157894735</c:v>
                </c:pt>
                <c:pt idx="4">
                  <c:v>0.70588235294117652</c:v>
                </c:pt>
                <c:pt idx="5">
                  <c:v>0.625</c:v>
                </c:pt>
                <c:pt idx="6">
                  <c:v>0.2</c:v>
                </c:pt>
                <c:pt idx="7">
                  <c:v>0.5714285714285714</c:v>
                </c:pt>
                <c:pt idx="8">
                  <c:v>0.6</c:v>
                </c:pt>
                <c:pt idx="9">
                  <c:v>0.5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58-421B-80C3-0A47F437AE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444447"/>
        <c:crosses val="autoZero"/>
        <c:auto val="1"/>
        <c:lblAlgn val="ctr"/>
        <c:lblOffset val="100"/>
        <c:noMultiLvlLbl val="1"/>
      </c:catAx>
      <c:valAx>
        <c:axId val="347444447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between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catAx>
        <c:axId val="192341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3413295"/>
        <c:crosses val="autoZero"/>
        <c:auto val="1"/>
        <c:lblAlgn val="ctr"/>
        <c:lblOffset val="100"/>
        <c:tickLblSkip val="1"/>
        <c:tickMarkSkip val="1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3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kern="1200" baseline="0">
                <a:solidFill>
                  <a:sysClr val="windowText" lastClr="000000"/>
                </a:solidFill>
              </a:rPr>
              <a:t>TW008 GB300 L11 Daily Testing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'xAI_TW008 Summary'!$A$4</c:f>
              <c:strCache>
                <c:ptCount val="1"/>
                <c:pt idx="0">
                  <c:v>Pass Q'ty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'xAI_TW008 Summary'!$B$2:$BP$2</c:f>
              <c:numCache>
                <c:formatCode>m/d;@</c:formatCode>
                <c:ptCount val="16"/>
                <c:pt idx="0">
                  <c:v>46011</c:v>
                </c:pt>
                <c:pt idx="1">
                  <c:v>46012</c:v>
                </c:pt>
                <c:pt idx="2">
                  <c:v>46013</c:v>
                </c:pt>
                <c:pt idx="3">
                  <c:v>46014</c:v>
                </c:pt>
                <c:pt idx="4">
                  <c:v>46015</c:v>
                </c:pt>
                <c:pt idx="5">
                  <c:v>46016</c:v>
                </c:pt>
                <c:pt idx="6">
                  <c:v>46017</c:v>
                </c:pt>
                <c:pt idx="7">
                  <c:v>46018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</c:numCache>
            </c:numRef>
          </c:cat>
          <c:val>
            <c:numRef>
              <c:f>'xAI_TW008 Summary'!$B$4:$BN$4</c:f>
              <c:numCache>
                <c:formatCode>General</c:formatCode>
                <c:ptCount val="14"/>
                <c:pt idx="0">
                  <c:v>16</c:v>
                </c:pt>
                <c:pt idx="1">
                  <c:v>14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15</c:v>
                </c:pt>
                <c:pt idx="6">
                  <c:v>15</c:v>
                </c:pt>
                <c:pt idx="7">
                  <c:v>10</c:v>
                </c:pt>
                <c:pt idx="8">
                  <c:v>11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2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E0-4892-8D48-3AE0C0036171}"/>
            </c:ext>
          </c:extLst>
        </c:ser>
        <c:ser>
          <c:idx val="1"/>
          <c:order val="1"/>
          <c:tx>
            <c:strRef>
              <c:f>'xAI_TW008 Summary'!$A$5</c:f>
              <c:strCache>
                <c:ptCount val="1"/>
                <c:pt idx="0">
                  <c:v>Running Q'ty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'xAI_TW008 Summary'!$B$2:$BP$2</c:f>
              <c:numCache>
                <c:formatCode>m/d;@</c:formatCode>
                <c:ptCount val="16"/>
                <c:pt idx="0">
                  <c:v>46011</c:v>
                </c:pt>
                <c:pt idx="1">
                  <c:v>46012</c:v>
                </c:pt>
                <c:pt idx="2">
                  <c:v>46013</c:v>
                </c:pt>
                <c:pt idx="3">
                  <c:v>46014</c:v>
                </c:pt>
                <c:pt idx="4">
                  <c:v>46015</c:v>
                </c:pt>
                <c:pt idx="5">
                  <c:v>46016</c:v>
                </c:pt>
                <c:pt idx="6">
                  <c:v>46017</c:v>
                </c:pt>
                <c:pt idx="7">
                  <c:v>46018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</c:numCache>
            </c:numRef>
          </c:cat>
          <c:val>
            <c:numRef>
              <c:f>'xAI_TW008 Summary'!$B$5:$BP$5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E0-4892-8D48-3AE0C0036171}"/>
            </c:ext>
          </c:extLst>
        </c:ser>
        <c:ser>
          <c:idx val="2"/>
          <c:order val="2"/>
          <c:tx>
            <c:strRef>
              <c:f>'xAI_TW008 Summary'!$A$6</c:f>
              <c:strCache>
                <c:ptCount val="1"/>
                <c:pt idx="0">
                  <c:v>Failed Q'ty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'xAI_TW008 Summary'!$B$2:$BP$2</c:f>
              <c:numCache>
                <c:formatCode>m/d;@</c:formatCode>
                <c:ptCount val="16"/>
                <c:pt idx="0">
                  <c:v>46011</c:v>
                </c:pt>
                <c:pt idx="1">
                  <c:v>46012</c:v>
                </c:pt>
                <c:pt idx="2">
                  <c:v>46013</c:v>
                </c:pt>
                <c:pt idx="3">
                  <c:v>46014</c:v>
                </c:pt>
                <c:pt idx="4">
                  <c:v>46015</c:v>
                </c:pt>
                <c:pt idx="5">
                  <c:v>46016</c:v>
                </c:pt>
                <c:pt idx="6">
                  <c:v>46017</c:v>
                </c:pt>
                <c:pt idx="7">
                  <c:v>46018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</c:numCache>
            </c:numRef>
          </c:cat>
          <c:val>
            <c:numRef>
              <c:f>'xAI_TW008 Summary'!$B$6:$BP$6</c:f>
              <c:numCache>
                <c:formatCode>General</c:formatCode>
                <c:ptCount val="16"/>
                <c:pt idx="0">
                  <c:v>43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33</c:v>
                </c:pt>
                <c:pt idx="6">
                  <c:v>21</c:v>
                </c:pt>
                <c:pt idx="7">
                  <c:v>16</c:v>
                </c:pt>
                <c:pt idx="8">
                  <c:v>12</c:v>
                </c:pt>
                <c:pt idx="9">
                  <c:v>10</c:v>
                </c:pt>
                <c:pt idx="10">
                  <c:v>9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E0-4892-8D48-3AE0C00361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47443967"/>
        <c:axId val="347444447"/>
      </c:barChart>
      <c:lineChart>
        <c:grouping val="standard"/>
        <c:varyColors val="0"/>
        <c:ser>
          <c:idx val="3"/>
          <c:order val="3"/>
          <c:tx>
            <c:strRef>
              <c:f>'xAI_TW008 Summary'!$A$8</c:f>
              <c:strCache>
                <c:ptCount val="1"/>
                <c:pt idx="0">
                  <c:v>Yield Rate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5">
                  <a:alpha val="9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'xAI_TW008 Summary'!$B$2:$BP$2</c:f>
              <c:numCache>
                <c:formatCode>m/d;@</c:formatCode>
                <c:ptCount val="16"/>
                <c:pt idx="0">
                  <c:v>46011</c:v>
                </c:pt>
                <c:pt idx="1">
                  <c:v>46012</c:v>
                </c:pt>
                <c:pt idx="2">
                  <c:v>46013</c:v>
                </c:pt>
                <c:pt idx="3">
                  <c:v>46014</c:v>
                </c:pt>
                <c:pt idx="4">
                  <c:v>46015</c:v>
                </c:pt>
                <c:pt idx="5">
                  <c:v>46016</c:v>
                </c:pt>
                <c:pt idx="6">
                  <c:v>46017</c:v>
                </c:pt>
                <c:pt idx="7">
                  <c:v>46018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</c:numCache>
            </c:numRef>
          </c:cat>
          <c:val>
            <c:numRef>
              <c:f>'xAI_TW008 Summary'!$B$8:$BP$8</c:f>
              <c:numCache>
                <c:formatCode>0.0%</c:formatCode>
                <c:ptCount val="16"/>
                <c:pt idx="0">
                  <c:v>0.2711864406779661</c:v>
                </c:pt>
                <c:pt idx="1">
                  <c:v>0.2857142857142857</c:v>
                </c:pt>
                <c:pt idx="2">
                  <c:v>0.33333333333333331</c:v>
                </c:pt>
                <c:pt idx="3">
                  <c:v>0.32692307692307693</c:v>
                </c:pt>
                <c:pt idx="4">
                  <c:v>0.32075471698113206</c:v>
                </c:pt>
                <c:pt idx="5">
                  <c:v>0.3125</c:v>
                </c:pt>
                <c:pt idx="6">
                  <c:v>0.41666666666666669</c:v>
                </c:pt>
                <c:pt idx="7">
                  <c:v>0.38461538461538464</c:v>
                </c:pt>
                <c:pt idx="8">
                  <c:v>0.47826086956521741</c:v>
                </c:pt>
                <c:pt idx="9">
                  <c:v>0.33333333333333331</c:v>
                </c:pt>
                <c:pt idx="10">
                  <c:v>0.25</c:v>
                </c:pt>
                <c:pt idx="11">
                  <c:v>0.5</c:v>
                </c:pt>
                <c:pt idx="12">
                  <c:v>0.2857142857142857</c:v>
                </c:pt>
                <c:pt idx="13">
                  <c:v>0.5</c:v>
                </c:pt>
                <c:pt idx="14">
                  <c:v>0.2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E0-4892-8D48-3AE0C00361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3413775"/>
        <c:axId val="1923413295"/>
      </c:lineChart>
      <c:catAx>
        <c:axId val="347443967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444447"/>
        <c:crosses val="autoZero"/>
        <c:auto val="0"/>
        <c:lblAlgn val="ctr"/>
        <c:lblOffset val="100"/>
        <c:noMultiLvlLbl val="1"/>
      </c:catAx>
      <c:valAx>
        <c:axId val="34744444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Q'ty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43967"/>
        <c:crosses val="autoZero"/>
        <c:crossBetween val="between"/>
      </c:valAx>
      <c:valAx>
        <c:axId val="1923413295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3775"/>
        <c:crosses val="max"/>
        <c:crossBetween val="between"/>
      </c:valAx>
      <c:dateAx>
        <c:axId val="1923413775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1923413295"/>
        <c:crosses val="autoZero"/>
        <c:auto val="1"/>
        <c:lblOffset val="100"/>
        <c:baseTimeUnit val="days"/>
        <c:majorUnit val="1"/>
        <c:minorUnit val="1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3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TD004 GB300 Replace Component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rtl="0"/>
          <a:r>
            <a:rPr kumimoji="0" lang="en-US" sz="1400" b="1" i="0" u="none" strike="noStrike" kern="1200" cap="none" spc="0" normalizeH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新細明體" panose="02020500000000000000" pitchFamily="18" charset="-120"/>
              <a:cs typeface="+mn-cs"/>
            </a:rPr>
            <a:t>TD004 GB300 Replace Component</a:t>
          </a:r>
        </a:p>
      </cx:txPr>
    </cx:title>
    <cx:plotArea>
      <cx:plotAreaRegion>
        <cx:series layoutId="clusteredColumn" uniqueId="{F3E04F9F-FB89-4414-9521-86A46E140BBF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/>
                </a:pPr>
                <a:endPara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411E1A5-8904-41A8-9476-71A8F6CD8D88}">
          <cx:axisId val="2"/>
        </cx:series>
      </cx:plotAreaRegion>
      <cx:axis id="0">
        <cx:catScaling gapWidth="0"/>
        <cx:tickLabels/>
      </cx:axis>
      <cx:axis id="1">
        <cx:valScaling max="5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TW" alt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txPr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TI036 GB300 Replace Component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rtl="0"/>
          <a:r>
            <a:rPr kumimoji="0" lang="en-US" sz="1400" b="1" i="0" u="none" strike="noStrike" kern="1200" cap="none" spc="0" normalizeH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新細明體" panose="02020500000000000000" pitchFamily="18" charset="-120"/>
              <a:cs typeface="+mn-cs"/>
            </a:rPr>
            <a:t>TI036 GB300 Replace Component</a:t>
          </a:r>
        </a:p>
      </cx:txPr>
    </cx:title>
    <cx:plotArea>
      <cx:plotAreaRegion>
        <cx:series layoutId="clusteredColumn" uniqueId="{F3E04F9F-FB89-4414-9521-86A46E140BBF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/>
                </a:pPr>
                <a:endPara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411E1A5-8904-41A8-9476-71A8F6CD8D88}">
          <cx:axisId val="2"/>
        </cx:series>
      </cx:plotAreaRegion>
      <cx:axis id="0">
        <cx:catScaling gapWidth="0"/>
        <cx:tickLabels/>
      </cx:axis>
      <cx:axis id="1">
        <cx:valScaling max="35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TW" alt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txPr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TD004 GB300 Replace Component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rtl="0"/>
          <a:r>
            <a:rPr kumimoji="0" lang="en-US" sz="1400" b="1" i="0" u="none" strike="noStrike" kern="1200" cap="none" spc="0" normalizeH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新細明體" panose="02020500000000000000" pitchFamily="18" charset="-120"/>
              <a:cs typeface="+mn-cs"/>
            </a:rPr>
            <a:t>TD004 GB300 Replace Component</a:t>
          </a:r>
        </a:p>
      </cx:txPr>
    </cx:title>
    <cx:plotArea>
      <cx:plotAreaRegion>
        <cx:series layoutId="clusteredColumn" uniqueId="{F3E04F9F-FB89-4414-9521-86A46E140BBF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/>
                </a:pPr>
                <a:endPara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411E1A5-8904-41A8-9476-71A8F6CD8D88}">
          <cx:axisId val="2"/>
        </cx:series>
      </cx:plotAreaRegion>
      <cx:axis id="0">
        <cx:catScaling gapWidth="0"/>
        <cx:tickLabels/>
      </cx:axis>
      <cx:axis id="1">
        <cx:valScaling max="10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zh-TW" alt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txPr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77544</xdr:rowOff>
    </xdr:from>
    <xdr:to>
      <xdr:col>63</xdr:col>
      <xdr:colOff>76200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2DCD70-FFA4-43E4-8DAB-D2A581A09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237066</xdr:colOff>
      <xdr:row>0</xdr:row>
      <xdr:rowOff>93132</xdr:rowOff>
    </xdr:from>
    <xdr:to>
      <xdr:col>22</xdr:col>
      <xdr:colOff>127000</xdr:colOff>
      <xdr:row>24</xdr:row>
      <xdr:rowOff>152398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3">
              <a:extLst>
                <a:ext uri="{FF2B5EF4-FFF2-40B4-BE49-F238E27FC236}">
                  <a16:creationId xmlns:a16="http://schemas.microsoft.com/office/drawing/2014/main" id="{6BE1CD29-7649-43B4-A98C-E4CA4FEFEB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1166" y="93132"/>
              <a:ext cx="11662834" cy="54504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4</xdr:col>
      <xdr:colOff>228600</xdr:colOff>
      <xdr:row>30</xdr:row>
      <xdr:rowOff>110067</xdr:rowOff>
    </xdr:from>
    <xdr:to>
      <xdr:col>16</xdr:col>
      <xdr:colOff>474134</xdr:colOff>
      <xdr:row>54</xdr:row>
      <xdr:rowOff>169333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3">
              <a:extLst>
                <a:ext uri="{FF2B5EF4-FFF2-40B4-BE49-F238E27FC236}">
                  <a16:creationId xmlns:a16="http://schemas.microsoft.com/office/drawing/2014/main" id="{A35F1FE2-99B8-4364-A127-8562E51EA0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2700" y="6796617"/>
              <a:ext cx="8627534" cy="5469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4</xdr:col>
      <xdr:colOff>115147</xdr:colOff>
      <xdr:row>58</xdr:row>
      <xdr:rowOff>12701</xdr:rowOff>
    </xdr:from>
    <xdr:to>
      <xdr:col>16</xdr:col>
      <xdr:colOff>360681</xdr:colOff>
      <xdr:row>82</xdr:row>
      <xdr:rowOff>71967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13">
              <a:extLst>
                <a:ext uri="{FF2B5EF4-FFF2-40B4-BE49-F238E27FC236}">
                  <a16:creationId xmlns:a16="http://schemas.microsoft.com/office/drawing/2014/main" id="{28641ABE-FC38-4056-BBAD-B5AC5FD00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9247" y="12973051"/>
              <a:ext cx="8627534" cy="5469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77544</xdr:rowOff>
    </xdr:from>
    <xdr:to>
      <xdr:col>40</xdr:col>
      <xdr:colOff>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7F99B-9292-4C5D-853E-AC2B3C90B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</xdr:colOff>
      <xdr:row>8</xdr:row>
      <xdr:rowOff>104438</xdr:rowOff>
    </xdr:from>
    <xdr:to>
      <xdr:col>59</xdr:col>
      <xdr:colOff>475130</xdr:colOff>
      <xdr:row>40</xdr:row>
      <xdr:rowOff>26894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9AA4C-4080-4CC9-83A8-D0DDBC83B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77544</xdr:rowOff>
    </xdr:from>
    <xdr:to>
      <xdr:col>58</xdr:col>
      <xdr:colOff>277906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F387A-E2F0-4F9C-B421-0139FE379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77544</xdr:rowOff>
    </xdr:from>
    <xdr:to>
      <xdr:col>68</xdr:col>
      <xdr:colOff>35859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DD9D5-7B63-44E2-ADA2-BA4E59C70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on Lee - TW (SR)" refreshedDate="46134.826996180556" createdVersion="8" refreshedVersion="8" minRefreshableVersion="3" recordCount="1386" xr:uid="{4BB82FD1-E234-44D0-B7F2-D1951639C166}">
  <cacheSource type="worksheet">
    <worksheetSource ref="A1:Q1048576" sheet="Fail Information"/>
  </cacheSource>
  <cacheFields count="17">
    <cacheField name="Failure ID" numFmtId="0">
      <sharedItems containsBlank="1"/>
    </cacheField>
    <cacheField name="Fix Date" numFmtId="0">
      <sharedItems containsBlank="1"/>
    </cacheField>
    <cacheField name="Rack P/N" numFmtId="0">
      <sharedItems containsBlank="1" count="7">
        <s v="SRS-GB300-NVL72-M4-TW008"/>
        <s v="SRS-GB300-NVL72-M0-MA023"/>
        <s v="SRS-GB300-NVL72-M0-FG001"/>
        <s v="SRS-52UGB300-NVL72-TI036"/>
        <s v="SRS-GB300-NVL72-M1-FG001"/>
        <s v="SRS-GB300-M1-TD004"/>
        <m/>
      </sharedItems>
    </cacheField>
    <cacheField name="Rack S/N" numFmtId="0">
      <sharedItems containsBlank="1"/>
    </cacheField>
    <cacheField name="Error Code" numFmtId="0">
      <sharedItems containsBlank="1"/>
    </cacheField>
    <cacheField name="Error Description" numFmtId="0">
      <sharedItems containsBlank="1"/>
    </cacheField>
    <cacheField name="Error Date" numFmtId="0">
      <sharedItems containsBlank="1"/>
    </cacheField>
    <cacheField name="Action" numFmtId="0">
      <sharedItems containsBlank="1" count="5">
        <s v="REPLACE"/>
        <s v="FIX"/>
        <s v="REPAIR"/>
        <s v="PENDING"/>
        <m/>
      </sharedItems>
    </cacheField>
    <cacheField name="FAIL Issue" numFmtId="0">
      <sharedItems containsBlank="1" longText="1"/>
    </cacheField>
    <cacheField name="Description" numFmtId="0">
      <sharedItems containsBlank="1"/>
    </cacheField>
    <cacheField name="Defect P/N" numFmtId="0">
      <sharedItems containsBlank="1" containsMixedTypes="1" containsNumber="1" containsInteger="1" minValue="1820926356615" maxValue="1820926356615" count="20">
        <s v="SRK-01DTPM-PMB1-01"/>
        <s v="PIO-121GL-NB3-LC5-TW008"/>
        <s v="SSE-NVL72SW-N5500"/>
        <s v="SSE-NVL72-CC"/>
        <s v="SRK-01DTPF-33B1-01"/>
        <s v="SRK-01DTPF-33B1R-01"/>
        <s v="LCS-SCDM-027VP44001"/>
        <s v="SRK-01LNPF-33B1R-01"/>
        <s v="SRK-01LNPM-PMB1-01"/>
        <s v="ARS-121GL-NB3-LCC-R1"/>
        <s v="CBL-SRK-C6-YL9FT-P"/>
        <s v="SRK-01LNPF-33B1-01"/>
        <s v="ARS-121GL-NB3-LCC-FG001"/>
        <s v="SRK-44IXSE-66KW-MGX-A1"/>
        <s v="PIO-121GL-NB3-LC5-TI036"/>
        <s v="SRK-01LNPM-PMB1-01-TI036"/>
        <s v="SRK-01LNPW-5KB1-01-TI036"/>
        <s v="ARS-121GL-NB3-LC1-TD004"/>
        <m/>
        <n v="1820926356615" u="1"/>
      </sharedItems>
    </cacheField>
    <cacheField name="Defect Part S/N" numFmtId="0">
      <sharedItems containsBlank="1" containsMixedTypes="1" containsNumber="1" containsInteger="1" minValue="1823800772" maxValue="2201425883003"/>
    </cacheField>
    <cacheField name="New Part S/N" numFmtId="0">
      <sharedItems containsBlank="1" containsMixedTypes="1" containsNumber="1" containsInteger="1" minValue="1823801161" maxValue="2025125351877"/>
    </cacheField>
    <cacheField name="Form Factor" numFmtId="0">
      <sharedItems containsBlank="1"/>
    </cacheField>
    <cacheField name="Production Line" numFmtId="0">
      <sharedItems containsBlank="1"/>
    </cacheField>
    <cacheField name="Fail By" numFmtId="0">
      <sharedItems containsString="0" containsBlank="1" containsNumber="1" containsInteger="1" minValue="640" maxValue="891265"/>
    </cacheField>
    <cacheField name="Fail Sta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6">
  <r>
    <s v="P25A03262"/>
    <s v="10/29/2025 7:38:56 AM"/>
    <x v="0"/>
    <s v="SR021027259879"/>
    <s v="PS015"/>
    <m/>
    <s v="10/29/2025"/>
    <x v="0"/>
    <s v="第6個 power BMC 卡 LED異常 和 速率異常100M/S_TW3600_更換power BMC 卡"/>
    <s v="Power Shelf Control Module"/>
    <x v="0"/>
    <s v="SV25380359"/>
    <s v="SV25380370"/>
    <s v="Rack"/>
    <s v="TWSPLG"/>
    <n v="3600"/>
    <s v="InTest"/>
  </r>
  <r>
    <s v="P25A03291"/>
    <s v="10/29/2025 9:44:05 AM"/>
    <x v="0"/>
    <s v="SR021028251215"/>
    <s v="RK111"/>
    <m/>
    <s v="10/29/2025"/>
    <x v="0"/>
    <s v="第10台 單機 可正常開機 無法連線 且 遠端BMC連線無效_TW3600_更換單機"/>
    <s v="GB300 L10"/>
    <x v="1"/>
    <s v="A968459X5A08915"/>
    <s v="A968459X5A10392"/>
    <s v="Rack"/>
    <s v="TWSPLG"/>
    <n v="3600"/>
    <s v="InTest"/>
  </r>
  <r>
    <s v="P25A03454"/>
    <s v="10/30/2025 12:08:15 AM"/>
    <x v="0"/>
    <s v="SR021028251215"/>
    <s v="RK205"/>
    <m/>
    <s v="10/30/2025"/>
    <x v="0"/>
    <s v="GPU not detected 0009:06.00.0"/>
    <s v="GB300 L10"/>
    <x v="1"/>
    <s v="A968459X5A10392"/>
    <s v="A968459X5A09028"/>
    <s v="Rack"/>
    <s v="TWSPLG"/>
    <n v="1348"/>
    <s v="InTest"/>
  </r>
  <r>
    <s v="P25B00136"/>
    <s v="11/1/2025 9:29:43 PM"/>
    <x v="0"/>
    <s v="SR021030259476"/>
    <s v="RK205"/>
    <m/>
    <s v="11/1/2025"/>
    <x v="0"/>
    <s v="NVIDIA SMI tool only detected 3 GPU and it does not match the requesed 4"/>
    <s v="GB300 L10"/>
    <x v="1"/>
    <s v="A968459X5A10400"/>
    <s v="A968459X5A09026"/>
    <s v="Rack"/>
    <s v="TWSPLG"/>
    <n v="1348"/>
    <s v="InTest"/>
  </r>
  <r>
    <s v="P25B00140"/>
    <s v="11/1/2025 10:32:17 PM"/>
    <x v="0"/>
    <s v="SR021101259934"/>
    <s v="RK099"/>
    <m/>
    <s v="11/1/2025"/>
    <x v="0"/>
    <s v="不開機"/>
    <s v="GB300 L10"/>
    <x v="1"/>
    <s v="A968459X5A10455"/>
    <s v="A968459X5A10394"/>
    <s v="Rack"/>
    <s v="TWSPLG"/>
    <n v="1348"/>
    <s v="InTest"/>
  </r>
  <r>
    <s v="P25B00141"/>
    <s v="11/1/2025 10:35:07 PM"/>
    <x v="0"/>
    <s v="SR021101259934"/>
    <s v="RK099"/>
    <m/>
    <s v="11/1/2025"/>
    <x v="0"/>
    <s v="power燈不亮"/>
    <s v="GB300 L10"/>
    <x v="1"/>
    <s v="A968459X5A11343"/>
    <s v="A968459X5A11327"/>
    <s v="Rack"/>
    <s v="TWSPLG"/>
    <n v="1348"/>
    <s v="InTest"/>
  </r>
  <r>
    <s v="P25B00144"/>
    <s v="11/1/2025 10:41:30 PM"/>
    <x v="0"/>
    <s v="SR021030256516"/>
    <s v="RK099"/>
    <m/>
    <s v="11/1/2025"/>
    <x v="0"/>
    <s v="機箱不良 左後方"/>
    <s v="GB300 L10"/>
    <x v="1"/>
    <s v="A968459X5A09462"/>
    <s v="A968459X5A09031"/>
    <s v="Rack"/>
    <s v="TWSPLG"/>
    <n v="1348"/>
    <s v="InTest"/>
  </r>
  <r>
    <s v="P25B00156"/>
    <s v="11/2/2025 12:55:18 AM"/>
    <x v="0"/>
    <s v="SR021101253206"/>
    <s v="MB002"/>
    <m/>
    <s v="11/2/2025"/>
    <x v="0"/>
    <s v="DOA - Unable to power on (無法開機,無電源)"/>
    <s v="GB300 L10"/>
    <x v="1"/>
    <s v="A968459X5A09672"/>
    <s v="A968459X5A08946"/>
    <s v="Rack"/>
    <s v="TWSPLG"/>
    <n v="1348"/>
    <s v="InTest"/>
  </r>
  <r>
    <s v="P25B00159"/>
    <s v="11/2/2025 1:25:16 AM"/>
    <x v="0"/>
    <s v="SR021101259934"/>
    <s v="RK205"/>
    <m/>
    <s v="11/2/2025"/>
    <x v="0"/>
    <s v="Cannot power by power button and WebGUI. Power On failed log in SEL"/>
    <s v="GB300 L10"/>
    <x v="1"/>
    <s v="A968459X5A10402"/>
    <s v="A968459X5A10437"/>
    <s v="Rack"/>
    <s v="TWSPLG"/>
    <n v="1348"/>
    <s v="InTest"/>
  </r>
  <r>
    <s v="P25B00163"/>
    <s v="11/2/2025 1:58:29 AM"/>
    <x v="0"/>
    <s v="SR021101259934"/>
    <s v="RK205"/>
    <m/>
    <s v="11/2/2025"/>
    <x v="0"/>
    <s v="Chassis_0_LeakDetector_0_ColdPlate' reading of 0.000000 (Volts) is below the 1.300000 lower critical"/>
    <s v="GB300 L10"/>
    <x v="1"/>
    <s v="A968459X5A11341"/>
    <s v="A968459X5A10386"/>
    <s v="Rack"/>
    <s v="TWSPLG"/>
    <n v="1348"/>
    <s v="InTest"/>
  </r>
  <r>
    <s v="P25B00190"/>
    <s v="11/3/2025 12:46:18 PM"/>
    <x v="0"/>
    <s v="SR021101254955"/>
    <s v="RK098"/>
    <m/>
    <s v="11/3/2025"/>
    <x v="0"/>
    <s v="不開機_TW640_更換單機"/>
    <s v="GB300 L10"/>
    <x v="1"/>
    <s v="A968459X5A10446"/>
    <s v="A968459X5A10562"/>
    <s v="Rack"/>
    <s v="TWSPLG"/>
    <n v="3600"/>
    <s v="InTest"/>
  </r>
  <r>
    <s v="P25B00195"/>
    <s v="11/3/2025 2:30:39 PM"/>
    <x v="0"/>
    <s v="SR021030256516"/>
    <s v="RK110"/>
    <m/>
    <s v="11/3/2025"/>
    <x v="0"/>
    <s v="COMPUTE_NODE_8 NVRM invalid state or config @(Rack slot 18, CBC 2, 4x19 connector 2) [link_downed error value of 1 exceeded threshold of 0 on (0009:06:00.0_SN_1763925822295, nvlink 1)] @(Rack slot 18, CBC 1, 4x19 connector 1, column 18, pins A/B, G/H, C/D, E/F) PEER (Rack slot 9, CBC 1, 8x10 connector 1, column 1, pins C/D, G/H, A/B, E/F, port acp105)_TW3600_更換單機"/>
    <s v="GB300 L10"/>
    <x v="1"/>
    <s v="A968459X5A08922"/>
    <s v="A968459X5A09029"/>
    <s v="Rack"/>
    <s v="TWSPLG"/>
    <n v="3600"/>
    <s v="InTest"/>
  </r>
  <r>
    <s v="P25B00256"/>
    <s v="11/3/2025 8:47:36 PM"/>
    <x v="0"/>
    <s v="SR021101253206"/>
    <s v="RK024"/>
    <m/>
    <s v="11/3/2025"/>
    <x v="1"/>
    <s v="Cable Cartridge L11 FD Test [FAIL]"/>
    <s v="GB300 L10"/>
    <x v="1"/>
    <s v="A968459X5A08966"/>
    <m/>
    <s v="Rack"/>
    <s v="TWSPLG"/>
    <n v="90131"/>
    <s v="InBurnin"/>
  </r>
  <r>
    <s v="P25B00351"/>
    <s v="11/4/2025 11:59:20 AM"/>
    <x v="0"/>
    <s v="SR021101254955"/>
    <s v="RK205"/>
    <m/>
    <s v="11/4/2025"/>
    <x v="0"/>
    <s v="Rack0_SW2_acp93 CC0_C5_Lane_5 link_none_TW3600_更換NVLSwitch"/>
    <s v="NVSwitch"/>
    <x v="2"/>
    <s v="MT2529605BGB"/>
    <s v="MT25336014ZG"/>
    <s v="Rack"/>
    <s v="TWSPLG"/>
    <n v="3600"/>
    <s v="InTest"/>
  </r>
  <r>
    <s v="P25B00358"/>
    <s v="11/4/2025 12:55:35 PM"/>
    <x v="0"/>
    <s v="SR021030253812"/>
    <s v="RK024"/>
    <m/>
    <s v="11/4/2025"/>
    <x v="0"/>
    <s v="Rack0_SW7_acp8 CC3_C1_Lane_14 link_bad_quality_TW3600_更換Cable cartridge"/>
    <s v="Cable Cartridge"/>
    <x v="3"/>
    <n v="1823425350328"/>
    <n v="1823225356627"/>
    <s v="Rack"/>
    <s v="TWSPLG"/>
    <n v="3600"/>
    <s v="InTest"/>
  </r>
  <r>
    <s v="P25B00416"/>
    <s v="11/5/2025 12:50:59 AM"/>
    <x v="0"/>
    <s v="SR021103256952"/>
    <s v="RK024"/>
    <m/>
    <s v="11/5/2025"/>
    <x v="0"/>
    <s v="位置:http://10.160.100.12/logs/xAI/2025/November/SR021103256952/04/R-BURN/A968459X5A10427/7CC255910DE3/"/>
    <s v="Cable Cartridge"/>
    <x v="3"/>
    <n v="1823325351260"/>
    <n v="1823225356593"/>
    <s v="Rack"/>
    <s v="TWSPLG"/>
    <n v="1348"/>
    <s v="InTest"/>
  </r>
  <r>
    <s v="P25B00460"/>
    <s v="11/5/2025 10:11:14 AM"/>
    <x v="0"/>
    <s v="SR021103252664"/>
    <s v="RK098"/>
    <m/>
    <s v="11/5/2025"/>
    <x v="0"/>
    <s v="有過電 無法開機 (STBY_POWER_PG-I failed to assert after 20.0 seconds. Disabling STBY_POWER_EN)_TW3600_更換單機"/>
    <s v="GB300 L10"/>
    <x v="1"/>
    <s v="A968459X5B00026"/>
    <s v="A968459X5B00470"/>
    <s v="Rack"/>
    <s v="TWSPLG"/>
    <n v="3600"/>
    <s v="InTest"/>
  </r>
  <r>
    <s v="P25B00474"/>
    <s v="11/5/2025 1:03:18 PM"/>
    <x v="0"/>
    <s v="SR021030259476"/>
    <s v="RK024"/>
    <m/>
    <s v="11/5/2025"/>
    <x v="0"/>
    <s v="switch_tray,Rack0_SW0_acp64,CC3_C15_Lane_0, link_none,0_TW3600_更換CC3"/>
    <s v="Cable Cartridge"/>
    <x v="3"/>
    <n v="1823425350158"/>
    <n v="2023825882527"/>
    <s v="Rack"/>
    <s v="TWSPLG"/>
    <n v="3600"/>
    <s v="InTest"/>
  </r>
  <r>
    <s v="P25B00545"/>
    <s v="11/5/2025 8:11:33 PM"/>
    <x v="0"/>
    <s v="SR021103252664"/>
    <s v="RK098"/>
    <m/>
    <s v="11/5/2025"/>
    <x v="0"/>
    <s v="Use to replace L10 servers that have failed Rburn test from the rack. (更換Rack Rburn test fail的 L10系統)"/>
    <s v="GB300 L10"/>
    <x v="1"/>
    <s v="A968459X5B00022"/>
    <s v="A968459X5B00253"/>
    <s v="Rack"/>
    <s v="TWSPLG"/>
    <n v="1348"/>
    <s v="InTest"/>
  </r>
  <r>
    <s v="P25B00546"/>
    <s v="11/5/2025 8:13:57 PM"/>
    <x v="0"/>
    <s v="SR021103253681"/>
    <s v="RK098"/>
    <m/>
    <s v="11/5/2025"/>
    <x v="0"/>
    <s v="Use to replace L10 servers that have failed Rburn test from the rack. (更換Rack Rburn test fail的 L10系統)"/>
    <s v="GB300 L10"/>
    <x v="1"/>
    <s v="A968459X5B00101"/>
    <s v="A968459X5B00050"/>
    <s v="Rack"/>
    <s v="TWSPLG"/>
    <n v="1348"/>
    <s v="InTest"/>
  </r>
  <r>
    <s v="P25B00755"/>
    <s v="11/7/2025 2:44:39 AM"/>
    <x v="0"/>
    <s v="SR021105256796"/>
    <s v="RK098"/>
    <m/>
    <s v="11/7/2025"/>
    <x v="0"/>
    <s v="Use to replace L10 servers that have failed Rburn test from the rack. (更換Rack Rburn test fail的 L10系統)"/>
    <s v="GB300 L10"/>
    <x v="1"/>
    <s v="A968459X5A10402"/>
    <s v="A968459X5A10580"/>
    <s v="Rack"/>
    <s v="TWSPLG"/>
    <n v="1348"/>
    <s v="InTest"/>
  </r>
  <r>
    <s v="P25B00756"/>
    <s v="11/7/2025 2:45:49 AM"/>
    <x v="0"/>
    <s v="SR021105256796"/>
    <s v="RK098"/>
    <m/>
    <s v="11/7/2025"/>
    <x v="0"/>
    <s v="Use to replace L10 servers that have failed Rburn test from the rack. (更換Rack Rburn test fail的 L10系統)"/>
    <s v="GB300 L10"/>
    <x v="1"/>
    <s v="A968459X5A10446"/>
    <s v="A968459X5A08963"/>
    <s v="Rack"/>
    <s v="TWSPLG"/>
    <n v="1348"/>
    <s v="InTest"/>
  </r>
  <r>
    <s v="P25B00765"/>
    <s v="11/7/2025 1:46:10 PM"/>
    <x v="0"/>
    <s v="SR021105256796"/>
    <s v="RK110"/>
    <m/>
    <s v="11/7/2025"/>
    <x v="0"/>
    <s v="Sensor 'Chassis_0_LeakDetector_0_ColdPlate' reading of 0.000000 (Volts) is below the 1.300000 lower critical threshold._TW3600_更換單機"/>
    <s v="GB300 L10"/>
    <x v="1"/>
    <s v="A968459X5A10584"/>
    <s v="A968459X5A09431"/>
    <s v="Rack"/>
    <s v="TWSPLG"/>
    <n v="3600"/>
    <s v="InTest"/>
  </r>
  <r>
    <s v="P25B00845"/>
    <s v="11/7/2025 3:09:17 PM"/>
    <x v="0"/>
    <s v="SR021105256796"/>
    <s v="RK205"/>
    <m/>
    <s v="11/7/2025"/>
    <x v="0"/>
    <s v="COMPUTE_NODE_15 | DGX-000000000125 | CableCartridgeEepromCheck | cable_cartridge | | GPU | | Error while invoking api /redfish/v1/Chassis/CBC_2. Error message =&gt; The requested resource of type Chassis named 'CBC_2' was not found._TW3600_更換單機"/>
    <s v="GB300 L10"/>
    <x v="1"/>
    <s v="A968459X5A08966"/>
    <s v="A968459X5A08925"/>
    <s v="Rack"/>
    <s v="TWSPLG"/>
    <n v="3600"/>
    <s v="InTest"/>
  </r>
  <r>
    <s v="P25B00869"/>
    <s v="11/7/2025 6:26:51 PM"/>
    <x v="0"/>
    <s v="SR021105259364"/>
    <s v="RK024"/>
    <m/>
    <s v="11/7/2025"/>
    <x v="0"/>
    <s v="NVLINK SLOT5 BENT PIN"/>
    <s v="Cable Cartridge"/>
    <x v="3"/>
    <n v="1823025355085"/>
    <n v="1822825354542"/>
    <s v="Rack"/>
    <s v="TWSPLG"/>
    <n v="1348"/>
    <s v="InTest"/>
  </r>
  <r>
    <s v="P25B00890"/>
    <s v="11/7/2025 10:20:26 PM"/>
    <x v="0"/>
    <s v="SR021106258634"/>
    <s v="RK098"/>
    <m/>
    <s v="11/7/2025"/>
    <x v="0"/>
    <s v="Use to replace L10 servers that have failed Rburn test from the rack. (更換Rack Rburn test fail的 L10系統)"/>
    <s v="GB300 L10"/>
    <x v="1"/>
    <s v="A968459X5A15670"/>
    <s v="A968459X5B00062"/>
    <s v="Rack"/>
    <s v="TWSPLG"/>
    <n v="1348"/>
    <s v="InTest"/>
  </r>
  <r>
    <s v="P25B00952"/>
    <s v="11/8/2025 10:10:52 PM"/>
    <x v="0"/>
    <s v="SR021106255795"/>
    <s v="RK024"/>
    <m/>
    <s v="11/8/2025"/>
    <x v="0"/>
    <s v="Cable cartridge Defect"/>
    <s v="Cable Cartridge"/>
    <x v="3"/>
    <n v="1822825355833"/>
    <n v="1822825354176"/>
    <s v="Rack"/>
    <s v="TWSPLG"/>
    <n v="1348"/>
    <s v="InTest"/>
  </r>
  <r>
    <s v="P25B00969"/>
    <s v="11/9/2025 12:13:30 PM"/>
    <x v="0"/>
    <s v="SR021106255139"/>
    <s v="RK024"/>
    <m/>
    <s v="11/9/2025"/>
    <x v="0"/>
    <s v="Rack0_SW8_acp73,CC0_C0_Lane_17, link_none (Bent Pin)_TW3600_更換CC0"/>
    <s v="Cable Cartridge"/>
    <x v="3"/>
    <n v="1822825356229"/>
    <n v="1822825354109"/>
    <s v="Rack"/>
    <s v="TWSPLG"/>
    <n v="3600"/>
    <s v="InTest"/>
  </r>
  <r>
    <s v="P25B00970"/>
    <s v="11/9/2025 12:46:33 PM"/>
    <x v="0"/>
    <s v="SR021106259634"/>
    <s v="RK205"/>
    <m/>
    <s v="11/9/2025"/>
    <x v="0"/>
    <s v="Rack0_SW0_acp47 CC2_C11_Lane_0 link_none_TW3600_更換單機"/>
    <s v="GB300 L10"/>
    <x v="1"/>
    <s v="A968459X5B00392"/>
    <s v="A968459X5A15605"/>
    <s v="Rack"/>
    <s v="TWSPLG"/>
    <n v="3600"/>
    <s v="InTest"/>
  </r>
  <r>
    <s v="P25B00971"/>
    <s v="11/9/2025 12:49:02 PM"/>
    <x v="0"/>
    <s v="SR021106252253"/>
    <s v="RK205"/>
    <m/>
    <s v="11/9/2025"/>
    <x v="0"/>
    <s v="COMPUTE_NODE_17 | DGX-000000000125 | CableCartridgeEepromCheck | cable_cartridge | | GPU | | Error while invoking api /redfish/v1/Chassis/CBC_2. Error message =&gt; The requested resource of type Chassis named 'CBC_2' was not found._TW3600_更換單機"/>
    <s v="GB300 L10"/>
    <x v="1"/>
    <s v="A968459X5B01293"/>
    <s v="A968459X5A15604"/>
    <s v="Rack"/>
    <s v="TWSPLG"/>
    <n v="3600"/>
    <s v="InTest"/>
  </r>
  <r>
    <s v="P25B00981"/>
    <s v="11/9/2025 2:23:52 PM"/>
    <x v="0"/>
    <s v="SR021106254604"/>
    <s v="RK107"/>
    <m/>
    <s v="11/9/2025"/>
    <x v="0"/>
    <s v="Sensor 'Chassis_0_LeakDetector_0_ColdPlate' reading of 1.285600 (Volts) is below the 1.300000 lower critical threshold_TW3600_更換單機"/>
    <s v="GB300 L10"/>
    <x v="1"/>
    <s v="A968459X5B01450"/>
    <s v="A968459X5A15603"/>
    <s v="Rack"/>
    <s v="TWSPLG"/>
    <n v="3600"/>
    <s v="InTest"/>
  </r>
  <r>
    <s v="P25B01078"/>
    <s v="11/10/2025 1:17:33 PM"/>
    <x v="0"/>
    <s v="SR021106251002"/>
    <s v="RK023"/>
    <m/>
    <s v="11/10/2025"/>
    <x v="0"/>
    <s v="11/6 可正常更新成功 ，有IP 但無法連線_TW3600_更換NVLswitch"/>
    <s v="NVSwitch"/>
    <x v="2"/>
    <s v="MT2527605A8T"/>
    <s v="MT253460006X"/>
    <s v="Rack"/>
    <s v="TWSPLG"/>
    <n v="3600"/>
    <s v="InTest"/>
  </r>
  <r>
    <s v="P25B01121"/>
    <s v="11/10/2025 4:21:30 PM"/>
    <x v="0"/>
    <s v="SR021106251049"/>
    <s v="RK023"/>
    <m/>
    <s v="11/10/2025"/>
    <x v="0"/>
    <s v="NVLINK Switch Functional Issue"/>
    <s v="NVSwitch"/>
    <x v="2"/>
    <s v="MT2527605A8T"/>
    <s v="MT2532600FR7"/>
    <s v="Rack"/>
    <s v="TWSPLG"/>
    <n v="1348"/>
    <s v="InTest"/>
  </r>
  <r>
    <s v="P25B01143"/>
    <s v="11/10/2025 5:58:16 PM"/>
    <x v="0"/>
    <s v="SR021106251049"/>
    <s v="RK022"/>
    <m/>
    <s v="11/10/2025"/>
    <x v="0"/>
    <s v="無法更新"/>
    <s v="Delta Power Shelf Left Input"/>
    <x v="4"/>
    <s v="DGPST253700LQ"/>
    <s v="DGPST253701GC"/>
    <s v="Rack"/>
    <s v="TWSPLG"/>
    <n v="1348"/>
    <s v="InTest"/>
  </r>
  <r>
    <s v="P25B01218"/>
    <s v="11/12/2025 7:33:35 AM"/>
    <x v="0"/>
    <s v="SR021110256854"/>
    <s v="RK205"/>
    <m/>
    <s v="11/12/2025"/>
    <x v="0"/>
    <s v="COMPUTE_NODE_10 | DGX-000000000126 | CableCartridgeEepromCheck | cable_cartridge | | GPU | | Got exit code 7 while executing ('curl', '--silent', '--insecure', '--user', 'smctest:Supermicro@123', 'https://10.100.30.11/redfish/v1/Chassis/CBC_0')_TW3600_更換單機"/>
    <s v="GB300 L10"/>
    <x v="1"/>
    <s v="A968459X5B02275"/>
    <s v="A968459X5B02289"/>
    <s v="Rack"/>
    <s v="TWSPLG"/>
    <n v="3600"/>
    <s v="InTest"/>
  </r>
  <r>
    <s v="P25B01268"/>
    <s v="11/12/2025 8:26:46 AM"/>
    <x v="0"/>
    <s v="SR021110256189"/>
    <s v="RK109"/>
    <m/>
    <s v="11/12/2025"/>
    <x v="0"/>
    <s v="power LED 異常黯淡_TW3600_更換單機"/>
    <s v="GB300 L10"/>
    <x v="1"/>
    <s v="A968459X5B00421"/>
    <s v="A968459X5B02044"/>
    <s v="Rack"/>
    <s v="TWSPLG"/>
    <n v="3600"/>
    <s v="InTest"/>
  </r>
  <r>
    <s v="P25B01291"/>
    <s v="11/12/2025 10:00:39 AM"/>
    <x v="0"/>
    <s v="SR021110256189"/>
    <s v="RK024"/>
    <m/>
    <s v="11/12/2025"/>
    <x v="0"/>
    <s v="Rack0_SW6_acp19,CC2_C4_Lane_12, link_none 大量CC2 FAIL_TW3600_更換CC2"/>
    <s v="Cable Cartridge"/>
    <x v="3"/>
    <n v="1823325351252"/>
    <n v="1823325354730"/>
    <s v="Rack"/>
    <s v="TWSPLG"/>
    <n v="3600"/>
    <s v="InTest"/>
  </r>
  <r>
    <s v="P25B01365"/>
    <s v="11/12/2025 3:10:39 PM"/>
    <x v="0"/>
    <s v="SR021110253703"/>
    <s v="RK098"/>
    <m/>
    <s v="11/12/2025"/>
    <x v="0"/>
    <s v="開機一下後 自動關機_TW3600_更換單機"/>
    <s v="GB300 L10"/>
    <x v="1"/>
    <s v="A968459X5B01928"/>
    <s v="A968459X5B00421"/>
    <s v="Rack"/>
    <s v="TWSPLG"/>
    <n v="3600"/>
    <s v="InTest"/>
  </r>
  <r>
    <s v="P25B01432"/>
    <s v="11/12/2025 10:47:12 PM"/>
    <x v="0"/>
    <s v="SR021110253399"/>
    <s v="RK203"/>
    <m/>
    <s v="11/12/2025"/>
    <x v="0"/>
    <s v="control board 橘燈不亮"/>
    <s v="Power Shelf Control Module"/>
    <x v="0"/>
    <s v="SV25380737"/>
    <s v="SV25380633"/>
    <s v="Rack"/>
    <s v="TWSPLG"/>
    <n v="1348"/>
    <s v="InTest"/>
  </r>
  <r>
    <s v="P25B01437"/>
    <s v="11/12/2025 11:08:21 PM"/>
    <x v="0"/>
    <s v="SR021105256796"/>
    <s v="RK205"/>
    <m/>
    <s v="11/12/2025"/>
    <x v="0"/>
    <s v="Chassis_0_LeakDetector_0_ColdPlate"/>
    <s v="GB300 L10"/>
    <x v="1"/>
    <s v="A968459X5A11341"/>
    <s v="A968459X5A10476"/>
    <s v="Rack"/>
    <s v="TWSPLG"/>
    <n v="1348"/>
    <s v="InTest"/>
  </r>
  <r>
    <s v="P25B01632"/>
    <s v="11/13/2025 4:54:11 PM"/>
    <x v="0"/>
    <s v="SR021110252810"/>
    <s v="MB041"/>
    <m/>
    <s v="11/13/2025"/>
    <x v="0"/>
    <s v="BMC can't connect"/>
    <s v="GB300 L10"/>
    <x v="1"/>
    <s v="A968459X5B03593"/>
    <s v="A968459X5B02695"/>
    <s v="Rack"/>
    <s v="TWSPLG"/>
    <n v="1348"/>
    <s v="InTest"/>
  </r>
  <r>
    <s v="P25B01638"/>
    <s v="11/13/2025 5:05:14 PM"/>
    <x v="0"/>
    <s v="SR021110252810"/>
    <s v="RK205"/>
    <m/>
    <s v="11/13/2025"/>
    <x v="0"/>
    <s v="CableCartridgeEepromCheck | cable_cartridge| GPU | Got exit code 7 while executing ('curl', '--silent', '--insecure', '--user', 'smctest:Supermicro@123', 'https://10.100.30.7/redfish/v1/Chassis/CBC_0') 7CC25590EBBE"/>
    <s v="GB300 L10"/>
    <x v="1"/>
    <s v="A968459X5B02291"/>
    <s v="A968459X5B02686"/>
    <s v="Rack"/>
    <s v="TWSPLG"/>
    <n v="1348"/>
    <s v="InTest"/>
  </r>
  <r>
    <s v="P25B01643"/>
    <s v="11/13/2025 5:20:18 PM"/>
    <x v="0"/>
    <s v="SR021110252810"/>
    <s v="RK205"/>
    <m/>
    <s v="11/13/2025"/>
    <x v="0"/>
    <s v="DGX-000000000126 | CableCartridgeEepromCheck | cable_cartridge | GPU | Got exit code 7 while executing ('curl', '--silent', '--insecure', '--user', 'smctest:Supermicro@123', 'https://10.100.30.7/redfish/v1/Chassis/CBC_0')"/>
    <s v="GB300 L10"/>
    <x v="1"/>
    <s v="A968459X5B02279"/>
    <s v="A968459X5B02684"/>
    <s v="Rack"/>
    <s v="TWSPLG"/>
    <n v="1348"/>
    <s v="InTest"/>
  </r>
  <r>
    <s v="P25B01644"/>
    <s v="11/13/2025 5:38:49 PM"/>
    <x v="0"/>
    <s v="SR021110252810"/>
    <s v="MB041"/>
    <m/>
    <s v="11/13/2025"/>
    <x v="0"/>
    <s v="BMC can't connect"/>
    <s v="GB300 L10"/>
    <x v="1"/>
    <s v="A968459X5B02695"/>
    <s v="A968459X5B03578"/>
    <s v="Rack"/>
    <s v="TWSPLG"/>
    <n v="1348"/>
    <s v="InTest"/>
  </r>
  <r>
    <s v="P25B01658"/>
    <s v="11/13/2025 8:01:59 PM"/>
    <x v="0"/>
    <s v="SR021110258229"/>
    <s v="RK024"/>
    <m/>
    <s v="11/13/2025"/>
    <x v="0"/>
    <s v="紀錄Rack0_SW7_acp86 CC1_C3_Lane_15 link_none"/>
    <s v="Cable Cartridge"/>
    <x v="3"/>
    <n v="1822825354178"/>
    <n v="1822825356679"/>
    <s v="Rack"/>
    <s v="TWSPLG"/>
    <n v="1348"/>
    <s v="InTest"/>
  </r>
  <r>
    <s v="P25B01672"/>
    <s v="11/14/2025 12:13:46 AM"/>
    <x v="0"/>
    <s v="SR021110258310"/>
    <s v="RK205"/>
    <m/>
    <s v="11/14/2025"/>
    <x v="0"/>
    <s v="Error while invoking api /redfish/v1/Chassis/CBC_1. Error message =&gt; The requested resource of type Chassis named 'CBC_1' was not found"/>
    <s v="GB300 L10"/>
    <x v="1"/>
    <s v="A968459X5B01058"/>
    <s v="A968459X5B01068"/>
    <s v="Rack"/>
    <s v="TWSPLG"/>
    <n v="1348"/>
    <s v="InTest"/>
  </r>
  <r>
    <s v="P25B01682"/>
    <s v="11/14/2025 12:58:58 AM"/>
    <x v="0"/>
    <s v="SR021110252828"/>
    <s v="RK098"/>
    <m/>
    <s v="11/14/2025"/>
    <x v="0"/>
    <s v="can't power on"/>
    <s v="GB300 L10"/>
    <x v="1"/>
    <s v="A968459X5B00297"/>
    <s v="A968459X5B03575"/>
    <s v="Rack"/>
    <s v="TWSPLG"/>
    <n v="1348"/>
    <s v="InTest"/>
  </r>
  <r>
    <s v="P25B01686"/>
    <s v="11/14/2025 1:10:12 AM"/>
    <x v="0"/>
    <s v="SR021110258229"/>
    <s v="RK023"/>
    <m/>
    <s v="11/14/2025"/>
    <x v="0"/>
    <s v="unreached"/>
    <s v="NVSwitch"/>
    <x v="2"/>
    <s v="MT2531601TWE"/>
    <s v="MT2531601U58"/>
    <s v="Rack"/>
    <s v="TWSPLG"/>
    <n v="1348"/>
    <s v="InTest"/>
  </r>
  <r>
    <s v="P25B01763"/>
    <s v="11/14/2025 10:25:33 AM"/>
    <x v="0"/>
    <s v="SR021110253924"/>
    <s v="RK098"/>
    <m/>
    <s v="11/14/2025"/>
    <x v="0"/>
    <s v="M.2 美光 混到 三星櫃_TW3600_更換單機 (良品)"/>
    <s v="GB300 L10"/>
    <x v="1"/>
    <s v="A968459X5A09007"/>
    <s v="A968459X5B01053"/>
    <s v="Rack"/>
    <s v="TWSPLG"/>
    <n v="3600"/>
    <s v="InTest"/>
  </r>
  <r>
    <s v="P25B01780"/>
    <s v="11/14/2025 12:36:14 PM"/>
    <x v="0"/>
    <s v="SR021110252828"/>
    <s v="RK107"/>
    <m/>
    <s v="11/14/2025"/>
    <x v="0"/>
    <s v="The leak sensor Ch0LeaDet1ColPla reading 0V shows a shorted sensor-TW3839更換單機"/>
    <s v="GB300 L10"/>
    <x v="1"/>
    <s v="A968459X5B00216"/>
    <s v="A968459X5B01054"/>
    <s v="Rack"/>
    <s v="TWSPLG"/>
    <n v="3839"/>
    <s v="InTest"/>
  </r>
  <r>
    <s v="P25B01789"/>
    <s v="11/14/2025 2:09:16 PM"/>
    <x v="0"/>
    <s v="SR021110259150"/>
    <s v="RK024"/>
    <m/>
    <s v="11/14/2025"/>
    <x v="0"/>
    <s v="Rack0_SW0_acp133 CC0_C15_Lane_1 link_none (第16台單機位置 Bent Pin)_TW3600_更換CC0"/>
    <s v="Cable Cartridge"/>
    <x v="3"/>
    <n v="1823325356876"/>
    <n v="1822825354954"/>
    <s v="Rack"/>
    <s v="TWSPLG"/>
    <n v="3600"/>
    <s v="InTest"/>
  </r>
  <r>
    <s v="P25B01792"/>
    <s v="11/14/2025 2:49:09 PM"/>
    <x v="0"/>
    <s v="SR021110258936"/>
    <s v="RK098"/>
    <m/>
    <s v="11/14/2025"/>
    <x v="0"/>
    <s v="按壓POWER鈕無反應 , 可遠端啟動 但有電無畫面_TW3600_更換單機"/>
    <s v="GB300 L10"/>
    <x v="1"/>
    <s v="A968459X5B03178"/>
    <s v="A968459X5B00921"/>
    <s v="Rack"/>
    <s v="TWSPLG"/>
    <n v="3600"/>
    <s v="InTest"/>
  </r>
  <r>
    <s v="P25B01807"/>
    <s v="11/14/2025 3:18:40 PM"/>
    <x v="0"/>
    <s v="SR021110252828"/>
    <s v="RK205"/>
    <m/>
    <s v="11/14/2025"/>
    <x v="0"/>
    <s v="COMPUTE_NODE_5 | DGX-000000000125 | CableCartridgeEepromCheck | cable_cartridge | | GPU | | Error while invoking api /redfish/v1/Chassis/CBC_2. Error message =&gt; The requested resource of type Chassis named 'CBC_2' was not found._TW3600_更換單機"/>
    <s v="GB300 L10"/>
    <x v="1"/>
    <s v="A968459X5B01293"/>
    <s v="A968459X5B04189"/>
    <s v="Rack"/>
    <s v="TWSPLG"/>
    <n v="3600"/>
    <s v="InTest"/>
  </r>
  <r>
    <s v="P25B01822"/>
    <s v="11/14/2025 4:43:37 PM"/>
    <x v="0"/>
    <s v="SR021114258617"/>
    <s v="RK022"/>
    <m/>
    <s v="11/14/2025"/>
    <x v="0"/>
    <s v="無法更新"/>
    <s v="Delta power shelf right input"/>
    <x v="5"/>
    <s v="DGPSU254300RM"/>
    <s v="DGPSU254300AB"/>
    <s v="Rack"/>
    <s v="TWSPLG"/>
    <n v="1348"/>
    <s v="InTest"/>
  </r>
  <r>
    <s v="P25B01830"/>
    <s v="11/14/2025 5:32:15 PM"/>
    <x v="0"/>
    <s v="SR021110256394"/>
    <s v="RK105"/>
    <m/>
    <s v="11/14/2025"/>
    <x v="0"/>
    <s v="GB200 Leakage sensor issue"/>
    <s v="GB300 L10"/>
    <x v="1"/>
    <s v="A968459X5B02674"/>
    <s v="A968459X5B04363"/>
    <s v="Rack"/>
    <s v="TWSPLG"/>
    <n v="1348"/>
    <s v="InTest"/>
  </r>
  <r>
    <s v="P25B01834"/>
    <s v="11/14/2025 6:18:16 PM"/>
    <x v="0"/>
    <s v="SR021114258617"/>
    <s v="RK001"/>
    <m/>
    <s v="11/14/2025"/>
    <x v="0"/>
    <s v="shutdown unexpectedly due to GPU critical log in BMC SEL."/>
    <s v="GB300 L10"/>
    <x v="1"/>
    <s v="A968459X5B00919"/>
    <s v="A968459X5B01069"/>
    <s v="Rack"/>
    <s v="TWSPLG"/>
    <n v="1348"/>
    <s v="InTest"/>
  </r>
  <r>
    <s v="P25B01837"/>
    <s v="11/14/2025 7:40:10 PM"/>
    <x v="0"/>
    <s v="SR021110253924"/>
    <s v="RK205"/>
    <m/>
    <s v="11/14/2025"/>
    <x v="0"/>
    <s v="Got exit code 7 while executing ('curl', '--silent', '--insecure', '--user', 'smctest:Supermicro@123', 'https://10.100.30.1/redfish/v1/Chassis/CBC_0')"/>
    <s v="GB300 L10"/>
    <x v="1"/>
    <s v="A968459X5B01028"/>
    <s v="A968459X5B01067"/>
    <s v="Rack"/>
    <s v="TWSPLG"/>
    <n v="1348"/>
    <s v="InTest"/>
  </r>
  <r>
    <s v="P25B01839"/>
    <s v="11/14/2025 7:43:23 PM"/>
    <x v="0"/>
    <s v="SR021110258936"/>
    <s v="RK205"/>
    <m/>
    <s v="11/14/2025"/>
    <x v="0"/>
    <s v="Got exit code 7 while executing ('curl', '--silent', '--insecure', '--user', 'smctest:Supermicro@123', 'https://10.100.30.1/redfish/v1/Chassis/CBC_0')"/>
    <s v="GB300 L10"/>
    <x v="1"/>
    <s v="A968459X5B02275"/>
    <s v="A968459X5B00929"/>
    <s v="Rack"/>
    <s v="TWSPLG"/>
    <n v="1348"/>
    <s v="InTest"/>
  </r>
  <r>
    <s v="P25B01949"/>
    <s v="11/15/2025 3:26:07 PM"/>
    <x v="0"/>
    <s v="SR021114257977"/>
    <s v="RK024"/>
    <m/>
    <s v="11/15/2025"/>
    <x v="0"/>
    <s v="Cable cartridge Defect Rack0_SW5_acp81,CC0_C2_Lane_11"/>
    <s v="Cable Cartridge"/>
    <x v="3"/>
    <n v="1822825356764"/>
    <n v="1822825356131"/>
    <s v="Rack"/>
    <s v="TWSPLG"/>
    <n v="1348"/>
    <s v="InTest"/>
  </r>
  <r>
    <s v="P25B01965"/>
    <s v="11/15/2025 4:06:41 PM"/>
    <x v="0"/>
    <s v="SR021114253622"/>
    <s v="RK204"/>
    <m/>
    <s v="11/15/2025"/>
    <x v="0"/>
    <s v="Error while invoking api /redfish/v1/Chassis/CBC_3. Error message =&gt; The requested resource of type Chassis named 'CBC_3' was not found."/>
    <s v="GB300 L10"/>
    <x v="1"/>
    <s v="A968459X5B01288"/>
    <s v="A968459X5B04632"/>
    <s v="Rack"/>
    <s v="TWSPLG"/>
    <n v="1348"/>
    <s v="InTest"/>
  </r>
  <r>
    <s v="P25B01975"/>
    <s v="11/15/2025 6:08:26 PM"/>
    <x v="0"/>
    <s v="SR021114257106"/>
    <s v="RK002"/>
    <m/>
    <s v="11/15/2025"/>
    <x v="0"/>
    <s v="can't power on"/>
    <s v="GB300 L10"/>
    <x v="1"/>
    <s v="A968459X5B03169"/>
    <s v="A968459X5B04414"/>
    <s v="Rack"/>
    <s v="TWSPLG"/>
    <n v="1348"/>
    <s v="InTest"/>
  </r>
  <r>
    <s v="P25B01979"/>
    <s v="11/15/2025 7:51:07 PM"/>
    <x v="0"/>
    <s v="SR021114257861"/>
    <s v="RK204"/>
    <m/>
    <s v="11/15/2025"/>
    <x v="0"/>
    <s v="Got exit code 7 while executing ('curl', '--silent', '--insecure', '--user', 'smctest:Supermicro@123', 'https://10.100.30.9/redfish/v1/Chassis/CBC_0')"/>
    <s v="GB300 L10"/>
    <x v="1"/>
    <s v="A968459X5B01056"/>
    <s v="A968459X5B04401"/>
    <s v="Rack"/>
    <s v="TWSPLG"/>
    <n v="1348"/>
    <s v="InTest"/>
  </r>
  <r>
    <s v="P25B01996"/>
    <s v="11/15/2025 9:05:23 PM"/>
    <x v="0"/>
    <s v="SR021114257106"/>
    <s v="RK023"/>
    <m/>
    <s v="11/15/2025"/>
    <x v="0"/>
    <s v="NVLINK Switch Functional Issue"/>
    <s v="NVSwitch"/>
    <x v="2"/>
    <s v="MT25336027DY"/>
    <s v="MT2532602609"/>
    <s v="Rack"/>
    <s v="TWSPLG"/>
    <n v="1348"/>
    <s v="InTest"/>
  </r>
  <r>
    <s v="P25B02014"/>
    <s v="11/15/2025 11:38:53 PM"/>
    <x v="0"/>
    <s v="SR021110258229"/>
    <s v="RK024"/>
    <m/>
    <s v="11/15/2025"/>
    <x v="0"/>
    <s v="Cable cartridge Defect Rack0_SW3_acp88 CC3_C3_Lane_7 link_none"/>
    <s v="Cable Cartridge"/>
    <x v="3"/>
    <n v="1822825354088"/>
    <n v="1822825356961"/>
    <s v="Rack"/>
    <s v="TWSPLG"/>
    <n v="1348"/>
    <s v="InTest"/>
  </r>
  <r>
    <s v="P25B02025"/>
    <s v="11/16/2025 3:18:03 AM"/>
    <x v="0"/>
    <s v="SR021114251193"/>
    <s v="RK205"/>
    <m/>
    <s v="11/16/2025"/>
    <x v="0"/>
    <s v="Leakage sensor issue"/>
    <s v="GB300 L10"/>
    <x v="1"/>
    <s v="A968459X5B04185"/>
    <s v="A968459X5B01446"/>
    <s v="Rack"/>
    <s v="TWSPLG"/>
    <n v="1348"/>
    <s v="InTest"/>
  </r>
  <r>
    <s v="P25B02032"/>
    <s v="11/16/2025 7:59:05 AM"/>
    <x v="0"/>
    <s v="SR021114257106"/>
    <s v="RK098"/>
    <m/>
    <s v="11/16/2025"/>
    <x v="0"/>
    <s v="PCIe Width Status for Mellanox AOC (0016:01:00.0) drops to x2, the defined Width is x16 - warning 降速-TW3839跟換單機"/>
    <s v="GB300 L10"/>
    <x v="1"/>
    <s v="A968459X5B01066"/>
    <s v="A968459X5B05856"/>
    <s v="Rack"/>
    <s v="TWSPLG"/>
    <n v="3839"/>
    <s v="InTest"/>
  </r>
  <r>
    <s v="P25B02044"/>
    <s v="11/16/2025 2:24:25 PM"/>
    <x v="0"/>
    <s v="SR021115255847"/>
    <s v="RK098"/>
    <m/>
    <s v="11/16/2025"/>
    <x v="0"/>
    <s v="美光機台 混 三星櫃_TW3600_更換單機"/>
    <s v="GB300 L10"/>
    <x v="1"/>
    <s v="A968459X5A10455"/>
    <s v="A968459X5B03916"/>
    <s v="Rack"/>
    <s v="TWSPLG"/>
    <n v="3600"/>
    <s v="InTest"/>
  </r>
  <r>
    <s v="P25B02099"/>
    <s v="11/17/2025 9:12:36 AM"/>
    <x v="0"/>
    <s v="SR021115255847"/>
    <s v="RK201"/>
    <m/>
    <s v="11/17/2025"/>
    <x v="0"/>
    <s v="NVL Switch 10.10.47.173 unreachable-更換nv switch-TW3839"/>
    <s v="NVSwitch"/>
    <x v="2"/>
    <s v="MT2531602AJB"/>
    <s v="MT2531601ZHN"/>
    <s v="Rack"/>
    <s v="TWSPLG"/>
    <n v="3839"/>
    <s v="InTest"/>
  </r>
  <r>
    <s v="P25B02112"/>
    <s v="11/17/2025 10:40:09 AM"/>
    <x v="0"/>
    <s v="SR021114253580"/>
    <s v="RK205"/>
    <m/>
    <s v="11/17/2025"/>
    <x v="0"/>
    <s v="COMPUTE_NODE_11 | MODS-000000000140 | ThermalSteadyState | powersync | | CPU, GPU | 0019:06:00.0_SN_1654025011734 | [raw_lane_ber error value of 1e-05 exceeded threshold of 1e-06 on (0019:06:00.0_SN_1654025011734, nvlink 8)] @(Rack slot 21, CBC 3, 4x19 connector 3, column 11, pins C/D, E/F) PEER (Rack slot 13, CBC 3, 8x10 connector 5, column 7, pins J/K, N/P, port acp47)_TW3600_更換單機"/>
    <s v="GB300 L10"/>
    <x v="1"/>
    <s v="A968459X5B03556"/>
    <s v="A968459X5B03987"/>
    <s v="Rack"/>
    <s v="TWSPLG"/>
    <n v="3600"/>
    <s v="InTest"/>
  </r>
  <r>
    <s v="P25B02120"/>
    <s v="11/17/2025 12:01:42 PM"/>
    <x v="0"/>
    <s v="SR021110258229"/>
    <s v="RK204"/>
    <m/>
    <s v="11/17/2025"/>
    <x v="0"/>
    <s v="compute fd test is failed on Node_2 and it is caused by rack slot13, before swap nvsw location it is failed on rack slot12_TW3600_更換nvlswitch"/>
    <s v="NVSwitch"/>
    <x v="2"/>
    <s v="MT25336001D1"/>
    <s v="MT2531601Z0N"/>
    <s v="Rack"/>
    <s v="TWSPLG"/>
    <n v="3600"/>
    <s v="InTest"/>
  </r>
  <r>
    <s v="P25B02123"/>
    <s v="11/17/2025 12:57:02 PM"/>
    <x v="0"/>
    <s v="SR021115257941"/>
    <s v="RK024"/>
    <m/>
    <s v="11/17/2025"/>
    <x v="0"/>
    <s v="Rack0_SW4_acp106,CC1_C8_Lane_9, link_none (單機第9,10位置 bent pin)_TW3600_更換CC1"/>
    <s v="Cable Cartridge"/>
    <x v="3"/>
    <n v="1822825356687"/>
    <n v="1822825354088"/>
    <s v="Rack"/>
    <s v="TWSPLG"/>
    <n v="3600"/>
    <s v="InTest"/>
  </r>
  <r>
    <s v="P25B02133"/>
    <s v="11/17/2025 2:54:07 PM"/>
    <x v="0"/>
    <s v="SR021115255847"/>
    <s v="RK098"/>
    <m/>
    <s v="11/17/2025"/>
    <x v="0"/>
    <s v="自動關機-更換單機tw3839"/>
    <s v="GB300 L10"/>
    <x v="1"/>
    <s v="A968459X5B03528"/>
    <s v="A968459X5B03991"/>
    <s v="Rack"/>
    <s v="TWSPLG"/>
    <n v="3839"/>
    <s v="InTest"/>
  </r>
  <r>
    <s v="P25B02139"/>
    <s v="11/17/2025 3:14:54 PM"/>
    <x v="0"/>
    <s v="SR021110258229"/>
    <s v="RK205"/>
    <m/>
    <s v="11/17/2025"/>
    <x v="0"/>
    <s v="COMPUTE_NODE_7 | DGX-000000000125 | CableCartridgeEepromCheck | cable_cartridge | | GPU | | Error while invoking api /redfish/v1/Chassis/CBC_3. Error message =&gt; The requested resource of type Chassis named 'CBC_3' was not found._TW3600_更換單機"/>
    <s v="GB300 L10"/>
    <x v="1"/>
    <s v="A968459X5B01887"/>
    <s v="A968459X5B03911"/>
    <s v="Rack"/>
    <s v="TWSPLG"/>
    <n v="3600"/>
    <s v="InTest"/>
  </r>
  <r>
    <s v="P25B02189"/>
    <s v="11/17/2025 10:55:45 PM"/>
    <x v="0"/>
    <s v="SR021114252995"/>
    <s v="RK024"/>
    <m/>
    <s v="11/17/2025"/>
    <x v="0"/>
    <s v="紀錄10.160.100.10/logs/xAI/2025/November/SR021114252995/17/R-BURN/A968459X5B03679/905A083237C7/gb300_compute_nvidia_L11_field_diag_summary.log"/>
    <s v="Cable Cartridge"/>
    <x v="3"/>
    <n v="1822825356960"/>
    <n v="1822825356737"/>
    <s v="Rack"/>
    <s v="TWSPLG"/>
    <n v="1348"/>
    <s v="InTest"/>
  </r>
  <r>
    <s v="P25B02190"/>
    <s v="11/18/2025 4:49:56 PM"/>
    <x v="0"/>
    <s v="SR021114251420"/>
    <s v="RK024"/>
    <m/>
    <s v="11/17/2025"/>
    <x v="0"/>
    <s v="紀錄10.160.100.12/logs/xAI/2025/November/SR021114251420/17/R-BURN/A968459X5B04400/905A0832391E/Failure-Records-Full.txt_old_17Nov_22.35.37"/>
    <s v="Cable Cartridge"/>
    <x v="3"/>
    <n v="1822825356416"/>
    <n v="1822825356737"/>
    <s v="Rack"/>
    <s v="TWSPLG"/>
    <n v="1348"/>
    <s v="InTest"/>
  </r>
  <r>
    <s v="P25B02317"/>
    <s v="11/18/2025 2:54:47 PM"/>
    <x v="0"/>
    <s v="SR021115254781"/>
    <s v="RK098"/>
    <m/>
    <s v="11/18/2025"/>
    <x v="0"/>
    <s v="無法開機 自動關機-更換單機TW3839"/>
    <s v="GB300 L10"/>
    <x v="1"/>
    <s v="A968459X5B06510"/>
    <s v="A968459X5B03909"/>
    <s v="Rack"/>
    <s v="TWSPLG"/>
    <n v="3839"/>
    <s v="InTest"/>
  </r>
  <r>
    <s v="P25B02321"/>
    <s v="11/18/2025 3:17:42 PM"/>
    <x v="0"/>
    <s v="SR021115257719"/>
    <s v="RK098"/>
    <m/>
    <s v="11/18/2025"/>
    <x v="0"/>
    <s v="The BIOS Attributes are Empty - [FAILED]-更換單機TW3839"/>
    <s v="GB300 L10"/>
    <x v="1"/>
    <s v="A968459X5B04659"/>
    <s v="A968459X5B03908"/>
    <s v="Rack"/>
    <s v="TWSPLG"/>
    <n v="3839"/>
    <s v="InTest"/>
  </r>
  <r>
    <s v="P25B02327"/>
    <s v="11/18/2025 3:59:35 PM"/>
    <x v="0"/>
    <s v="SR021114252995"/>
    <s v="RK205"/>
    <m/>
    <s v="11/18/2025"/>
    <x v="0"/>
    <s v="r 'Chassis_0_LeakDetector_0_ColdPlate' reading of 0.054000 (Volts) is below the 1.300000 lower critical threshold."/>
    <s v="GB300 L10"/>
    <x v="1"/>
    <s v="A968459X5B03681"/>
    <s v="A968459X5B03906"/>
    <s v="Rack"/>
    <s v="TWSPLG"/>
    <n v="3839"/>
    <s v="InTest"/>
  </r>
  <r>
    <s v="P25B02347"/>
    <s v="11/18/2025 6:23:13 PM"/>
    <x v="0"/>
    <s v="SR021115257941"/>
    <s v="RK024"/>
    <m/>
    <s v="11/18/2025"/>
    <x v="0"/>
    <s v="紀錄10.160.100.12/logs/xAI/2025/November/SR021115257941/18/R-BURN/A968459X5B00326/905A08323C4B/"/>
    <s v="Cable Cartridge"/>
    <x v="3"/>
    <n v="1822825354088"/>
    <n v="1823025355010"/>
    <s v="Rack"/>
    <s v="TWSPLG"/>
    <n v="1348"/>
    <s v="InTest"/>
  </r>
  <r>
    <s v="P25B02381"/>
    <s v="11/19/2025 1:11:25 AM"/>
    <x v="0"/>
    <s v="SR021115257719"/>
    <s v="RK008"/>
    <m/>
    <s v="11/19/2025"/>
    <x v="0"/>
    <s v="out of 16 fan only 12 fan shows"/>
    <s v="GB300 L10"/>
    <x v="1"/>
    <s v="A968459X5B03831"/>
    <s v="A968459X5B03982"/>
    <s v="Rack"/>
    <s v="TWSPLG"/>
    <n v="1348"/>
    <s v="InTest"/>
  </r>
  <r>
    <s v="P25B02395"/>
    <s v="11/19/2025 3:06:16 AM"/>
    <x v="0"/>
    <s v="SR021115256936"/>
    <s v="RK001"/>
    <m/>
    <s v="11/19/2025"/>
    <x v="0"/>
    <s v="不開機"/>
    <s v="GB300 L10"/>
    <x v="1"/>
    <s v="A968459X5B03545"/>
    <s v="A968459X5B03994"/>
    <s v="Rack"/>
    <s v="TWSPLG"/>
    <n v="1348"/>
    <s v="InTest"/>
  </r>
  <r>
    <s v="P25B02510"/>
    <s v="11/21/2025 9:24:15 AM"/>
    <x v="0"/>
    <s v="SR021117253315"/>
    <s v="RK022"/>
    <m/>
    <s v="11/19/2025"/>
    <x v="0"/>
    <s v="Power Shelf無法更新(跟著POWER機箱)_換機箱_協助過帳"/>
    <s v="Delta power shelf right input"/>
    <x v="5"/>
    <s v="DGPSU25430033"/>
    <s v="DGPSU25430023"/>
    <s v="Rack"/>
    <s v="TWSPLG"/>
    <n v="924"/>
    <s v="InTest"/>
  </r>
  <r>
    <s v="P25B02518"/>
    <s v="11/19/2025 2:31:47 PM"/>
    <x v="0"/>
    <s v="SR021115256936"/>
    <s v="RK024"/>
    <m/>
    <s v="11/19/2025"/>
    <x v="0"/>
    <s v="Power Shelf更新異常"/>
    <s v="Delta power shelf right input"/>
    <x v="5"/>
    <s v="DGPSU254300TW"/>
    <s v="DGPSU254300DY"/>
    <s v="Rack"/>
    <s v="TWSPLG"/>
    <n v="1237"/>
    <s v="InTest"/>
  </r>
  <r>
    <s v="P25B02519"/>
    <s v="11/19/2025 2:34:32 PM"/>
    <x v="0"/>
    <s v="SR021115257941"/>
    <s v="RK024"/>
    <m/>
    <s v="11/19/2025"/>
    <x v="0"/>
    <s v="Cable cartridge Defect bent pin"/>
    <s v="Cable Cartridge"/>
    <x v="3"/>
    <n v="1823025355010"/>
    <n v="1823025355066"/>
    <s v="Rack"/>
    <s v="TWSPLG"/>
    <n v="1237"/>
    <s v="InTest"/>
  </r>
  <r>
    <s v="P25B02535"/>
    <s v="11/19/2025 3:18:28 PM"/>
    <x v="0"/>
    <s v="SR021115257941"/>
    <s v="RK205"/>
    <m/>
    <s v="11/19/2025"/>
    <x v="0"/>
    <s v="Could not find the specified device"/>
    <s v="GB300 L10"/>
    <x v="1"/>
    <s v="A968459X5B04626"/>
    <s v="A968459X5B04022"/>
    <s v="Rack"/>
    <s v="TWSPLG"/>
    <n v="640"/>
    <s v="InTest"/>
  </r>
  <r>
    <s v="P25B02541"/>
    <s v="11/19/2025 4:51:05 PM"/>
    <x v="0"/>
    <s v="SR021117252169"/>
    <s v="RK023"/>
    <m/>
    <s v="11/19/2025"/>
    <x v="0"/>
    <s v="NVLINK Switch Functional Issue UNABLE TO UPDATE"/>
    <s v="NVSwitch"/>
    <x v="2"/>
    <s v="MT25286045UR"/>
    <s v="MT25316009K3"/>
    <s v="Rack"/>
    <s v="TWSPLG"/>
    <n v="640"/>
    <s v="InTest"/>
  </r>
  <r>
    <s v="P25B02551"/>
    <s v="11/19/2025 5:13:28 PM"/>
    <x v="0"/>
    <s v="SR021117253397"/>
    <s v="RK105"/>
    <m/>
    <s v="11/19/2025"/>
    <x v="0"/>
    <s v="Leakage sensor issue"/>
    <s v="GB300 L10"/>
    <x v="1"/>
    <s v="A968459X5B06262"/>
    <s v="A968459X5B08385"/>
    <s v="Rack"/>
    <s v="TWSPLG"/>
    <n v="924"/>
    <s v="InTest"/>
  </r>
  <r>
    <s v="P25B02563"/>
    <s v="11/19/2025 5:44:20 PM"/>
    <x v="0"/>
    <s v="SR021115257661"/>
    <s v="RK098"/>
    <m/>
    <s v="11/19/2025"/>
    <x v="0"/>
    <s v="http://10.160.100.10/logs/xAI/2025/November/SR021115257661/19/R-BURN/A968459X5B05481/905A08323C40/"/>
    <s v="GB300 L10"/>
    <x v="1"/>
    <s v="A968459X5B05477"/>
    <s v="A968459X5B03980"/>
    <s v="Rack"/>
    <s v="TWSPLG"/>
    <n v="640"/>
    <s v="InTest"/>
  </r>
  <r>
    <s v="P25B02565"/>
    <s v="11/19/2025 6:26:13 PM"/>
    <x v="0"/>
    <s v="SR021117251393"/>
    <s v="RK024"/>
    <m/>
    <s v="11/19/2025"/>
    <x v="0"/>
    <s v="SLOT10_BENTPIN"/>
    <s v="Cable Cartridge"/>
    <x v="3"/>
    <n v="1823025355017"/>
    <n v="1822825355448"/>
    <s v="Rack"/>
    <s v="TWSPLG"/>
    <n v="1348"/>
    <s v="InTest"/>
  </r>
  <r>
    <s v="P25B02573"/>
    <s v="11/19/2025 9:43:24 PM"/>
    <x v="0"/>
    <s v="SR021115255847"/>
    <s v="RK098"/>
    <m/>
    <s v="11/19/2025"/>
    <x v="0"/>
    <s v="紀錄10.160.100.12/logs/xAI/2025/November/SR021115255847/19/R-BURN/A968459X5B04922/905A08324696/gb300_compute_nvidia_L11_field_diag_summary.log"/>
    <s v="GB300 L10"/>
    <x v="1"/>
    <s v="A968459X5B03542"/>
    <s v="A968459X5B03898"/>
    <s v="Rack"/>
    <s v="TWSPLG"/>
    <n v="1348"/>
    <s v="InTest"/>
  </r>
  <r>
    <s v="P25B02575"/>
    <s v="11/19/2025 8:35:36 PM"/>
    <x v="0"/>
    <s v="SR021118253995"/>
    <s v="RK105"/>
    <m/>
    <s v="11/19/2025"/>
    <x v="0"/>
    <s v="GB200 Leakage sensor issue"/>
    <s v="GB300 L10"/>
    <x v="1"/>
    <s v="A968459X5B03246"/>
    <s v="A968459X5B03249"/>
    <s v="Rack"/>
    <s v="TWSPLG"/>
    <n v="924"/>
    <s v="InTest"/>
  </r>
  <r>
    <s v="P25B02604"/>
    <s v="11/20/2025 1:01:32 AM"/>
    <x v="0"/>
    <s v="SR021115253517"/>
    <s v="RK002"/>
    <m/>
    <s v="11/20/2025"/>
    <x v="0"/>
    <s v="unable to power on always shutdown"/>
    <s v="GB300 L10"/>
    <x v="1"/>
    <s v="A968459X5B04911"/>
    <s v="A968459X5B04024"/>
    <s v="Rack"/>
    <s v="TWSPLG"/>
    <n v="1348"/>
    <s v="InTest"/>
  </r>
  <r>
    <s v="P25B02606"/>
    <s v="11/20/2025 1:41:45 AM"/>
    <x v="0"/>
    <s v="SR021118257763"/>
    <s v="RK001"/>
    <m/>
    <s v="11/20/2025"/>
    <x v="0"/>
    <s v="PDU Unable to power on (PDU無作用/不開機)"/>
    <s v="GB300 L10"/>
    <x v="1"/>
    <s v="A968459X5B07353"/>
    <s v="A968459X5B00989"/>
    <s v="Rack"/>
    <s v="TWSPLG"/>
    <n v="924"/>
    <s v="InTest"/>
  </r>
  <r>
    <s v="P25B02677"/>
    <s v="11/20/2025 12:50:34 PM"/>
    <x v="0"/>
    <s v="SR021118256394"/>
    <s v="RK203"/>
    <m/>
    <s v="11/20/2025"/>
    <x v="2"/>
    <s v="power led no light_更換POWER_TW640"/>
    <s v="Power Shelf Control Module"/>
    <x v="0"/>
    <s v="SV25382217"/>
    <s v="SV25382234"/>
    <s v="Rack"/>
    <s v="TWSPLG"/>
    <n v="640"/>
    <s v="InTest"/>
  </r>
  <r>
    <s v="P25B02680"/>
    <s v="11/20/2025 11:29:09 PM"/>
    <x v="0"/>
    <s v="SR021118257814"/>
    <s v="RK022"/>
    <m/>
    <s v="11/20/2025"/>
    <x v="0"/>
    <s v="Power Shelf無法更新(跟著POWER機箱)"/>
    <s v="Delta Power Shelf Left Input"/>
    <x v="4"/>
    <s v="DGPST254400PP"/>
    <s v="DGPST254400LL"/>
    <s v="Rack"/>
    <s v="TWSPLG"/>
    <n v="928"/>
    <s v="InTest"/>
  </r>
  <r>
    <s v="P25B02695"/>
    <s v="11/20/2025 11:38:45 PM"/>
    <x v="0"/>
    <s v="SR021118252547"/>
    <s v="RK022"/>
    <m/>
    <s v="11/20/2025"/>
    <x v="0"/>
    <s v="POWER 7 無法更新,換過其他台試過，已驗證為POWER本身機台問題"/>
    <s v="Delta power shelf right input"/>
    <x v="5"/>
    <s v="DGPSU254300SX"/>
    <s v="DGPSU25430024"/>
    <s v="Rack"/>
    <s v="TWSPLG"/>
    <n v="2874"/>
    <s v="InTest"/>
  </r>
  <r>
    <s v="P25B02696"/>
    <s v="11/20/2025 11:10:11 PM"/>
    <x v="0"/>
    <s v="SR021119252516"/>
    <s v="RK022"/>
    <m/>
    <s v="11/20/2025"/>
    <x v="0"/>
    <s v="POWER7的P1與P6無法運轉, 已驗證為固定電源位置問題"/>
    <s v="Delta power shelf right input"/>
    <x v="5"/>
    <s v="DGPSU254300GW"/>
    <s v="SR021119252516"/>
    <s v="Rack"/>
    <s v="TWSPLG"/>
    <n v="2874"/>
    <s v="InTest"/>
  </r>
  <r>
    <s v="P25B02737"/>
    <s v="11/20/2025 8:10:51 PM"/>
    <x v="0"/>
    <s v="SR021115257661"/>
    <s v="RK024"/>
    <m/>
    <s v="11/20/2025"/>
    <x v="0"/>
    <s v="Cable cartridge Defect"/>
    <s v="Cable Cartridge"/>
    <x v="3"/>
    <n v="1823025355555"/>
    <n v="1822525186527"/>
    <s v="Rack"/>
    <s v="TWSPLG"/>
    <n v="90131"/>
    <s v="InTest"/>
  </r>
  <r>
    <s v="P25B02739"/>
    <s v="11/20/2025 8:27:30 PM"/>
    <x v="0"/>
    <s v="SR021118256394"/>
    <s v="RK205"/>
    <m/>
    <s v="11/20/2025"/>
    <x v="0"/>
    <s v="GB200 L11 Compute Tray Nvidia Field Diag Test fail"/>
    <s v="GB300 L10"/>
    <x v="1"/>
    <s v="A968459X5B01056"/>
    <s v="A968459X5B07205"/>
    <s v="Rack"/>
    <s v="TWSPLG"/>
    <n v="90131"/>
    <s v="InTest"/>
  </r>
  <r>
    <s v="P25B02741"/>
    <s v="11/20/2025 8:31:18 PM"/>
    <x v="0"/>
    <s v="SR021118256394"/>
    <s v="RK205"/>
    <m/>
    <s v="11/20/2025"/>
    <x v="0"/>
    <s v="GB200 L11 Compute Tray Nvidia Field Diag Test fail"/>
    <s v="GB300 L10"/>
    <x v="1"/>
    <s v="A968459X5B01066"/>
    <s v="A968459X5B07188"/>
    <s v="Rack"/>
    <s v="TWSPLG"/>
    <n v="90131"/>
    <s v="InTest"/>
  </r>
  <r>
    <s v="P25B02766"/>
    <s v="11/21/2025 1:01:27 AM"/>
    <x v="0"/>
    <s v="SR021117253397"/>
    <s v="RK007"/>
    <m/>
    <s v="11/21/2025"/>
    <x v="0"/>
    <s v="Chassis defect"/>
    <s v="GB300 L10"/>
    <x v="1"/>
    <s v="A968459X5B06573"/>
    <s v="A968459X5B08463"/>
    <s v="Rack"/>
    <s v="TWSPLG"/>
    <n v="928"/>
    <s v="InTest"/>
  </r>
  <r>
    <s v="P25B02780"/>
    <s v="11/21/2025 8:30:21 PM"/>
    <x v="0"/>
    <s v="SR021119252516"/>
    <s v="RK023"/>
    <m/>
    <s v="11/21/2025"/>
    <x v="0"/>
    <s v="NVLINK Switch Functional Issue"/>
    <s v="NVSwitch"/>
    <x v="2"/>
    <s v="MT25426017U1"/>
    <s v="MT25336019J0"/>
    <s v="Rack"/>
    <s v="TWSPLG"/>
    <n v="928"/>
    <s v="InTest"/>
  </r>
  <r>
    <s v="P25B02781"/>
    <s v="11/21/2025 2:28:29 AM"/>
    <x v="0"/>
    <s v="SR021119255408"/>
    <s v="RK205"/>
    <m/>
    <s v="11/21/2025"/>
    <x v="0"/>
    <s v="GB200 L11 Compute Tray Nvidia Field Diag Test fail"/>
    <s v="GB300 L10"/>
    <x v="1"/>
    <s v="A968459X5B01056"/>
    <s v="A968459X5B08327"/>
    <s v="Rack"/>
    <s v="TWSPLG"/>
    <n v="90131"/>
    <s v="InTest"/>
  </r>
  <r>
    <s v="P25B02887"/>
    <s v="11/21/2025 1:28:18 PM"/>
    <x v="0"/>
    <s v="SR021118254785"/>
    <s v="RK109"/>
    <m/>
    <s v="11/21/2025"/>
    <x v="0"/>
    <s v="無法開機_更換單機_TW718"/>
    <s v="GB300 L10"/>
    <x v="1"/>
    <s v="A968459X5B05148"/>
    <s v="A968459X5B03975"/>
    <s v="Rack"/>
    <s v="TWSPLG"/>
    <n v="718"/>
    <s v="InTest"/>
  </r>
  <r>
    <s v="P25B02907"/>
    <s v="11/21/2025 11:35:04 PM"/>
    <x v="0"/>
    <s v="SR021119254472"/>
    <s v="RK022"/>
    <m/>
    <s v="11/21/2025"/>
    <x v="0"/>
    <s v="powershelf 無法更新"/>
    <s v="Delta power shelf right input"/>
    <x v="5"/>
    <s v="DGPSU254300QA"/>
    <s v="DGPSU25430027"/>
    <s v="Rack"/>
    <s v="TWSPLG"/>
    <n v="928"/>
    <s v="InTest"/>
  </r>
  <r>
    <s v="P25B02977"/>
    <s v="11/21/2025 6:35:02 PM"/>
    <x v="0"/>
    <s v="SR021119251778"/>
    <s v="RK107"/>
    <m/>
    <s v="11/21/2025"/>
    <x v="0"/>
    <s v="FAN MISSING"/>
    <s v="GB300 L10"/>
    <x v="1"/>
    <s v="A968459X5B07233"/>
    <s v="A968459X5B06261"/>
    <s v="Rack"/>
    <s v="TWSPLG"/>
    <n v="928"/>
    <s v="InTest"/>
  </r>
  <r>
    <s v="P25B02980"/>
    <s v="11/21/2025 6:40:25 PM"/>
    <x v="0"/>
    <s v="SR021119258145"/>
    <s v="MB002"/>
    <m/>
    <s v="11/21/2025"/>
    <x v="0"/>
    <s v="Unable to power on (無法開機,無電源)"/>
    <s v="GB300 L10"/>
    <x v="1"/>
    <s v="A968459X5A10446"/>
    <s v="A968459X5A10455"/>
    <s v="Rack"/>
    <s v="TWSPLG"/>
    <n v="928"/>
    <s v="InTest"/>
  </r>
  <r>
    <s v="P25B03001"/>
    <s v="11/21/2025 10:04:10 PM"/>
    <x v="0"/>
    <s v="SR021119256369"/>
    <s v="RK024"/>
    <m/>
    <s v="11/21/2025"/>
    <x v="0"/>
    <s v="Cable cartridge Defect"/>
    <s v="Cable Cartridge"/>
    <x v="3"/>
    <n v="1823325356289"/>
    <n v="1823525354161"/>
    <s v="Rack"/>
    <s v="TWSPLG"/>
    <n v="90131"/>
    <s v="InTest"/>
  </r>
  <r>
    <s v="P25B03060"/>
    <s v="11/22/2025 5:57:16 PM"/>
    <x v="0"/>
    <s v="SR021120253120"/>
    <s v="RK101"/>
    <m/>
    <s v="11/22/2025"/>
    <x v="0"/>
    <s v="#156 power shift #5update FAIL 固定位置(DGPSU254300TZ) 換#6側板一樣"/>
    <s v="Delta power shelf right input"/>
    <x v="5"/>
    <s v="DGPSU254300TZ"/>
    <s v="DGPSU2543002K"/>
    <s v="Rack"/>
    <s v="TWSPLG"/>
    <n v="924"/>
    <s v="InTest"/>
  </r>
  <r>
    <s v="P25B03061"/>
    <s v="11/22/2025 3:43:58 PM"/>
    <x v="0"/>
    <s v="SR021120257587"/>
    <s v="RK101"/>
    <m/>
    <s v="11/22/2025"/>
    <x v="2"/>
    <s v="#157 power shift #5update FAIL 跟著側板(SV25382293) 換#7側板正常_CMOS重跑OK"/>
    <s v="Power Shelf Control Module"/>
    <x v="0"/>
    <s v="SV25382293"/>
    <m/>
    <s v="Rack"/>
    <s v="TWSPLG"/>
    <n v="924"/>
    <s v="InTest"/>
  </r>
  <r>
    <s v="P25B03062"/>
    <s v="11/22/2025 3:43:58 PM"/>
    <x v="0"/>
    <s v="SR021120257587"/>
    <s v="RK101"/>
    <m/>
    <s v="11/22/2025"/>
    <x v="2"/>
    <s v="#157 power shift #6update FAIL 跟著側板(SV25382684) 換#8側板正常_CMOS重跑OK"/>
    <s v="Power Shelf Control Module"/>
    <x v="0"/>
    <s v="SV25382684"/>
    <m/>
    <s v="Rack"/>
    <s v="TWSPLG"/>
    <n v="924"/>
    <s v="InTest"/>
  </r>
  <r>
    <s v="P25B03063"/>
    <s v="11/22/2025 3:23:20 PM"/>
    <x v="0"/>
    <s v="SR021120256610"/>
    <s v="RK201"/>
    <m/>
    <s v="11/22/2025"/>
    <x v="0"/>
    <s v="GB200 L11 NVLink Switch Information Consistent Check fail"/>
    <s v="NVSwitch"/>
    <x v="2"/>
    <s v="MT25416041EB"/>
    <s v="MT25336019JB"/>
    <s v="Rack"/>
    <s v="TWSPLG"/>
    <n v="90131"/>
    <s v="InTest"/>
  </r>
  <r>
    <s v="P25B03065"/>
    <s v="11/22/2025 3:48:50 PM"/>
    <x v="0"/>
    <s v="SR021120252835"/>
    <s v="RK024"/>
    <m/>
    <s v="11/22/2025"/>
    <x v="0"/>
    <s v="Cable cartridge Defect"/>
    <s v="Cable Cartridge"/>
    <x v="3"/>
    <n v="2023725350496"/>
    <n v="1822825356453"/>
    <s v="Rack"/>
    <s v="TWSPLG"/>
    <n v="90066"/>
    <s v="InTest"/>
  </r>
  <r>
    <s v="P25B03067"/>
    <s v="11/22/2025 3:55:36 PM"/>
    <x v="0"/>
    <s v="SR021120251115"/>
    <s v="RK022"/>
    <m/>
    <s v="11/22/2025"/>
    <x v="0"/>
    <s v="Power Shelf Defective"/>
    <s v="Cable Cartridge"/>
    <x v="3"/>
    <s v="001823800DC9"/>
    <s v="001823800E0E"/>
    <s v="Rack"/>
    <s v="TWSPLG"/>
    <n v="90131"/>
    <s v="InTest"/>
  </r>
  <r>
    <s v="P25B03080"/>
    <s v="11/22/2025 5:42:16 PM"/>
    <x v="0"/>
    <s v="SR021120251115"/>
    <s v="RK200"/>
    <m/>
    <s v="11/22/2025"/>
    <x v="0"/>
    <s v="GB200 L11 Bring Up fail has missing information or could not be fully detected at /redfish/v1/Chassis/PowerShelf_0/PowerSubsystem/PowerSupplies/1"/>
    <s v="Delta power shelf right input"/>
    <x v="5"/>
    <s v="DGPSU254300J7"/>
    <s v="DGPSU254300YW"/>
    <s v="Rack"/>
    <s v="TWSPLG"/>
    <n v="90131"/>
    <s v="InTest"/>
  </r>
  <r>
    <s v="P25B03083"/>
    <s v="11/22/2025 5:57:42 PM"/>
    <x v="0"/>
    <s v="SR021118257763"/>
    <s v="RK106"/>
    <m/>
    <s v="11/22/2025"/>
    <x v="0"/>
    <s v="System sensor missing (only 71 NVLink status shows OK, expected 72)"/>
    <s v="GB300 L10"/>
    <x v="1"/>
    <s v="A968459X5B01936"/>
    <s v="A968459X5B08463"/>
    <s v="Rack"/>
    <s v="TWSPLG"/>
    <n v="928"/>
    <s v="InTest"/>
  </r>
  <r>
    <s v="P25B03084"/>
    <s v="11/22/2025 5:58:48 PM"/>
    <x v="0"/>
    <s v="SR021117251393"/>
    <s v="RK024"/>
    <m/>
    <s v="11/22/2025"/>
    <x v="0"/>
    <s v="Cable cartridge Defect"/>
    <s v="Cable Cartridge"/>
    <x v="3"/>
    <n v="1823225356444"/>
    <n v="1823425355997"/>
    <s v="Rack"/>
    <s v="TWSPLG"/>
    <n v="90131"/>
    <s v="InTest"/>
  </r>
  <r>
    <s v="P25B03086"/>
    <s v="11/22/2025 6:03:58 PM"/>
    <x v="0"/>
    <s v="SR021117251393"/>
    <s v="RK023"/>
    <m/>
    <s v="11/22/2025"/>
    <x v="0"/>
    <s v="NVLINK Switch Functional Issue"/>
    <s v="NVSwitch"/>
    <x v="2"/>
    <s v="MT2533601END"/>
    <s v="MT25326027PT"/>
    <s v="Rack"/>
    <s v="TWSPLG"/>
    <n v="90131"/>
    <s v="InTest"/>
  </r>
  <r>
    <s v="P25B03092"/>
    <s v="11/23/2025 8:34:56 PM"/>
    <x v="0"/>
    <s v="SR021118257763"/>
    <s v="RK002"/>
    <m/>
    <s v="11/22/2025"/>
    <x v="1"/>
    <s v="DOA - Switch no function/power (Switch無作用/無電源)"/>
    <s v="GB300 L10"/>
    <x v="1"/>
    <s v="A968459X5B08463"/>
    <m/>
    <s v="Rack"/>
    <s v="TWSPLG"/>
    <n v="90164"/>
    <s v="InTest"/>
  </r>
  <r>
    <s v="P25B03097"/>
    <s v="11/22/2025 7:34:08 PM"/>
    <x v="0"/>
    <s v="SR021120257589"/>
    <s v="RK023"/>
    <m/>
    <s v="11/22/2025"/>
    <x v="0"/>
    <s v="NVLINK Switch Functional Issue"/>
    <s v="NVSwitch"/>
    <x v="2"/>
    <s v="MT25416046FD"/>
    <s v="MT2532602JGJ"/>
    <s v="Rack"/>
    <s v="TWSPLG"/>
    <n v="90131"/>
    <s v="InTest"/>
  </r>
  <r>
    <s v="P25B03102"/>
    <s v="11/22/2025 8:20:55 PM"/>
    <x v="0"/>
    <s v="SR021118252670"/>
    <s v="RK024"/>
    <m/>
    <s v="11/22/2025"/>
    <x v="0"/>
    <s v="Cable cartridge Defect (Bend pin)"/>
    <s v="Cable Cartridge"/>
    <x v="3"/>
    <n v="1822825355028"/>
    <n v="1822825356593"/>
    <s v="Rack"/>
    <s v="TWSPLG"/>
    <n v="928"/>
    <s v="InTest"/>
  </r>
  <r>
    <s v="P25B03104"/>
    <s v="11/22/2025 8:59:39 PM"/>
    <x v="0"/>
    <s v="SR021119254472"/>
    <s v="RK106"/>
    <m/>
    <s v="11/22/2025"/>
    <x v="0"/>
    <s v="71 NVLink status"/>
    <s v="GB300 L10"/>
    <x v="1"/>
    <s v="A968459X5B08088"/>
    <s v="A968459X5B06265"/>
    <s v="Rack"/>
    <s v="TWSPLG"/>
    <n v="90164"/>
    <s v="InTest"/>
  </r>
  <r>
    <s v="P25B03107"/>
    <s v="11/22/2025 9:46:41 PM"/>
    <x v="0"/>
    <s v="SR021120252835"/>
    <s v="RK120"/>
    <m/>
    <s v="11/22/2025"/>
    <x v="0"/>
    <s v="IPMI no response/ no IP detected"/>
    <s v="GB300 L10"/>
    <x v="1"/>
    <s v="A968459X5B07224"/>
    <s v="A968459X5B08395"/>
    <s v="Rack"/>
    <s v="TWSPLG"/>
    <n v="928"/>
    <s v="InTest"/>
  </r>
  <r>
    <s v="P25B03121"/>
    <s v="11/22/2025 10:10:00 PM"/>
    <x v="0"/>
    <s v="SR021120253120"/>
    <s v="RK107"/>
    <m/>
    <s v="11/22/2025"/>
    <x v="0"/>
    <s v="System sensor fail"/>
    <s v="GB300 L10"/>
    <x v="1"/>
    <s v="A968459X5B08848"/>
    <s v="A968459X5B08747"/>
    <s v="Rack"/>
    <s v="TWSPLG"/>
    <n v="90164"/>
    <s v="InTest"/>
  </r>
  <r>
    <s v="P25B03123"/>
    <s v="11/22/2025 10:23:12 PM"/>
    <x v="0"/>
    <s v="SR021120257589"/>
    <s v="RK200"/>
    <m/>
    <s v="11/22/2025"/>
    <x v="0"/>
    <s v="Cannot power on faild log in BMC SEL"/>
    <s v="GB300 L10"/>
    <x v="1"/>
    <s v="A968459X5B03169"/>
    <s v="A968459X5B11213"/>
    <s v="Rack"/>
    <s v="TWSPLG"/>
    <n v="90131"/>
    <s v="InTest"/>
  </r>
  <r>
    <s v="P25B03124"/>
    <s v="11/22/2025 10:24:53 PM"/>
    <x v="0"/>
    <s v="SR021119258145"/>
    <s v="RK107"/>
    <m/>
    <s v="11/22/2025"/>
    <x v="0"/>
    <s v="System sensor fail"/>
    <s v="GB300 L10"/>
    <x v="1"/>
    <s v="A968459X5A08929"/>
    <s v="A968459X5A08954"/>
    <s v="Rack"/>
    <s v="TWSPLG"/>
    <n v="928"/>
    <s v="InTest"/>
  </r>
  <r>
    <s v="P25B03135"/>
    <s v="11/22/2025 11:21:51 PM"/>
    <x v="0"/>
    <s v="SR021117251393"/>
    <s v="RK024"/>
    <m/>
    <s v="11/22/2025"/>
    <x v="0"/>
    <s v="Cable cartridge Defect"/>
    <s v="Cable Cartridge"/>
    <x v="3"/>
    <n v="1822825355448"/>
    <n v="1823325356240"/>
    <s v="Rack"/>
    <s v="TWSPLG"/>
    <n v="90131"/>
    <s v="InTest"/>
  </r>
  <r>
    <s v="P25B03138"/>
    <s v="11/23/2025 12:31:13 AM"/>
    <x v="0"/>
    <s v="SR021119254472"/>
    <s v="RK023"/>
    <m/>
    <s v="11/23/2025"/>
    <x v="0"/>
    <s v="NVLINK Switch Functional Issue"/>
    <s v="NVSwitch"/>
    <x v="2"/>
    <s v="MT2533602LJJ"/>
    <s v="MT25416010L9"/>
    <s v="Rack"/>
    <s v="TWSPLG"/>
    <n v="928"/>
    <s v="InTest"/>
  </r>
  <r>
    <s v="P25B03141"/>
    <s v="11/23/2025 12:42:59 AM"/>
    <x v="0"/>
    <s v="SR021120259624"/>
    <s v="RK209"/>
    <m/>
    <s v="11/23/2025"/>
    <x v="0"/>
    <s v="L11 GPU Burn Test ECC detected an uncorrectable error"/>
    <s v="GB300 L10"/>
    <x v="1"/>
    <s v="A968459X5B05971"/>
    <s v="A968459X5B08494"/>
    <s v="Rack"/>
    <s v="TWSPLG"/>
    <n v="90164"/>
    <s v="InTest"/>
  </r>
  <r>
    <s v="P25B03152"/>
    <s v="11/23/2025 1:42:33 AM"/>
    <x v="0"/>
    <s v="SR021120257214"/>
    <s v="RK102"/>
    <m/>
    <s v="11/23/2025"/>
    <x v="0"/>
    <s v="BMC flash fail"/>
    <s v="GB300 L10"/>
    <x v="1"/>
    <s v="A968459X5B02674"/>
    <s v="A968459X5B08506"/>
    <s v="Rack"/>
    <s v="TWSPLG"/>
    <n v="928"/>
    <s v="InTest"/>
  </r>
  <r>
    <s v="P25B03172"/>
    <s v="11/23/2025 3:36:25 PM"/>
    <x v="0"/>
    <s v="SR021120253962"/>
    <s v="RK002"/>
    <m/>
    <s v="11/23/2025"/>
    <x v="0"/>
    <s v="DOA - Switch no function/power (Switch無作用/無電源)"/>
    <s v="GB300 L10"/>
    <x v="1"/>
    <s v="A968459X5B00994"/>
    <s v="A968459X5B08851"/>
    <s v="Rack"/>
    <s v="TWSPLG"/>
    <n v="90131"/>
    <s v="InTest"/>
  </r>
  <r>
    <s v="P25B03186"/>
    <s v="11/23/2025 5:11:43 PM"/>
    <x v="0"/>
    <s v="SR021117253397"/>
    <s v="RK024"/>
    <m/>
    <s v="11/23/2025"/>
    <x v="0"/>
    <s v="Cable cartridge Defect"/>
    <s v="Cable Cartridge"/>
    <x v="3"/>
    <n v="1823325356954"/>
    <n v="1823325356289"/>
    <s v="Rack"/>
    <s v="TWSPLG"/>
    <n v="1291"/>
    <s v="InTest"/>
  </r>
  <r>
    <s v="P25B03187"/>
    <s v="11/23/2025 5:20:00 PM"/>
    <x v="0"/>
    <s v="SR021118255581"/>
    <s v="RK209"/>
    <m/>
    <s v="11/23/2025"/>
    <x v="0"/>
    <s v="ECC detected an uncorrectable error"/>
    <s v="GB300 L10"/>
    <x v="1"/>
    <s v="A968459X5B07140"/>
    <s v="A968459X5B08875"/>
    <s v="Rack"/>
    <s v="TWSPLG"/>
    <n v="90164"/>
    <s v="InTest"/>
  </r>
  <r>
    <s v="P25B03193"/>
    <s v="11/23/2025 6:36:01 PM"/>
    <x v="0"/>
    <s v="SR021118255581"/>
    <s v="RK024"/>
    <m/>
    <s v="11/23/2025"/>
    <x v="0"/>
    <s v="Cable cartridge Defect/ bent pin"/>
    <s v="Cable Cartridge"/>
    <x v="3"/>
    <n v="1823025355555"/>
    <n v="1824125354594"/>
    <s v="Rack"/>
    <s v="TWSPLG"/>
    <n v="90164"/>
    <s v="InTest"/>
  </r>
  <r>
    <s v="P25B03198"/>
    <s v="11/23/2025 7:54:12 PM"/>
    <x v="0"/>
    <s v="SR021122259974"/>
    <s v="MB007"/>
    <m/>
    <s v="11/23/2025"/>
    <x v="0"/>
    <s v="Causes system automatically reboot (自動重開機)auto shutdown"/>
    <s v="GB300 L10"/>
    <x v="1"/>
    <s v="A968459X5B03993"/>
    <s v="A968459X5B00962"/>
    <s v="Rack"/>
    <s v="TX2-5S"/>
    <n v="90164"/>
    <s v="InTest"/>
  </r>
  <r>
    <s v="P25B03200"/>
    <s v="11/23/2025 8:15:51 PM"/>
    <x v="0"/>
    <s v="SR021120251493"/>
    <s v="RK023"/>
    <m/>
    <s v="11/23/2025"/>
    <x v="0"/>
    <s v="NVLINK Switch Functional Issue"/>
    <s v="NVSwitch"/>
    <x v="2"/>
    <s v="MT2541603WHK"/>
    <s v="MT25336019HZ"/>
    <s v="Rack"/>
    <s v="TWSPLG"/>
    <n v="90131"/>
    <s v="InTest"/>
  </r>
  <r>
    <s v="P25B03238"/>
    <s v="11/24/2025 9:26:00 AM"/>
    <x v="0"/>
    <s v="SR021120251508"/>
    <s v="RK024"/>
    <m/>
    <s v="11/24/2025"/>
    <x v="0"/>
    <s v="Cable cartridge Defect"/>
    <s v="Cable Cartridge"/>
    <x v="3"/>
    <n v="2023725350504"/>
    <n v="1823325355953"/>
    <s v="Rack"/>
    <s v="TWSPLG"/>
    <n v="640"/>
    <s v="InTest"/>
  </r>
  <r>
    <s v="P25B03239"/>
    <s v="11/24/2025 9:37:34 AM"/>
    <x v="0"/>
    <s v="SR021122254667"/>
    <s v="RK024"/>
    <m/>
    <s v="11/24/2025"/>
    <x v="0"/>
    <s v="Cable cartridge Defect"/>
    <s v="Cable Cartridge"/>
    <x v="3"/>
    <n v="1823225356127"/>
    <n v="1823325355840"/>
    <s v="Rack"/>
    <s v="TX2-5S"/>
    <n v="640"/>
    <s v="InTest"/>
  </r>
  <r>
    <s v="P25B03265"/>
    <s v="11/24/2025 10:45:08 PM"/>
    <x v="0"/>
    <s v="SR021120255357"/>
    <s v="NT012"/>
    <m/>
    <s v="11/24/2025"/>
    <x v="1"/>
    <s v="L11 TEST:CC2測試異常"/>
    <s v="Cable Cartridge"/>
    <x v="3"/>
    <n v="2023825350556"/>
    <m/>
    <s v="Rack"/>
    <s v="TWSPLG"/>
    <n v="1519"/>
    <s v="InTest"/>
  </r>
  <r>
    <s v="P25B03282"/>
    <s v="11/24/2025 4:25:00 PM"/>
    <x v="0"/>
    <s v="SR021120251508"/>
    <s v="RK024"/>
    <m/>
    <s v="11/24/2025"/>
    <x v="0"/>
    <s v="Cable cartridge Defect"/>
    <s v="Cable Cartridge"/>
    <x v="3"/>
    <n v="1823325355953"/>
    <n v="1823325355978"/>
    <s v="Rack"/>
    <s v="TWSPLG"/>
    <n v="90131"/>
    <s v="InTest"/>
  </r>
  <r>
    <s v="P25B03284"/>
    <s v="11/24/2025 4:50:47 PM"/>
    <x v="0"/>
    <s v="SR021122258418"/>
    <s v="RK024"/>
    <m/>
    <s v="11/24/2025"/>
    <x v="0"/>
    <s v="Cable cartridge Defect BENT PIN"/>
    <s v="Cable Cartridge"/>
    <x v="3"/>
    <n v="1823325354842"/>
    <n v="1823325356201"/>
    <s v="Rack"/>
    <s v="TX2-5S"/>
    <n v="90131"/>
    <s v="InTest"/>
  </r>
  <r>
    <s v="P25B03297"/>
    <s v="11/24/2025 6:16:05 PM"/>
    <x v="0"/>
    <s v="SR021119254472"/>
    <s v="RK024"/>
    <m/>
    <s v="11/24/2025"/>
    <x v="0"/>
    <s v="Cable cartridge Defect (Bend Pin)"/>
    <s v="Cable Cartridge"/>
    <x v="3"/>
    <n v="1823225355838"/>
    <n v="1823625355796"/>
    <s v="Rack"/>
    <s v="TWSPLG"/>
    <n v="928"/>
    <s v="InTest"/>
  </r>
  <r>
    <s v="P25B03302"/>
    <s v="11/24/2025 7:39:15 PM"/>
    <x v="0"/>
    <s v="SR021115253517"/>
    <s v="RK098"/>
    <m/>
    <s v="11/24/2025"/>
    <x v="0"/>
    <s v="燒機0018:06:00.0_SN_1654025117338 | ECC detected an uncorrectable error in FB @(Rack slot 21, CBC 4, 4x19 connector 4)"/>
    <s v="GB300 L10"/>
    <x v="1"/>
    <s v="A968459X5B05974"/>
    <s v="A968459X5B04028"/>
    <s v="Rack"/>
    <s v="TWSPLG"/>
    <n v="90131"/>
    <s v="InTest"/>
  </r>
  <r>
    <s v="P25B03310"/>
    <s v="11/24/2025 8:33:46 PM"/>
    <x v="0"/>
    <s v="SR021118255581"/>
    <s v="RK202"/>
    <m/>
    <s v="11/24/2025"/>
    <x v="0"/>
    <s v="ECC detected an uncorrectable error in FB @(Rack slot 25, CBC 1, 4x19 connector"/>
    <s v="GB300 L10"/>
    <x v="1"/>
    <s v="A968459X5B07143"/>
    <s v="A968459X5B08072"/>
    <s v="Rack"/>
    <s v="TWSPLG"/>
    <n v="90164"/>
    <s v="InTest"/>
  </r>
  <r>
    <s v="P25B03318"/>
    <s v="11/24/2025 9:05:50 PM"/>
    <x v="0"/>
    <s v="SR021122256523"/>
    <s v="RK098"/>
    <m/>
    <s v="11/24/2025"/>
    <x v="0"/>
    <s v="紀錄BMC EventLog: Sensor 'Chassis_0_LeakDetector_1_Manifold' reading of 0.203900 (Volts) is below the 1.300000 lower critical threshold."/>
    <s v="GB300 L10"/>
    <x v="1"/>
    <s v="A968459X5B08557"/>
    <s v="A968459X5B04029"/>
    <s v="Rack"/>
    <s v="TX2-5S"/>
    <n v="90131"/>
    <s v="InTest"/>
  </r>
  <r>
    <s v="P25B03332"/>
    <s v="11/24/2025 11:06:13 PM"/>
    <x v="0"/>
    <s v="SR021122259974"/>
    <s v="RK209"/>
    <m/>
    <s v="11/24/2025"/>
    <x v="0"/>
    <s v="node 10, 1 GPU MISSING"/>
    <s v="GB300 L10"/>
    <x v="1"/>
    <s v="A968459X5B08156"/>
    <s v="A968459X5B11192"/>
    <s v="Rack"/>
    <s v="TX2-5S"/>
    <n v="90164"/>
    <s v="InTest"/>
  </r>
  <r>
    <s v="P25B03335"/>
    <s v="11/24/2025 11:23:51 PM"/>
    <x v="0"/>
    <s v="SR021120255357"/>
    <s v="RK209"/>
    <m/>
    <s v="11/24/2025"/>
    <x v="0"/>
    <s v="NODE 5, 1 GPU MISSING"/>
    <s v="GB300 L10"/>
    <x v="1"/>
    <s v="A968459X5B08453"/>
    <s v="A968459X5B09222"/>
    <s v="Rack"/>
    <s v="TWSPLG"/>
    <n v="90164"/>
    <s v="InTest"/>
  </r>
  <r>
    <s v="P25B03354"/>
    <s v="11/25/2025 12:17:02 AM"/>
    <x v="0"/>
    <s v="SR021122251559"/>
    <s v="RK022"/>
    <m/>
    <s v="11/25/2025"/>
    <x v="0"/>
    <s v="Power Shelf Defective / UNABLE TO UPDATE"/>
    <s v="Delta Power Shelf Left Input"/>
    <x v="4"/>
    <s v="DGPST254400PA"/>
    <s v="DGPST253701DK"/>
    <s v="Rack"/>
    <s v="TX2-5S"/>
    <n v="928"/>
    <s v="InTest"/>
  </r>
  <r>
    <s v="P25B03368"/>
    <s v="11/25/2025 1:26:49 AM"/>
    <x v="0"/>
    <s v="SR021122258222"/>
    <s v="RK024"/>
    <m/>
    <s v="11/25/2025"/>
    <x v="0"/>
    <s v="SLOT16 Bent pin"/>
    <s v="Cable Cartridge"/>
    <x v="3"/>
    <n v="1823525354015"/>
    <n v="1823325356052"/>
    <s v="Rack"/>
    <s v="TX2-5S"/>
    <n v="1348"/>
    <s v="InTest"/>
  </r>
  <r>
    <s v="P25B03369"/>
    <s v="11/25/2025 1:28:22 AM"/>
    <x v="0"/>
    <s v="SR021122258222"/>
    <s v="RK024"/>
    <m/>
    <s v="11/25/2025"/>
    <x v="0"/>
    <s v="SLOT17 Bent PIN"/>
    <s v="Cable Cartridge"/>
    <x v="3"/>
    <n v="1823425356467"/>
    <n v="1823425355583"/>
    <s v="Rack"/>
    <s v="TX2-5S"/>
    <n v="1348"/>
    <s v="InTest"/>
  </r>
  <r>
    <s v="P25B03374"/>
    <s v="11/25/2025 1:42:44 AM"/>
    <x v="0"/>
    <s v="SR021117253397"/>
    <s v="RK024"/>
    <m/>
    <s v="11/25/2025"/>
    <x v="0"/>
    <s v="Cable cartridge Defect"/>
    <s v="Cable Cartridge"/>
    <x v="3"/>
    <n v="1823325356289"/>
    <n v="1823525354195"/>
    <s v="Rack"/>
    <s v="TWSPLG"/>
    <n v="928"/>
    <s v="InTest"/>
  </r>
  <r>
    <s v="P25B03385"/>
    <s v="11/26/2025 1:46:23 AM"/>
    <x v="0"/>
    <s v="SR021119258145"/>
    <s v="RK205"/>
    <m/>
    <s v="11/25/2025"/>
    <x v="1"/>
    <s v="RACK SN SR021119258145 Cable Cartridge L11 FD Test [FAIL] COMPUTE_NODE_2 Error while invoking api /redfish/v1/Chassis/CBC_2. Error message"/>
    <s v="GB300 L10"/>
    <x v="1"/>
    <s v="A968459X5A08966"/>
    <m/>
    <s v="Rack"/>
    <s v="TWSPLG"/>
    <n v="924"/>
    <s v="InTest"/>
  </r>
  <r>
    <s v="P25B03445"/>
    <s v="11/26/2025 5:13:47 PM"/>
    <x v="0"/>
    <s v="SR021125251418"/>
    <s v="AS001"/>
    <m/>
    <s v="11/25/2025"/>
    <x v="0"/>
    <s v="L11 Bring-up - PMB電池脫落"/>
    <s v="Power Shelf Control Module"/>
    <x v="0"/>
    <s v="SV25382827"/>
    <s v="SV25384295"/>
    <s v="Rack"/>
    <s v="TX2-5S"/>
    <n v="924"/>
    <s v="InTest"/>
  </r>
  <r>
    <s v="P25B03452"/>
    <s v="11/25/2025 4:53:28 PM"/>
    <x v="0"/>
    <s v="SR021125255042"/>
    <s v="RK022"/>
    <m/>
    <s v="11/25/2025"/>
    <x v="0"/>
    <s v="Power Shelf Defective"/>
    <s v="Cable Cartridge"/>
    <x v="3"/>
    <n v="1823800772"/>
    <n v="1823801161"/>
    <s v="Rack"/>
    <s v="TX2-5S"/>
    <n v="2131"/>
    <s v="InTest"/>
  </r>
  <r>
    <s v="P25B03454"/>
    <s v="11/25/2025 5:11:53 PM"/>
    <x v="0"/>
    <s v="SR021122259062"/>
    <s v="RK002"/>
    <m/>
    <s v="11/25/2025"/>
    <x v="0"/>
    <s v="Unable to power on always shutting down"/>
    <s v="GB300 L10"/>
    <x v="1"/>
    <s v="A968459X5B10009"/>
    <s v="A968459X5B09654"/>
    <s v="Rack"/>
    <s v="TX2-5S"/>
    <n v="90131"/>
    <s v="InTest"/>
  </r>
  <r>
    <s v="P25B03456"/>
    <s v="11/25/2025 5:20:14 PM"/>
    <x v="0"/>
    <s v="SR021122259062"/>
    <s v="RK002"/>
    <m/>
    <s v="11/25/2025"/>
    <x v="0"/>
    <s v="Unable to power on always shutting down"/>
    <s v="GB300 L10"/>
    <x v="1"/>
    <s v="A968459X5B10011"/>
    <s v="A968459X5B08501"/>
    <s v="Rack"/>
    <s v="TX2-5S"/>
    <n v="90131"/>
    <s v="InTest"/>
  </r>
  <r>
    <s v="P25B03477"/>
    <s v="11/25/2025 7:53:10 PM"/>
    <x v="0"/>
    <s v="SR021122259980"/>
    <s v="RK205"/>
    <m/>
    <s v="11/25/2025"/>
    <x v="0"/>
    <s v="Missing one GPU"/>
    <s v="GB300 L10"/>
    <x v="1"/>
    <s v="A968459X5B09962"/>
    <s v="A968459X5B08841"/>
    <s v="Rack"/>
    <s v="TX2-5S"/>
    <n v="90131"/>
    <s v="InTest"/>
  </r>
  <r>
    <s v="P25B03479"/>
    <s v="11/25/2025 8:08:39 PM"/>
    <x v="0"/>
    <s v="SR021120257281"/>
    <s v="RK205"/>
    <m/>
    <s v="11/25/2025"/>
    <x v="0"/>
    <s v="0019:06:00.0_SN_1654125050567 | C2C bus error @(Rack slot 5, CBC 3, 4x19 connector 3) change new"/>
    <s v="GB300 L10"/>
    <x v="1"/>
    <s v="A968459X5B08877"/>
    <s v="A968459X5B08570"/>
    <s v="Rack"/>
    <s v="TWSPLG"/>
    <n v="90131"/>
    <s v="InTest"/>
  </r>
  <r>
    <s v="P25B03480"/>
    <s v="11/25/2025 8:10:22 PM"/>
    <x v="0"/>
    <s v="SR021125257651"/>
    <s v="MB002"/>
    <m/>
    <s v="11/25/2025"/>
    <x v="0"/>
    <s v="L11 FAIL DOA - Unable to power on"/>
    <s v="GB300 L10"/>
    <x v="1"/>
    <s v="A968459X5B09395"/>
    <s v="A968459X5B04706"/>
    <s v="Rack"/>
    <s v="TX2-5S"/>
    <n v="90066"/>
    <s v="InTest"/>
  </r>
  <r>
    <s v="P25B03487"/>
    <s v="11/25/2025 9:07:11 PM"/>
    <x v="0"/>
    <s v="SR021120251722"/>
    <s v="RK205"/>
    <m/>
    <s v="11/25/2025"/>
    <x v="0"/>
    <s v="NVSwitch 1 [Pci 009b:00:201.0] nvlink 11 is in an unexpected state @(Rack slot 11, CBC 4, 8x10 connector 8, column 4, pins C/D,"/>
    <s v="GB300 L10"/>
    <x v="1"/>
    <s v="A968459X5B07339"/>
    <s v="A968459X5B08536"/>
    <s v="Rack"/>
    <s v="TWSPLG"/>
    <n v="90131"/>
    <s v="InTest"/>
  </r>
  <r>
    <s v="P25B03505"/>
    <s v="11/25/2025 10:42:40 PM"/>
    <x v="0"/>
    <s v="SR021122259062"/>
    <s v="RK205"/>
    <m/>
    <s v="11/25/2025"/>
    <x v="0"/>
    <s v="0008:06:00.0_SN_1654225048820 | Acceptable temperature limits exceeded or the thermal sensor is broken or miscalibrated @(Rack slot 18, CBC 2, 4x19 connector 2)"/>
    <s v="GB300 L10"/>
    <x v="1"/>
    <s v="A968459X5B09545"/>
    <s v="A968459X5B11809"/>
    <s v="Rack"/>
    <s v="TX2-5S"/>
    <n v="90131"/>
    <s v="InTest"/>
  </r>
  <r>
    <s v="P25B03514"/>
    <s v="11/25/2025 11:23:32 PM"/>
    <x v="0"/>
    <s v="SR021125251566"/>
    <s v="RK111"/>
    <m/>
    <s v="11/25/2025"/>
    <x v="0"/>
    <s v="L11 NIC-1 Information NULL"/>
    <s v="GB300 L10"/>
    <x v="1"/>
    <s v="A968459X5B10963"/>
    <s v="A968459X5B09464"/>
    <s v="Rack"/>
    <s v="TX2-5S"/>
    <n v="90066"/>
    <s v="InTest"/>
  </r>
  <r>
    <s v="P25B03515"/>
    <s v="11/25/2025 11:30:27 PM"/>
    <x v="0"/>
    <s v="SR021120251508"/>
    <s v="RK023"/>
    <m/>
    <s v="11/25/2025"/>
    <x v="0"/>
    <s v="NVLINK Switch Functional Issue"/>
    <s v="NVSwitch"/>
    <x v="2"/>
    <s v="MT25416010TP"/>
    <s v="MT25336019HW"/>
    <s v="Rack"/>
    <s v="TWSPLG"/>
    <n v="90131"/>
    <s v="InTest"/>
  </r>
  <r>
    <s v="P25B03525"/>
    <s v="11/26/2025 12:50:43 AM"/>
    <x v="0"/>
    <s v="SR021125255042"/>
    <s v="MB007"/>
    <m/>
    <s v="11/26/2025"/>
    <x v="0"/>
    <s v="Causes system automatically reboot L11"/>
    <s v="GB300 L10"/>
    <x v="1"/>
    <s v="A968459X5B09951"/>
    <s v="A968459X5B10960"/>
    <s v="Rack"/>
    <s v="TX2-5S"/>
    <n v="90066"/>
    <s v="InTest"/>
  </r>
  <r>
    <s v="P25B03532"/>
    <s v="11/26/2025 1:39:10 AM"/>
    <x v="0"/>
    <s v="SR021125254027"/>
    <s v="RK022"/>
    <m/>
    <s v="11/26/2025"/>
    <x v="0"/>
    <s v="無法更新"/>
    <s v="Delta Power Shelf Left Input"/>
    <x v="4"/>
    <s v="DGPST2544003Y"/>
    <s v="DGPST254400B0"/>
    <s v="Rack"/>
    <s v="TX2-5S"/>
    <n v="1348"/>
    <s v="InTest"/>
  </r>
  <r>
    <s v="P25B03539"/>
    <s v="11/26/2025 9:29:27 AM"/>
    <x v="0"/>
    <s v="SR021125254018"/>
    <s v="RK200"/>
    <m/>
    <s v="11/26/2025"/>
    <x v="0"/>
    <s v="PowerShelf#2 Firmware check FAIL(PMB煥到別台OK)_TW2930_更換SRK-01DTPF-33B1-01"/>
    <s v="Delta Power Shelf Left Input"/>
    <x v="4"/>
    <s v="DGPST2544000R"/>
    <s v="DGPST2544008M"/>
    <s v="Rack"/>
    <s v="TX2-5S"/>
    <n v="924"/>
    <s v="InTest"/>
  </r>
  <r>
    <s v="P25B03558"/>
    <s v="11/26/2025 9:28:07 AM"/>
    <x v="0"/>
    <s v="SR021118252612"/>
    <s v="RK209"/>
    <m/>
    <s v="11/26/2025"/>
    <x v="0"/>
    <s v="GPU GB300 LOG 少MAXQ"/>
    <s v="GB300 L10"/>
    <x v="1"/>
    <s v="A968459X5B03255"/>
    <s v="A968459X5B08209"/>
    <s v="Rack"/>
    <s v="TWSPLG"/>
    <n v="718"/>
    <s v="InTest"/>
  </r>
  <r>
    <s v="P25B03562"/>
    <s v="11/26/2025 10:03:17 AM"/>
    <x v="0"/>
    <s v="SR021125257657"/>
    <s v="RK098"/>
    <m/>
    <s v="11/26/2025"/>
    <x v="0"/>
    <s v="面板LED燈號不亮_更換單機_TW640"/>
    <s v="GB300 L10"/>
    <x v="1"/>
    <s v="A968459X5B06515"/>
    <s v="A968459X5B08394"/>
    <s v="Rack"/>
    <s v="TX2-5S"/>
    <n v="640"/>
    <s v="InTest"/>
  </r>
  <r>
    <s v="P25B03569"/>
    <s v="11/26/2025 11:50:49 AM"/>
    <x v="0"/>
    <s v="SR021125251404"/>
    <s v="RK109"/>
    <m/>
    <s v="11/26/2025"/>
    <x v="0"/>
    <s v="會自動關機_更換單機_TW640"/>
    <s v="GB300 L10"/>
    <x v="1"/>
    <s v="A968459X5B08665"/>
    <s v="A968459X5B08810"/>
    <s v="Rack"/>
    <s v="TX2-5S"/>
    <n v="640"/>
    <s v="InTest"/>
  </r>
  <r>
    <s v="P25B03632"/>
    <s v="11/26/2025 3:55:49 PM"/>
    <x v="0"/>
    <s v="SR021120255357"/>
    <s v="RK024"/>
    <m/>
    <s v="11/26/2025"/>
    <x v="0"/>
    <s v="L11 CC3_C0_Lane_10 ,link_bad_quality_high_ber"/>
    <s v="Cable Cartridge"/>
    <x v="3"/>
    <n v="2023825350557"/>
    <n v="1823425356086"/>
    <s v="Rack"/>
    <s v="TWSPLG"/>
    <n v="90066"/>
    <s v="InTest"/>
  </r>
  <r>
    <s v="P25B03687"/>
    <s v="11/26/2025 7:50:48 PM"/>
    <x v="0"/>
    <s v="SR021122259062"/>
    <s v="RK205"/>
    <m/>
    <s v="11/26/2025"/>
    <x v="0"/>
    <s v="Error while invoking api /redfish/v1/Chassis/CBC_1. Error message =&gt; The requested resource of type Chassis named 'CBC_1' was not found."/>
    <s v="GB300 L10"/>
    <x v="1"/>
    <s v="A968459X5B09632"/>
    <s v="A968459X5B11808"/>
    <s v="Rack"/>
    <s v="TX2-5S"/>
    <n v="90131"/>
    <s v="InTest"/>
  </r>
  <r>
    <s v="P25B03693"/>
    <s v="11/26/2025 8:38:14 PM"/>
    <x v="0"/>
    <s v="SR021125255948"/>
    <s v="RK105"/>
    <m/>
    <s v="11/26/2025"/>
    <x v="0"/>
    <s v="Chassis_0_LeakDetector_1_Manifold"/>
    <s v="GB300 L10"/>
    <x v="1"/>
    <s v="A968459X5B11705"/>
    <s v="A968459X5B07175"/>
    <s v="Rack"/>
    <s v="TX2-5S"/>
    <n v="90066"/>
    <s v="InTest"/>
  </r>
  <r>
    <s v="P25B03699"/>
    <s v="11/26/2025 9:52:58 PM"/>
    <x v="0"/>
    <s v="SR021122259980"/>
    <s v="RK205"/>
    <m/>
    <s v="11/26/2025"/>
    <x v="0"/>
    <s v="Got exit code 7 while executing ('curl', '--silent', '--insecure', '--user', 'smctest:Supermicro@123', 'https://10.100.30.8/redfish/v1/Chassis/CBC_0')"/>
    <s v="GB300 L10"/>
    <x v="1"/>
    <s v="A968459X5B01066"/>
    <s v="A968459X5B11592"/>
    <s v="Rack"/>
    <s v="TX2-5S"/>
    <n v="90131"/>
    <s v="InTest"/>
  </r>
  <r>
    <s v="P25B03704"/>
    <s v="11/26/2025 10:25:19 PM"/>
    <x v="0"/>
    <s v="SR021125255948"/>
    <s v="RK024"/>
    <m/>
    <s v="11/26/2025"/>
    <x v="0"/>
    <s v="Cable cartridge Defect ( BEND PIN)"/>
    <s v="Cable Cartridge"/>
    <x v="3"/>
    <n v="2024225350036"/>
    <n v="1822525185494"/>
    <s v="Rack"/>
    <s v="TX2-5S"/>
    <n v="90066"/>
    <s v="InTest"/>
  </r>
  <r>
    <s v="P25B03705"/>
    <s v="11/26/2025 10:27:20 PM"/>
    <x v="0"/>
    <s v="SR021125259844"/>
    <s v="RK203"/>
    <m/>
    <s v="11/26/2025"/>
    <x v="0"/>
    <s v="L11 Power Shelf fail/ can't update"/>
    <s v="Delta Power Shelf Left Input"/>
    <x v="4"/>
    <s v="DGPST25440031"/>
    <s v="DGPST2544005N"/>
    <s v="Rack"/>
    <s v="TX2-5S"/>
    <n v="90066"/>
    <s v="InTest"/>
  </r>
  <r>
    <s v="P25B03724"/>
    <s v="11/26/2025 11:08:08 PM"/>
    <x v="0"/>
    <s v="SR021125255218"/>
    <s v="RK023"/>
    <m/>
    <s v="11/26/2025"/>
    <x v="0"/>
    <s v="NVLINK Switch Functional Issue (UNABLE TO UPDATE)"/>
    <s v="NVSwitch"/>
    <x v="2"/>
    <s v="MT2523603MHJ"/>
    <s v="MT25316000TT"/>
    <s v="Rack"/>
    <s v="TX2-5S"/>
    <n v="90066"/>
    <s v="InTest"/>
  </r>
  <r>
    <s v="P25B03728"/>
    <s v="11/26/2025 11:38:09 PM"/>
    <x v="0"/>
    <s v="SR021125258769"/>
    <s v="RK098"/>
    <m/>
    <s v="11/26/2025"/>
    <x v="0"/>
    <s v="L11 SERVER AUTO SHUTDOWN"/>
    <s v="GB300 L10"/>
    <x v="1"/>
    <s v="A968459X5B09986"/>
    <s v="A968459X5B08356"/>
    <s v="Rack"/>
    <s v="TX2-5S"/>
    <n v="90066"/>
    <s v="InTest"/>
  </r>
  <r>
    <s v="P25B03750"/>
    <s v="11/27/2025 1:15:20 AM"/>
    <x v="0"/>
    <s v="SR021125254889"/>
    <s v="RK022"/>
    <m/>
    <s v="11/27/2025"/>
    <x v="0"/>
    <s v="L11 Power Shelf Defective"/>
    <s v="Delta Power Shelf Left Input"/>
    <x v="4"/>
    <s v="DGPST2544004L"/>
    <s v="DGPST2544008P"/>
    <s v="Rack"/>
    <s v="TX2-5S"/>
    <n v="2131"/>
    <s v="InTest"/>
  </r>
  <r>
    <s v="P25B03871"/>
    <s v="11/27/2025 2:03:46 PM"/>
    <x v="0"/>
    <s v="SR021125252361"/>
    <s v="RK023"/>
    <m/>
    <s v="11/27/2025"/>
    <x v="0"/>
    <s v="NVLINK Switch 無法更新"/>
    <s v="NVSwitch"/>
    <x v="2"/>
    <s v="MT25316026H7"/>
    <s v="MT2533601GHN"/>
    <s v="Rack"/>
    <s v="TX2-5S"/>
    <n v="640"/>
    <s v="InTest"/>
  </r>
  <r>
    <s v="P25B03913"/>
    <s v="11/27/2025 5:17:51 PM"/>
    <x v="0"/>
    <s v="SR021125254889"/>
    <s v="RK001"/>
    <m/>
    <s v="11/27/2025"/>
    <x v="0"/>
    <s v="L11 AUTOMATICALLY SHUTDOWN(POWER OFF)"/>
    <s v="GB300 L10"/>
    <x v="1"/>
    <s v="A968459X5B08621"/>
    <s v="A968459X5B11580"/>
    <s v="Rack"/>
    <s v="TX2-5S"/>
    <n v="90066"/>
    <s v="InTest"/>
  </r>
  <r>
    <s v="P25B03963"/>
    <s v="11/27/2025 8:59:04 PM"/>
    <x v="0"/>
    <s v="SR021120251722"/>
    <s v="RK205"/>
    <m/>
    <s v="11/27/2025"/>
    <x v="0"/>
    <s v="Error while invoking api /redfish/v1/Chassis/CBC_2. Error message =&gt; The requested resource of type Chassis named 'CBC_2' was not found."/>
    <s v="GB300 L10"/>
    <x v="1"/>
    <s v="A968459X5B08213"/>
    <s v="A968459X5B12009"/>
    <s v="Rack"/>
    <s v="TWSPLG"/>
    <n v="90131"/>
    <s v="InTest"/>
  </r>
  <r>
    <s v="P25B04124"/>
    <s v="11/28/2025 2:10:29 PM"/>
    <x v="0"/>
    <s v="SR021127252352"/>
    <s v="RK022"/>
    <m/>
    <s v="11/28/2025"/>
    <x v="0"/>
    <s v="PowerShelf#4 Firmware fail,PMB已交換驗證,固定位置"/>
    <s v="Delta Power Shelf Left Input"/>
    <x v="4"/>
    <s v="DGPST254401AG"/>
    <s v="DGPST254400GQ"/>
    <s v="Rack"/>
    <s v="TX2-5S"/>
    <n v="1519"/>
    <s v="InTest"/>
  </r>
  <r>
    <s v="P25B04158"/>
    <s v="11/28/2025 3:59:36 PM"/>
    <x v="0"/>
    <s v="SR021125253458"/>
    <s v="RK023"/>
    <m/>
    <s v="11/28/2025"/>
    <x v="0"/>
    <s v="FAILD TO UPDATE"/>
    <s v="NVSwitch"/>
    <x v="2"/>
    <s v="MT254460218P"/>
    <s v="MT25306031E3"/>
    <s v="Rack"/>
    <s v="TX2-5S"/>
    <n v="90131"/>
    <s v="InTest"/>
  </r>
  <r>
    <s v="P25B04159"/>
    <s v="11/28/2025 4:22:50 PM"/>
    <x v="0"/>
    <s v="SR021120251115"/>
    <s v="RK023"/>
    <m/>
    <s v="11/28/2025"/>
    <x v="0"/>
    <s v="NVLINK Switch Functional Issue"/>
    <s v="NVSwitch"/>
    <x v="2"/>
    <s v="MT25286045UR"/>
    <s v="MT25306031AU"/>
    <s v="Rack"/>
    <s v="TWSPLG"/>
    <n v="90131"/>
    <s v="InTest"/>
  </r>
  <r>
    <s v="P25B04182"/>
    <s v="11/28/2025 5:27:04 PM"/>
    <x v="0"/>
    <s v="SR021120251722"/>
    <s v="RK200"/>
    <m/>
    <s v="11/28/2025"/>
    <x v="0"/>
    <s v="unable to power on always shutdown"/>
    <s v="GB300 L10"/>
    <x v="1"/>
    <s v="A968459X5B08613"/>
    <s v="A968459X5B13002"/>
    <s v="Rack"/>
    <s v="TWSPLG"/>
    <n v="90131"/>
    <s v="InTest"/>
  </r>
  <r>
    <s v="P25B04195"/>
    <s v="11/28/2025 8:18:44 PM"/>
    <x v="0"/>
    <s v="SR021127254121"/>
    <s v="RK022"/>
    <m/>
    <s v="11/28/2025"/>
    <x v="0"/>
    <s v="L11 Power Shelf Defective"/>
    <s v="Delta power shelf right input"/>
    <x v="5"/>
    <s v="DGPSU254301FA"/>
    <s v="THASP254700QK"/>
    <s v="Rack"/>
    <s v="TX2-5S"/>
    <n v="90066"/>
    <s v="InTest"/>
  </r>
  <r>
    <s v="P25B04196"/>
    <s v="11/28/2025 8:20:01 PM"/>
    <x v="0"/>
    <s v="SR021120251115"/>
    <s v="RK098"/>
    <m/>
    <s v="11/28/2025"/>
    <x v="0"/>
    <s v="unable to power on always shutdown"/>
    <s v="GB300 L10"/>
    <x v="1"/>
    <s v="A968459X5B08700"/>
    <s v="A968459X5B13006"/>
    <s v="Rack"/>
    <s v="TWSPLG"/>
    <n v="90131"/>
    <s v="InTest"/>
  </r>
  <r>
    <s v="P25B04199"/>
    <s v="11/28/2025 8:48:07 PM"/>
    <x v="0"/>
    <s v="SR021127254872"/>
    <s v="RK022"/>
    <m/>
    <s v="11/28/2025"/>
    <x v="0"/>
    <s v="L11 Power Shelf Defective"/>
    <s v="Delta Power Shelf Left Input"/>
    <x v="4"/>
    <s v="DGPST254401DX"/>
    <s v="DGPST254401AT"/>
    <s v="Rack"/>
    <s v="TX2-5S"/>
    <n v="90066"/>
    <s v="InTest"/>
  </r>
  <r>
    <s v="P25B04200"/>
    <s v="11/28/2025 8:39:54 PM"/>
    <x v="0"/>
    <s v="SR021127258184"/>
    <s v="RK022"/>
    <m/>
    <s v="11/28/2025"/>
    <x v="0"/>
    <s v="L11 Fail to update firmware"/>
    <s v="Power Shelf Control Module"/>
    <x v="0"/>
    <s v="SV25384124"/>
    <s v="SV25382408"/>
    <s v="Rack"/>
    <s v="TX2-5S"/>
    <n v="90066"/>
    <s v="InTest"/>
  </r>
  <r>
    <s v="P25B04203"/>
    <s v="11/28/2025 8:54:16 PM"/>
    <x v="0"/>
    <s v="SR021125253458"/>
    <s v="RK099"/>
    <m/>
    <s v="11/28/2025"/>
    <x v="0"/>
    <s v="chassis handle deffected"/>
    <s v="GB300 L10"/>
    <x v="1"/>
    <s v="A968459X5B13028"/>
    <s v="A968459X5B14020"/>
    <s v="Rack"/>
    <s v="TX2-5S"/>
    <n v="90131"/>
    <s v="InTest"/>
  </r>
  <r>
    <s v="P25B04208"/>
    <s v="11/28/2025 9:28:16 PM"/>
    <x v="0"/>
    <s v="SR021127253789"/>
    <s v="RK024"/>
    <m/>
    <s v="11/28/2025"/>
    <x v="0"/>
    <s v="L11 Cable cartridge Defect(BENT PIN)"/>
    <s v="Cable Cartridge"/>
    <x v="3"/>
    <n v="1823425354213"/>
    <n v="1822525184563"/>
    <s v="Rack"/>
    <s v="TX2-5S"/>
    <n v="90066"/>
    <s v="InTest"/>
  </r>
  <r>
    <s v="P25B04216"/>
    <s v="11/28/2025 11:21:31 PM"/>
    <x v="0"/>
    <s v="SR021127255418"/>
    <s v="RK022"/>
    <m/>
    <s v="11/28/2025"/>
    <x v="0"/>
    <s v="BMC slot NO light"/>
    <s v="Delta power shelf right input"/>
    <x v="5"/>
    <s v="DGPSU254300H8"/>
    <s v="DGPSU254300Y7"/>
    <s v="Rack"/>
    <s v="TX2-5S"/>
    <n v="90131"/>
    <s v="InTest"/>
  </r>
  <r>
    <s v="P25B04401"/>
    <s v="11/29/2025 6:06:01 PM"/>
    <x v="0"/>
    <s v="SR021127257134"/>
    <s v="MB002"/>
    <m/>
    <s v="11/29/2025"/>
    <x v="0"/>
    <s v="L11 AUTOMATICALLY SHUTDOWN"/>
    <s v="GB300 L10"/>
    <x v="1"/>
    <s v="A968459X5B14792"/>
    <s v="A968459X5B15325"/>
    <s v="Rack"/>
    <s v="TX2-5S"/>
    <n v="90066"/>
    <s v="InTest"/>
  </r>
  <r>
    <s v="P25B04436"/>
    <s v="11/29/2025 9:43:49 PM"/>
    <x v="0"/>
    <s v="SR021127255640"/>
    <s v="RK205"/>
    <m/>
    <s v="11/29/2025"/>
    <x v="0"/>
    <s v="GB200 L11 Compute Tray Nvidia Field Diag Test fail"/>
    <s v="GB300 L10"/>
    <x v="1"/>
    <s v="A968459X5B14896"/>
    <s v="A968459X5B14414"/>
    <s v="Rack"/>
    <s v="TX2-5S"/>
    <n v="90131"/>
    <s v="InTest"/>
  </r>
  <r>
    <s v="P25B04440"/>
    <s v="11/29/2025 10:04:34 PM"/>
    <x v="0"/>
    <s v="SR021127256254"/>
    <s v="RK022"/>
    <m/>
    <s v="11/29/2025"/>
    <x v="0"/>
    <s v="Power Shelf Defective"/>
    <s v="Delta power shelf right input"/>
    <x v="5"/>
    <s v="DGPSU254301EW"/>
    <s v="DGPSU254301FD"/>
    <s v="Rack"/>
    <s v="TX2-5S"/>
    <n v="90131"/>
    <s v="InTest"/>
  </r>
  <r>
    <s v="P25B04441"/>
    <s v="11/29/2025 10:05:35 PM"/>
    <x v="0"/>
    <s v="SR021127259420"/>
    <s v="RK022"/>
    <m/>
    <s v="11/29/2025"/>
    <x v="0"/>
    <s v="Power Shelf Defective(CHASSIS)"/>
    <s v="Delta power shelf right input"/>
    <x v="5"/>
    <s v="DGPSU254301HQ"/>
    <s v="THASP254700QW"/>
    <s v="Rack"/>
    <s v="TX2-5S"/>
    <n v="90066"/>
    <s v="InTest"/>
  </r>
  <r>
    <s v="P25B04442"/>
    <s v="11/29/2025 10:06:56 PM"/>
    <x v="0"/>
    <s v="SR021127256254"/>
    <s v="RK022"/>
    <m/>
    <s v="11/29/2025"/>
    <x v="0"/>
    <s v="Power Shelf Defective"/>
    <s v="Delta Power Shelf Left Input"/>
    <x v="4"/>
    <s v="DGPST2544019E"/>
    <s v="DGPST254400GR"/>
    <s v="Rack"/>
    <s v="TX2-5S"/>
    <n v="90131"/>
    <s v="InTest"/>
  </r>
  <r>
    <s v="P25B04443"/>
    <s v="11/29/2025 10:12:00 PM"/>
    <x v="0"/>
    <s v="SR021127256254"/>
    <s v="RK022"/>
    <m/>
    <s v="11/29/2025"/>
    <x v="0"/>
    <s v="Power Shelf Defective"/>
    <s v="Delta power shelf right input"/>
    <x v="5"/>
    <s v="DGPSU254301F3"/>
    <s v="DGPSU254300TC"/>
    <s v="Rack"/>
    <s v="TX2-5S"/>
    <n v="90131"/>
    <s v="InTest"/>
  </r>
  <r>
    <s v="P25B04448"/>
    <s v="11/29/2025 10:56:43 PM"/>
    <x v="0"/>
    <s v="SR021127254489"/>
    <s v="RK098"/>
    <m/>
    <s v="11/29/2025"/>
    <x v="0"/>
    <s v="unable to power on"/>
    <s v="GB300 L10"/>
    <x v="1"/>
    <s v="A968459X5B14004"/>
    <s v="A968459X5B15323"/>
    <s v="Rack"/>
    <s v="TX2-5S"/>
    <n v="90131"/>
    <s v="InTest"/>
  </r>
  <r>
    <s v="P25B04456"/>
    <s v="11/29/2025 11:23:47 PM"/>
    <x v="0"/>
    <s v="SR021127254872"/>
    <s v="RK024"/>
    <m/>
    <s v="11/29/2025"/>
    <x v="0"/>
    <s v="Cable cartridge Defect( BENT PIN)"/>
    <s v="Cable Cartridge"/>
    <x v="3"/>
    <n v="1823325350833"/>
    <n v="1823425355933"/>
    <s v="Rack"/>
    <s v="TX2-5S"/>
    <n v="90066"/>
    <s v="InTest"/>
  </r>
  <r>
    <s v="P25B04460"/>
    <s v="11/30/2025 1:29:03 AM"/>
    <x v="0"/>
    <s v="SR021127251982"/>
    <s v="RK205"/>
    <m/>
    <s v="11/30/2025"/>
    <x v="0"/>
    <s v="10.10.97.166 unreachable"/>
    <s v="GB300 L10"/>
    <x v="1"/>
    <s v="A968459X5B08079"/>
    <s v="A968459X5B15322"/>
    <s v="Rack"/>
    <s v="TX2-5S"/>
    <n v="90131"/>
    <s v="InTest"/>
  </r>
  <r>
    <s v="P25B04485"/>
    <s v="11/30/2025 9:17:51 AM"/>
    <x v="0"/>
    <s v="SR021127255640"/>
    <s v="RK024"/>
    <m/>
    <s v="11/30/2025"/>
    <x v="0"/>
    <s v="Rack0_SW1_acp81 CC0_C2_Lane_3 link_none ( 單機 第3和第5 位置 Beant PIN )_TW3600_更換CC0"/>
    <s v="Cable Cartridge"/>
    <x v="3"/>
    <n v="1823325350865"/>
    <n v="1822825356016"/>
    <s v="Rack"/>
    <s v="TX2-5S"/>
    <n v="3600"/>
    <s v="InTest"/>
  </r>
  <r>
    <s v="P25B04487"/>
    <s v="11/30/2025 9:32:23 AM"/>
    <x v="0"/>
    <s v="SR021127255142"/>
    <s v="RK098"/>
    <m/>
    <s v="11/30/2025"/>
    <x v="0"/>
    <s v="不開機_更換單機_TW640"/>
    <s v="GB300 L10"/>
    <x v="1"/>
    <s v="A968459X5B09395"/>
    <s v="A968459X5B08436"/>
    <s v="Rack"/>
    <s v="TX2-5S"/>
    <n v="640"/>
    <s v="InTest"/>
  </r>
  <r>
    <s v="P25B04489"/>
    <s v="11/30/2025 9:54:39 AM"/>
    <x v="0"/>
    <s v="SR021127255142"/>
    <s v="RK022"/>
    <m/>
    <s v="11/30/2025"/>
    <x v="0"/>
    <s v="PowerShelf 無法更新_TW3600_更換PowerShelf"/>
    <s v="Delta power shelf right input"/>
    <x v="5"/>
    <s v="DGPSU254301EA"/>
    <s v="DGPSU254301F8"/>
    <s v="Rack"/>
    <s v="TX2-5S"/>
    <n v="3600"/>
    <s v="InTest"/>
  </r>
  <r>
    <s v="P25B04494"/>
    <s v="11/30/2025 1:16:39 PM"/>
    <x v="0"/>
    <s v="SR021127254308"/>
    <s v="RK098"/>
    <m/>
    <s v="11/30/2025"/>
    <x v="0"/>
    <s v="開機一段時間後 自動關機(補水過無效) _TW3600_更換單機"/>
    <s v="GB300 L10"/>
    <x v="1"/>
    <s v="A968459X5B14425"/>
    <s v="A968459X5B14984"/>
    <s v="Rack"/>
    <s v="TX2-5S"/>
    <n v="3600"/>
    <s v="InTest"/>
  </r>
  <r>
    <s v="P25B04534"/>
    <s v="11/30/2025 5:35:27 PM"/>
    <x v="0"/>
    <s v="SR021128251526"/>
    <s v="RK105"/>
    <m/>
    <s v="11/30/2025"/>
    <x v="0"/>
    <s v="Sensor 'Chassis_0_LeakDetector_0_Manifold' reading of 2.262400 (Volts) is above the 2.000000 upper critical threshold."/>
    <s v="GB300 L10"/>
    <x v="1"/>
    <s v="A968459X5B15583"/>
    <s v="A968459X5B08631"/>
    <s v="Rack"/>
    <s v="TX2-5S"/>
    <n v="90131"/>
    <s v="InTest"/>
  </r>
  <r>
    <s v="P25B04544"/>
    <s v="11/30/2025 10:13:38 PM"/>
    <x v="0"/>
    <s v="SR021127257651"/>
    <s v="RK001"/>
    <m/>
    <s v="11/30/2025"/>
    <x v="0"/>
    <s v="L11 AUTOMATICALLY SHUTDOWN(POWER OFF)"/>
    <s v="GB300 L10"/>
    <x v="1"/>
    <s v="A968459X5B14158"/>
    <s v="A968459X5B14362"/>
    <s v="Rack"/>
    <s v="TX2-5S"/>
    <n v="90066"/>
    <s v="InTest"/>
  </r>
  <r>
    <s v="P25C00037"/>
    <s v="12/1/2025 7:49:18 AM"/>
    <x v="0"/>
    <s v="SR021125253458"/>
    <s v="RK024"/>
    <m/>
    <s v="12/1/2025"/>
    <x v="0"/>
    <s v="Rack0_SW7_acp60 CC3_C14_Lane_14 link_none_TW3600_更換CC3"/>
    <s v="Cable Cartridge"/>
    <x v="3"/>
    <n v="1823325354704"/>
    <n v="1822825354839"/>
    <s v="Rack"/>
    <s v="TX2-5S"/>
    <n v="640"/>
    <s v="InTest"/>
  </r>
  <r>
    <s v="P25C00038"/>
    <s v="12/1/2025 8:01:24 AM"/>
    <x v="0"/>
    <s v="SR021128255366"/>
    <s v="RK022"/>
    <m/>
    <s v="12/1/2025"/>
    <x v="0"/>
    <s v="無法更新_TW3600_更換POWER 小卡"/>
    <s v="Power Shelf Control Module"/>
    <x v="0"/>
    <s v="SV25384208"/>
    <s v="SV25382898"/>
    <s v="Rack"/>
    <s v="TX2-5S"/>
    <n v="640"/>
    <s v="InTest"/>
  </r>
  <r>
    <s v="P25C00052"/>
    <s v="12/1/2025 10:05:35 AM"/>
    <x v="0"/>
    <s v="SR021127257132"/>
    <s v="RK022"/>
    <m/>
    <s v="12/1/2025"/>
    <x v="0"/>
    <s v="L11 Power Shelf update fail,更換SRK-01DTPF-33B1-01_PM894_協助過帳"/>
    <s v="Delta Power Shelf Left Input"/>
    <x v="4"/>
    <s v="DGPST254401FZ"/>
    <s v="DGPST254401AX"/>
    <s v="Rack"/>
    <s v="TX2-5S"/>
    <n v="1519"/>
    <s v="InTest"/>
  </r>
  <r>
    <s v="P25C00053"/>
    <s v="12/1/2025 10:07:23 AM"/>
    <x v="0"/>
    <s v="SR021127255532"/>
    <s v="RK022"/>
    <m/>
    <s v="12/1/2025"/>
    <x v="0"/>
    <s v="L11 Power Shelf update fail,更換SRK-01DTPF-33B1-01_PM894_協助過帳"/>
    <s v="Delta Power Shelf Left Input"/>
    <x v="4"/>
    <s v="DGPST25440024"/>
    <s v="DGPST254401AW"/>
    <s v="Rack"/>
    <s v="TX2-5S"/>
    <n v="1519"/>
    <s v="InTest"/>
  </r>
  <r>
    <s v="P25C00064"/>
    <s v="12/1/2025 10:16:07 AM"/>
    <x v="0"/>
    <s v="SR021128252888"/>
    <s v="RK201"/>
    <m/>
    <s v="12/1/2025"/>
    <x v="0"/>
    <s v="無法更新"/>
    <s v="NVSwitch"/>
    <x v="2"/>
    <s v="MT2530601XME"/>
    <s v="MT25306031AK"/>
    <s v="Rack"/>
    <s v="TX2-5S"/>
    <n v="718"/>
    <s v="InTest"/>
  </r>
  <r>
    <s v="P25C00084"/>
    <s v="12/1/2025 3:13:52 PM"/>
    <x v="0"/>
    <s v="SR021127257895"/>
    <s v="RK024"/>
    <m/>
    <s v="12/1/2025"/>
    <x v="0"/>
    <s v="L11 TEST:CC2測試異常_PM894_協助過帳"/>
    <s v="Cable Cartridge"/>
    <x v="3"/>
    <n v="1823325354686"/>
    <n v="1823425355996"/>
    <s v="Rack"/>
    <s v="TX2-5S"/>
    <n v="1519"/>
    <s v="InTest"/>
  </r>
  <r>
    <s v="P25C00085"/>
    <s v="12/1/2025 12:58:38 PM"/>
    <x v="0"/>
    <s v="SR021128252997"/>
    <s v="RK022"/>
    <m/>
    <s v="12/1/2025"/>
    <x v="0"/>
    <s v="SRK-01DTPM-PMB1-01 LED燈號橘燈_更換_TW640"/>
    <s v="Power Shelf Control Module"/>
    <x v="0"/>
    <s v="SV25383231"/>
    <s v="SV25384267"/>
    <s v="Rack"/>
    <s v="TX2-5S"/>
    <n v="3600"/>
    <s v="InTest"/>
  </r>
  <r>
    <s v="P25C00089"/>
    <s v="12/1/2025 1:52:05 PM"/>
    <x v="0"/>
    <s v="SR021128259439"/>
    <s v="RK203"/>
    <m/>
    <s v="12/1/2025"/>
    <x v="0"/>
    <s v="無法更新"/>
    <s v="Delta power shelf right input"/>
    <x v="5"/>
    <s v="DGPSU254300KE"/>
    <s v="DGPSU254300LF"/>
    <s v="Rack"/>
    <s v="TX2-5S"/>
    <n v="718"/>
    <s v="InTest"/>
  </r>
  <r>
    <s v="P25C00091"/>
    <s v="12/1/2025 2:03:32 PM"/>
    <x v="0"/>
    <s v="SR021128258926"/>
    <s v="RK022"/>
    <m/>
    <s v="12/1/2025"/>
    <x v="0"/>
    <s v="Power Shelf 功能正常,LAN右上燈號異常亮黃燈"/>
    <s v="Power Shelf Control Module"/>
    <x v="0"/>
    <s v="SV25383490"/>
    <s v="SV25384057"/>
    <s v="Rack"/>
    <s v="TX2-5S"/>
    <n v="3600"/>
    <s v="InTest"/>
  </r>
  <r>
    <s v="P25C00093"/>
    <s v="12/1/2025 2:18:09 PM"/>
    <x v="0"/>
    <s v="SR021128255366"/>
    <s v="RK098"/>
    <m/>
    <s v="12/1/2025"/>
    <x v="0"/>
    <s v="開機一段時間後 自動關機(補水過無效) _TW3600_更換單機"/>
    <s v="GB300 L10"/>
    <x v="1"/>
    <s v="A968459X5B15582"/>
    <s v="A968459X5B06909"/>
    <s v="Rack"/>
    <s v="TX2-5S"/>
    <n v="3600"/>
    <s v="InTest"/>
  </r>
  <r>
    <s v="P25C00094"/>
    <s v="12/1/2025 2:19:27 PM"/>
    <x v="0"/>
    <s v="SR021128251533"/>
    <s v="RK098"/>
    <m/>
    <s v="12/1/2025"/>
    <x v="0"/>
    <s v="開機一段時間後 自動關機(補水過無效) _TW3600_更換單機"/>
    <s v="GB300 L10"/>
    <x v="1"/>
    <s v="A968459X5B14800"/>
    <s v="A968459X5B08417"/>
    <s v="Rack"/>
    <s v="TX2-5S"/>
    <n v="3600"/>
    <s v="InTest"/>
  </r>
  <r>
    <s v="P25C00095"/>
    <s v="12/1/2025 2:19:27 PM"/>
    <x v="0"/>
    <s v="SR021128251533"/>
    <s v="RK098"/>
    <m/>
    <s v="12/1/2025"/>
    <x v="0"/>
    <s v="開機一段時間後 自動關機(補水過無效) _TW3600_更換單機"/>
    <s v="GB300 L10"/>
    <x v="1"/>
    <s v="A968459X5B15181"/>
    <s v="A968459X5B07185"/>
    <s v="Rack"/>
    <s v="TX2-5S"/>
    <n v="3600"/>
    <s v="InTest"/>
  </r>
  <r>
    <s v="P25C00096"/>
    <s v="12/1/2025 2:19:27 PM"/>
    <x v="0"/>
    <s v="SR021128251533"/>
    <s v="RK098"/>
    <m/>
    <s v="12/1/2025"/>
    <x v="0"/>
    <s v="開機一段時間後 自動關機(補水過無效) _TW3600_更換單機"/>
    <s v="GB300 L10"/>
    <x v="1"/>
    <s v="A968459X5B15579"/>
    <s v="A968459X5B08102"/>
    <s v="Rack"/>
    <s v="TX2-5S"/>
    <n v="3600"/>
    <s v="InTest"/>
  </r>
  <r>
    <s v="P25C00097"/>
    <s v="12/1/2025 2:28:28 PM"/>
    <x v="0"/>
    <s v="SR021128258595"/>
    <s v="RK022"/>
    <m/>
    <s v="12/1/2025"/>
    <x v="0"/>
    <s v="PowerShelf 無法更新_TW3600_更換PowerShelf"/>
    <s v="Delta power shelf right input"/>
    <x v="5"/>
    <s v="DGPSU254301DE"/>
    <s v="DGPSU2543018L"/>
    <s v="Rack"/>
    <s v="TX2-5S"/>
    <n v="3600"/>
    <s v="InTest"/>
  </r>
  <r>
    <s v="P25C00128"/>
    <s v="12/1/2025 5:29:44 PM"/>
    <x v="0"/>
    <s v="SR021128258926"/>
    <s v="RK099"/>
    <m/>
    <s v="12/1/2025"/>
    <x v="0"/>
    <s v="unable to power on"/>
    <s v="GB300 L10"/>
    <x v="1"/>
    <s v="A968459X5B14288"/>
    <s v="A968459X5B16178"/>
    <s v="Rack"/>
    <s v="TX2-5S"/>
    <n v="924"/>
    <s v="InTest"/>
  </r>
  <r>
    <s v="P25C00131"/>
    <s v="12/1/2025 5:53:24 PM"/>
    <x v="0"/>
    <s v="SR021128258595"/>
    <s v="RK099"/>
    <m/>
    <s v="12/1/2025"/>
    <x v="0"/>
    <s v="Unable to power on"/>
    <s v="GB300 L10"/>
    <x v="1"/>
    <s v="A968459X5B14823"/>
    <s v="A968459X5B16177"/>
    <s v="Rack"/>
    <s v="TX2-5S"/>
    <n v="718"/>
    <s v="InTest"/>
  </r>
  <r>
    <s v="P25C00132"/>
    <s v="12/1/2025 6:12:35 PM"/>
    <x v="0"/>
    <s v="SR021128252997"/>
    <s v="RK099"/>
    <m/>
    <s v="12/1/2025"/>
    <x v="0"/>
    <s v="computer switch LED unable to power on"/>
    <s v="GB300 L10"/>
    <x v="1"/>
    <s v="A968459X5B14174"/>
    <s v="A968459X5B08079"/>
    <s v="Rack"/>
    <s v="TX2-5S"/>
    <n v="924"/>
    <s v="InTest"/>
  </r>
  <r>
    <s v="P25C00139"/>
    <s v="12/1/2025 6:27:16 PM"/>
    <x v="0"/>
    <s v="SR021128258595"/>
    <s v="RK105"/>
    <m/>
    <s v="12/1/2025"/>
    <x v="0"/>
    <s v="Chassis 0 LeakDetector 1 ColdPlate"/>
    <s v="GB300 L10"/>
    <x v="1"/>
    <s v="A968459X5B14825"/>
    <s v="A968459X5B15298"/>
    <s v="Rack"/>
    <s v="TX2-5S"/>
    <n v="924"/>
    <s v="InTest"/>
  </r>
  <r>
    <s v="P25C00143"/>
    <s v="12/1/2025 6:33:14 PM"/>
    <x v="0"/>
    <s v="SR021127255532"/>
    <s v="RK023"/>
    <m/>
    <s v="12/1/2025"/>
    <x v="0"/>
    <s v="L11 NVLINK Switch Functional Issue/UPDATE FAIL"/>
    <s v="NVSwitch"/>
    <x v="2"/>
    <s v="MT2542600NTV"/>
    <s v="MT25336019JN"/>
    <s v="Rack"/>
    <s v="TX2-5S"/>
    <n v="90066"/>
    <s v="InTest"/>
  </r>
  <r>
    <s v="P25C00146"/>
    <s v="12/1/2025 7:40:26 PM"/>
    <x v="0"/>
    <s v="SR021128251533"/>
    <s v="RK205"/>
    <m/>
    <s v="12/1/2025"/>
    <x v="0"/>
    <s v="Error while invoking api /redfish/v1/Chassis/CBC_3. Error message =&gt; The requested resource of type Chassis named 'CBC_3' was not found."/>
    <s v="GB300 L10"/>
    <x v="1"/>
    <s v="A968459X5B07185"/>
    <s v="A968459X5B14174"/>
    <s v="Rack"/>
    <s v="TX2-5S"/>
    <n v="924"/>
    <s v="InTest"/>
  </r>
  <r>
    <s v="P25C00148"/>
    <s v="12/1/2025 7:58:00 PM"/>
    <x v="0"/>
    <s v="SR021128252997"/>
    <s v="RK098"/>
    <m/>
    <s v="12/1/2025"/>
    <x v="0"/>
    <s v="unable to power on LED LIGHT IS WEAK"/>
    <s v="GB300 L10"/>
    <x v="1"/>
    <s v="A968459X5B08079"/>
    <s v="A968459X5B15299"/>
    <s v="Rack"/>
    <s v="TX2-5S"/>
    <n v="924"/>
    <s v="InTest"/>
  </r>
  <r>
    <s v="P25C00162"/>
    <s v="12/1/2025 10:04:44 PM"/>
    <x v="0"/>
    <s v="SR021128252559"/>
    <s v="RK024"/>
    <m/>
    <s v="12/1/2025"/>
    <x v="0"/>
    <s v="Cable cartridge Defect ( BEND PIN)2024425880492 , 2024425880285"/>
    <s v="Cable Cartridge"/>
    <x v="3"/>
    <n v="2024425880492"/>
    <n v="1823425355435"/>
    <s v="Rack"/>
    <s v="TX2-5S"/>
    <n v="90066"/>
    <s v="InTest"/>
  </r>
  <r>
    <s v="P25C00176"/>
    <s v="12/1/2025 10:24:51 PM"/>
    <x v="0"/>
    <s v="SR021127251982"/>
    <s v="RK099"/>
    <m/>
    <s v="12/1/2025"/>
    <x v="0"/>
    <s v="unable to power on always shutdown"/>
    <s v="GB300 L10"/>
    <x v="1"/>
    <s v="A968459X5B08118"/>
    <s v="A968459X5B14765"/>
    <s v="Rack"/>
    <s v="TX2-5S"/>
    <n v="2131"/>
    <s v="InTest"/>
  </r>
  <r>
    <s v="P25C00189"/>
    <s v="12/1/2025 11:36:05 PM"/>
    <x v="0"/>
    <s v="SR021127254308"/>
    <s v="RK205"/>
    <m/>
    <s v="12/1/2025"/>
    <x v="0"/>
    <s v="lost one fan"/>
    <s v="GB300 L10"/>
    <x v="1"/>
    <s v="A968459X5B14318"/>
    <s v="A968459X5B14764"/>
    <s v="Rack"/>
    <s v="TX2-5S"/>
    <n v="2131"/>
    <s v="InTest"/>
  </r>
  <r>
    <s v="P25C00198"/>
    <s v="12/2/2025 1:04:35 AM"/>
    <x v="0"/>
    <s v="SR021127259420"/>
    <s v="RK202"/>
    <m/>
    <s v="12/2/2025"/>
    <x v="0"/>
    <s v="only 0 Fabric state shows OK"/>
    <s v="GB300 L10"/>
    <x v="1"/>
    <s v="A968459X5B14278"/>
    <s v="A968459X5B16371"/>
    <s v="Rack"/>
    <s v="TX2-5S"/>
    <n v="90066"/>
    <s v="InTest"/>
  </r>
  <r>
    <s v="P25C00239"/>
    <s v="12/2/2025 8:06:33 AM"/>
    <x v="0"/>
    <s v="SR021128251737"/>
    <s v="RK022"/>
    <m/>
    <s v="12/2/2025"/>
    <x v="0"/>
    <s v="Power Shelf更新FAIL_更換_TW640"/>
    <s v="Delta power shelf right input"/>
    <x v="5"/>
    <s v="DGPSU254301CS"/>
    <s v="DGPSU2543018M"/>
    <s v="Rack"/>
    <s v="TX2-5S"/>
    <n v="640"/>
    <s v="InTest"/>
  </r>
  <r>
    <s v="P25C00265"/>
    <s v="12/2/2025 9:09:01 AM"/>
    <x v="0"/>
    <s v="SR021128252888"/>
    <s v="RK024"/>
    <m/>
    <s v="12/2/2025"/>
    <x v="0"/>
    <s v="CABLE CARTRIDGE DEFECT"/>
    <s v="Cable Cartridge"/>
    <x v="3"/>
    <n v="1823725355000"/>
    <n v="1822825356136"/>
    <s v="Rack"/>
    <s v="TX2-5S"/>
    <n v="718"/>
    <s v="InTest"/>
  </r>
  <r>
    <s v="P25C00286"/>
    <s v="12/2/2025 12:35:49 PM"/>
    <x v="0"/>
    <s v="SR021127254121"/>
    <s v="RK023"/>
    <m/>
    <s v="12/2/2025"/>
    <x v="0"/>
    <s v="L11 TEST:NVLSWITCH Hardware Error"/>
    <s v="NVSwitch"/>
    <x v="2"/>
    <s v="MT25416006JZ"/>
    <s v="MT2531602W6U"/>
    <s v="Rack"/>
    <s v="TX2-5S"/>
    <n v="1519"/>
    <s v="InTest"/>
  </r>
  <r>
    <s v="P25C00308"/>
    <s v="12/2/2025 2:48:44 PM"/>
    <x v="0"/>
    <s v="SR021128251728"/>
    <s v="RK024"/>
    <m/>
    <s v="12/2/2025"/>
    <x v="0"/>
    <s v="SSE-NVL72-CC BENT PIN"/>
    <s v="Cable Cartridge"/>
    <x v="3"/>
    <n v="1824125354805"/>
    <n v="1822825354736"/>
    <s v="Rack"/>
    <s v="TX2-5S"/>
    <n v="640"/>
    <s v="InTest"/>
  </r>
  <r>
    <s v="P25C00319"/>
    <s v="12/2/2025 3:35:40 PM"/>
    <x v="0"/>
    <s v="SR021128258542"/>
    <s v="RK202"/>
    <m/>
    <s v="12/2/2025"/>
    <x v="0"/>
    <s v="L11 Compute Node Information Consistent Check fail / NVRM FAIL"/>
    <s v="GB300 L10"/>
    <x v="1"/>
    <s v="A968459X5B03993"/>
    <s v="A968459X5B14792"/>
    <s v="Rack"/>
    <s v="TX2-5S"/>
    <n v="924"/>
    <s v="InTest"/>
  </r>
  <r>
    <s v="P25C00335"/>
    <s v="12/2/2025 7:37:31 PM"/>
    <x v="0"/>
    <s v="SR021127257895"/>
    <s v="RK201"/>
    <m/>
    <s v="12/2/2025"/>
    <x v="0"/>
    <s v="L11 Rack0_SW5_acp91,CC2_C4_Lane_11, link_ba_T2人員更換NVSwitch_協助作帳"/>
    <s v="NVSwitch"/>
    <x v="2"/>
    <s v="MT2541601QFM"/>
    <s v="MT25336008G4"/>
    <s v="Rack"/>
    <s v="TX2-5S"/>
    <n v="90066"/>
    <s v="InTest"/>
  </r>
  <r>
    <s v="P25C00336"/>
    <s v="12/2/2025 6:26:16 PM"/>
    <x v="0"/>
    <s v="SR021128257503"/>
    <s v="RK024"/>
    <m/>
    <s v="12/2/2025"/>
    <x v="0"/>
    <s v="SLOT#19 Bent PIN"/>
    <s v="Cable Cartridge"/>
    <x v="3"/>
    <n v="1823725354825"/>
    <n v="1822825354531"/>
    <s v="Rack"/>
    <s v="TX2-5S"/>
    <n v="1348"/>
    <s v="InTest"/>
  </r>
  <r>
    <s v="P25C00338"/>
    <s v="12/2/2025 6:35:33 PM"/>
    <x v="0"/>
    <s v="SR021128258595"/>
    <s v="RK024"/>
    <m/>
    <s v="12/2/2025"/>
    <x v="0"/>
    <s v="SLOT#15 BENT PIN"/>
    <s v="Cable Cartridge"/>
    <x v="3"/>
    <n v="2024125351487"/>
    <n v="1822825354586"/>
    <s v="Rack"/>
    <s v="TX2-5S"/>
    <n v="1348"/>
    <s v="InTest"/>
  </r>
  <r>
    <s v="P25C00346"/>
    <s v="12/2/2025 8:11:29 PM"/>
    <x v="0"/>
    <s v="SR021127257391"/>
    <s v="RK205"/>
    <m/>
    <s v="12/2/2025"/>
    <x v="0"/>
    <s v="Shutdown unexpectedly GP20 Alert run power fault in bmc sell"/>
    <s v="GB300 L10"/>
    <x v="1"/>
    <s v="A968459X5B04911"/>
    <s v="A968459X5B14948"/>
    <s v="Rack"/>
    <s v="TX2-5S"/>
    <n v="1348"/>
    <s v="InTest"/>
  </r>
  <r>
    <s v="P25C00348"/>
    <s v="12/3/2025 12:35:47 AM"/>
    <x v="0"/>
    <s v="SR021128252584"/>
    <s v="RK201"/>
    <m/>
    <s v="12/2/2025"/>
    <x v="0"/>
    <s v="L11 NVLink SW back port cause BENT PIN"/>
    <s v="NVSwitch"/>
    <x v="2"/>
    <s v="MT2542602DM2"/>
    <s v="MT2541601QFM"/>
    <s v="Rack"/>
    <s v="TX2-5S"/>
    <n v="90066"/>
    <s v="InTest"/>
  </r>
  <r>
    <s v="P25C00379"/>
    <s v="12/2/2025 11:04:30 PM"/>
    <x v="0"/>
    <s v="SR021201256175"/>
    <s v="RK202"/>
    <m/>
    <s v="12/2/2025"/>
    <x v="0"/>
    <s v="L11 Compute Node Information Consistent Check fail"/>
    <s v="GB300 L10"/>
    <x v="1"/>
    <s v="A968459X5B15228"/>
    <s v="A968459X5B14278"/>
    <s v="Rack"/>
    <s v="TX2-5S"/>
    <n v="90066"/>
    <s v="InTest"/>
  </r>
  <r>
    <s v="P25C00404"/>
    <s v="12/3/2025 1:45:19 AM"/>
    <x v="0"/>
    <s v="SR021201258613"/>
    <s v="RK022"/>
    <m/>
    <s v="12/3/2025"/>
    <x v="0"/>
    <s v="BMC board bettery damege"/>
    <s v="Power Shelf Control Module"/>
    <x v="0"/>
    <s v="SV25383314"/>
    <s v="SV25384208"/>
    <s v="Rack"/>
    <s v="TX2-5S"/>
    <n v="1348"/>
    <s v="InTest"/>
  </r>
  <r>
    <s v="P25C00471"/>
    <s v="12/3/2025 9:08:02 AM"/>
    <x v="0"/>
    <s v="SR021128255132"/>
    <s v="RK112"/>
    <m/>
    <s v="12/3/2025"/>
    <x v="0"/>
    <s v="無法載入燒機"/>
    <s v="GB300 L10"/>
    <x v="1"/>
    <s v="A968459X5B15258"/>
    <s v="A968459X5B14946"/>
    <s v="Rack"/>
    <s v="TX2-5S"/>
    <n v="718"/>
    <s v="InTest"/>
  </r>
  <r>
    <s v="P25C00474"/>
    <s v="12/3/2025 9:10:05 AM"/>
    <x v="0"/>
    <s v="SR021201258613"/>
    <s v="RK112"/>
    <m/>
    <s v="12/3/2025"/>
    <x v="0"/>
    <s v="無法載入燒機"/>
    <s v="GB300 L10"/>
    <x v="1"/>
    <s v="A968459X5B15385"/>
    <s v="A968459X5B14947"/>
    <s v="Rack"/>
    <s v="TX2-5S"/>
    <n v="718"/>
    <s v="InTest"/>
  </r>
  <r>
    <s v="P25C00475"/>
    <s v="12/3/2025 9:15:29 AM"/>
    <x v="0"/>
    <s v="SR021128252888"/>
    <s v="RK112"/>
    <m/>
    <s v="12/3/2025"/>
    <x v="0"/>
    <s v="sensor Cha0LeaDete1Mani on the cold plates"/>
    <s v="GB300 L10"/>
    <x v="1"/>
    <s v="A968459X5B15568"/>
    <s v="A968459X5B14941"/>
    <s v="Rack"/>
    <s v="TX2-5S"/>
    <n v="718"/>
    <s v="InTest"/>
  </r>
  <r>
    <s v="P25C00495"/>
    <s v="12/3/2025 12:45:44 PM"/>
    <x v="0"/>
    <s v="SR021201258245"/>
    <s v="RK022"/>
    <m/>
    <s v="12/3/2025"/>
    <x v="0"/>
    <s v="L11 test fail_PM1120_協助過帳"/>
    <s v="Power Shelf Control Module"/>
    <x v="0"/>
    <s v="SV25380739"/>
    <s v="SV25383444"/>
    <s v="Rack"/>
    <s v="TX2-5S"/>
    <n v="924"/>
    <s v="InTest"/>
  </r>
  <r>
    <s v="P25C00501"/>
    <s v="12/3/2025 12:39:32 PM"/>
    <x v="0"/>
    <s v="SR021128252888"/>
    <s v="RK209"/>
    <m/>
    <s v="12/3/2025"/>
    <x v="0"/>
    <s v="nvlink NETIR_LINK_DOWN Fatal interrupt detected"/>
    <s v="GB300 L10"/>
    <x v="1"/>
    <s v="A968459X5B15148"/>
    <s v="A968459X5B14930"/>
    <s v="Rack"/>
    <s v="TX2-5S"/>
    <n v="718"/>
    <s v="InTest"/>
  </r>
  <r>
    <s v="P25C00509"/>
    <s v="12/3/2025 5:07:19 PM"/>
    <x v="0"/>
    <s v="SR021127257132"/>
    <s v="RK019"/>
    <m/>
    <s v="12/3/2025"/>
    <x v="0"/>
    <s v="(Hot water pipe) The gas valve above the CDM pipe is malfunctioning, preventing air from escaping_Transfer to QA August_need FA"/>
    <s v="SCDM"/>
    <x v="6"/>
    <s v="LM018UB547000305C0"/>
    <s v="LM018UB548000548C0"/>
    <s v="Rack"/>
    <s v="TX2-5S"/>
    <n v="928"/>
    <s v="InTest"/>
  </r>
  <r>
    <s v="P25C00523"/>
    <s v="12/3/2025 3:21:13 PM"/>
    <x v="0"/>
    <s v="SR021201258245"/>
    <s v="RK022"/>
    <m/>
    <s v="12/3/2025"/>
    <x v="0"/>
    <s v="L11 test fail_PM1120_協助過帳"/>
    <s v="Delta Power Shelf Left Input"/>
    <x v="4"/>
    <s v="DGPST2544009B"/>
    <s v="DGPST254401AZ"/>
    <s v="Rack"/>
    <s v="TX2-5S"/>
    <n v="924"/>
    <s v="InTest"/>
  </r>
  <r>
    <s v="P25C00552"/>
    <s v="12/3/2025 4:53:28 PM"/>
    <x v="0"/>
    <s v="SR021201256499"/>
    <s v="RK001"/>
    <m/>
    <s v="12/3/2025"/>
    <x v="0"/>
    <s v="L11 Unable to power on"/>
    <s v="GB300 L10"/>
    <x v="1"/>
    <s v="A968459X5B16326"/>
    <s v="A968459X5B15423"/>
    <s v="Rack"/>
    <s v="TX2-5S"/>
    <n v="90066"/>
    <s v="InTest"/>
  </r>
  <r>
    <s v="P25C00557"/>
    <s v="12/3/2025 5:22:41 PM"/>
    <x v="0"/>
    <s v="SR021120251115"/>
    <s v="RK099"/>
    <m/>
    <s v="12/3/2025"/>
    <x v="0"/>
    <s v="power led no light in the Bmc"/>
    <s v="GB300 L10"/>
    <x v="1"/>
    <s v="A968459X5B11796"/>
    <s v="A968459X5B14929"/>
    <s v="Rack"/>
    <s v="TWSPLG"/>
    <n v="1348"/>
    <s v="InTest"/>
  </r>
  <r>
    <s v="P25C00563"/>
    <s v="12/3/2025 6:15:04 PM"/>
    <x v="0"/>
    <s v="SR021128258595"/>
    <s v="RK024"/>
    <m/>
    <s v="12/3/2025"/>
    <x v="0"/>
    <s v="Rack0_SW2_acp12,CC3_C2_Lane_"/>
    <s v="Cable Cartridge"/>
    <x v="3"/>
    <n v="2024125351339"/>
    <n v="1822825354854"/>
    <s v="Rack"/>
    <s v="TX2-5S"/>
    <n v="1348"/>
    <s v="InTest"/>
  </r>
  <r>
    <s v="P25C00580"/>
    <s v="12/3/2025 8:59:32 PM"/>
    <x v="0"/>
    <s v="SR021201256050"/>
    <s v="RK204"/>
    <m/>
    <s v="12/3/2025"/>
    <x v="0"/>
    <s v="no nvlink LED connection light"/>
    <s v="GB300 L10"/>
    <x v="1"/>
    <s v="A968459X5B16045"/>
    <s v="A968459X5B14926"/>
    <s v="Rack"/>
    <s v="TX2-5S"/>
    <n v="1348"/>
    <s v="InTest"/>
  </r>
  <r>
    <s v="P25C00594"/>
    <s v="12/3/2025 10:16:30 PM"/>
    <x v="0"/>
    <s v="SR021201254854"/>
    <s v="RK024"/>
    <m/>
    <s v="12/3/2025"/>
    <x v="0"/>
    <s v="L11 位置來料不良BENT PIN"/>
    <s v="Cable Cartridge"/>
    <x v="3"/>
    <n v="2024125350940"/>
    <n v="1823425356028"/>
    <s v="Rack"/>
    <s v="TX2-5S"/>
    <n v="90066"/>
    <s v="InTest"/>
  </r>
  <r>
    <s v="P25C00634"/>
    <s v="12/4/2025 2:00:14 AM"/>
    <x v="0"/>
    <s v="SR021201257428"/>
    <s v="RK024"/>
    <m/>
    <s v="12/4/2025"/>
    <x v="0"/>
    <s v="來料不良BENT PIN"/>
    <s v="Cable Cartridge"/>
    <x v="3"/>
    <n v="2024225350114"/>
    <n v="1822825356134"/>
    <s v="Rack"/>
    <s v="TX2-5S"/>
    <n v="1348"/>
    <s v="InTest"/>
  </r>
  <r>
    <s v="P25C00665"/>
    <s v="12/4/2025 8:19:24 AM"/>
    <x v="0"/>
    <s v="SR021201255012"/>
    <s v="RK022"/>
    <m/>
    <s v="12/4/2025"/>
    <x v="0"/>
    <s v="L11 TEST:PowerShelf #3 update fail_PM894_協助過帳"/>
    <s v="Delta power shelf right input"/>
    <x v="5"/>
    <s v="DGPSU254300HE"/>
    <s v="DGPSU254300KM"/>
    <s v="Rack"/>
    <s v="TX2-5S"/>
    <n v="1519"/>
    <s v="InTest"/>
  </r>
  <r>
    <s v="P25C00695"/>
    <s v="12/4/2025 10:37:11 AM"/>
    <x v="0"/>
    <s v="SR021128252584"/>
    <s v="RK204"/>
    <m/>
    <s v="12/4/2025"/>
    <x v="0"/>
    <s v="NVL Switch L11 FD Test _[FAIL]Rack0_SW1_acp91,CC2_C4_Lane_3_PM894_協助過帳"/>
    <s v="NVSwitch"/>
    <x v="2"/>
    <s v="MT2541601QFM"/>
    <s v="MT25336008GB"/>
    <s v="Rack"/>
    <s v="TX2-5S"/>
    <n v="924"/>
    <s v="InTest"/>
  </r>
  <r>
    <s v="P25C00695"/>
    <s v="12/4/2025 10:37:11 AM"/>
    <x v="0"/>
    <s v="SR021128252584"/>
    <s v="RK204"/>
    <m/>
    <s v="12/4/2025"/>
    <x v="0"/>
    <s v="NVL Switch L11 FD Test _[FAIL]Rack0_SW1_acp91,CC2_C4_Lane_3_PM894_協助過帳"/>
    <s v="NVSwitch"/>
    <x v="2"/>
    <s v="MT2541601QFM"/>
    <s v="MT25336008GB"/>
    <s v="Rack"/>
    <s v="TX2-5S"/>
    <n v="924"/>
    <s v="InTest"/>
  </r>
  <r>
    <s v="P25C00762"/>
    <s v="12/4/2025 2:33:46 PM"/>
    <x v="0"/>
    <s v="SR021201255902"/>
    <s v="RK098"/>
    <m/>
    <s v="12/4/2025"/>
    <x v="0"/>
    <s v="開機自動關機已對單機補過水冷液一樣_更換單機_TW640"/>
    <s v="GB300 L10"/>
    <x v="1"/>
    <s v="A968459X5C00322"/>
    <s v="A968459X5B15879"/>
    <s v="Rack"/>
    <s v="TX2-5S"/>
    <n v="640"/>
    <s v="InTest"/>
  </r>
  <r>
    <s v="P25C00763"/>
    <s v="12/4/2025 2:33:46 PM"/>
    <x v="0"/>
    <s v="SR021201255902"/>
    <s v="RK098"/>
    <m/>
    <s v="12/4/2025"/>
    <x v="0"/>
    <s v="開機自動關機已對單機補過水冷液一樣_更換單機_TW640"/>
    <s v="GB300 L10"/>
    <x v="1"/>
    <s v="A968459X5B08613"/>
    <s v="A968459X5B15882"/>
    <s v="Rack"/>
    <s v="TX2-5S"/>
    <n v="640"/>
    <s v="InTest"/>
  </r>
  <r>
    <s v="P25C00764"/>
    <s v="12/4/2025 2:34:38 PM"/>
    <x v="0"/>
    <s v="SR021201251406"/>
    <s v="RK098"/>
    <m/>
    <s v="12/4/2025"/>
    <x v="0"/>
    <s v="開機自動關機已對單機補過水冷液一樣_更換單機_TW640"/>
    <s v="GB300 L10"/>
    <x v="1"/>
    <s v="A968459X5B15870"/>
    <s v="A968459X5B15869"/>
    <s v="Rack"/>
    <s v="TX2-5S"/>
    <n v="640"/>
    <s v="InTest"/>
  </r>
  <r>
    <s v="P25C00794"/>
    <s v="12/4/2025 4:18:20 PM"/>
    <x v="0"/>
    <s v="SR021201256175"/>
    <s v="MB058"/>
    <m/>
    <s v="12/4/2025"/>
    <x v="0"/>
    <s v="L11 NVL LED no function(front)"/>
    <s v="GB300 L10"/>
    <x v="1"/>
    <s v="A968459X5B15229"/>
    <s v="A968459X5B08556"/>
    <s v="Rack"/>
    <s v="TX2-5S"/>
    <n v="90066"/>
    <s v="InTest"/>
  </r>
  <r>
    <s v="P25C00810"/>
    <s v="12/4/2025 6:11:45 PM"/>
    <x v="0"/>
    <s v="SR021201254854"/>
    <s v="RK001"/>
    <m/>
    <s v="12/4/2025"/>
    <x v="0"/>
    <s v="L11 Unable to power on"/>
    <s v="GB300 L10"/>
    <x v="1"/>
    <s v="A968459X5C00220"/>
    <s v="A968459X5C00375"/>
    <s v="Rack"/>
    <s v="TX2-5S"/>
    <n v="90066"/>
    <s v="InTest"/>
  </r>
  <r>
    <s v="P25C00817"/>
    <s v="12/4/2025 6:36:23 PM"/>
    <x v="0"/>
    <s v="SR021201251255"/>
    <s v="RK099"/>
    <m/>
    <s v="12/4/2025"/>
    <x v="0"/>
    <s v="unable gto power on"/>
    <s v="GB300 L10"/>
    <x v="1"/>
    <s v="A968459X5B01058"/>
    <s v="A968459X5C00162"/>
    <s v="Rack"/>
    <s v="TX2-5S"/>
    <n v="90131"/>
    <s v="InTest"/>
  </r>
  <r>
    <s v="P25C00820"/>
    <s v="12/4/2025 7:52:36 PM"/>
    <x v="0"/>
    <s v="SR021201252295"/>
    <s v="RK205"/>
    <m/>
    <s v="12/4/2025"/>
    <x v="0"/>
    <s v="GB200 L11 Compute Tray Nvidia Field Diag Test fail"/>
    <s v="GB300 L10"/>
    <x v="1"/>
    <s v="A968459X5B14918"/>
    <s v="A968459X5C00167"/>
    <s v="Rack"/>
    <s v="TX2-5S"/>
    <n v="90131"/>
    <s v="InTest"/>
  </r>
  <r>
    <s v="P25C00836"/>
    <s v="12/4/2025 8:29:04 PM"/>
    <x v="0"/>
    <s v="SR021201259368"/>
    <s v="GP006"/>
    <m/>
    <s v="12/4/2025"/>
    <x v="0"/>
    <s v="L11 NVRM invalid state or config @(Rack slot 21, CBC 2, 4x19 connector 2)"/>
    <s v="GB300 L10"/>
    <x v="1"/>
    <s v="A968459X5B15884"/>
    <s v="A968459X5B14821"/>
    <s v="Rack"/>
    <s v="TX2-5S"/>
    <n v="90066"/>
    <s v="InTest"/>
  </r>
  <r>
    <s v="P25C00873"/>
    <s v="12/4/2025 10:35:27 PM"/>
    <x v="0"/>
    <s v="SR021201259368"/>
    <s v="RK024"/>
    <m/>
    <s v="12/4/2025"/>
    <x v="0"/>
    <s v="L11 Cable cartridge Defect(BENT PIN)"/>
    <s v="Cable Cartridge"/>
    <x v="3"/>
    <n v="2023625350230"/>
    <n v="1823425355464"/>
    <s v="Rack"/>
    <s v="TX2-5S"/>
    <n v="90066"/>
    <s v="InTest"/>
  </r>
  <r>
    <s v="P25C00874"/>
    <s v="12/4/2025 11:13:15 PM"/>
    <x v="0"/>
    <s v="SR021128258926"/>
    <s v="RK024"/>
    <m/>
    <s v="12/4/2025"/>
    <x v="0"/>
    <s v="Cable cartridge Defect"/>
    <s v="Cable Cartridge"/>
    <x v="3"/>
    <n v="2024125351390"/>
    <n v="1823325356029"/>
    <s v="Rack"/>
    <s v="TX2-5S"/>
    <n v="90131"/>
    <s v="InTest"/>
  </r>
  <r>
    <s v="P25C00912"/>
    <s v="12/5/2025 2:03:08 AM"/>
    <x v="0"/>
    <s v="SR021201252586"/>
    <s v="RK023"/>
    <m/>
    <s v="12/5/2025"/>
    <x v="0"/>
    <s v="Unable to update"/>
    <s v="NVSwitch"/>
    <x v="2"/>
    <s v="MT2532601F7X"/>
    <s v="MT25416010MV"/>
    <s v="Rack"/>
    <s v="TX2-5S"/>
    <n v="90131"/>
    <s v="InTest"/>
  </r>
  <r>
    <s v="P25C00954"/>
    <s v="12/5/2025 7:56:20 AM"/>
    <x v="0"/>
    <s v="SR021201252719"/>
    <s v="RK101"/>
    <m/>
    <s v="12/5/2025"/>
    <x v="0"/>
    <s v="nvswitch 無法更新_更換_TW640"/>
    <s v="NVSwitch"/>
    <x v="2"/>
    <s v="MT2532601D9J"/>
    <s v="MT253060313Q"/>
    <s v="Rack"/>
    <s v="TX2-5S"/>
    <n v="640"/>
    <s v="InTest"/>
  </r>
  <r>
    <s v="P25C00986"/>
    <s v="12/5/2025 9:41:17 AM"/>
    <x v="1"/>
    <s v="SR021203252589"/>
    <s v="RK024"/>
    <m/>
    <s v="12/5/2025"/>
    <x v="0"/>
    <s v="Cable cartridge Defect comp_tray Rack0_SW7_acp23 CC2_C5_Lane_14"/>
    <s v="Cable Cartridge"/>
    <x v="3"/>
    <n v="2023625351398"/>
    <n v="1823325355953"/>
    <s v="Rack"/>
    <s v="TX2-5S"/>
    <n v="640"/>
    <s v="InTest"/>
  </r>
  <r>
    <s v="P25C01016"/>
    <s v="12/5/2025 12:21:28 PM"/>
    <x v="0"/>
    <s v="SR021201251255"/>
    <s v="RK098"/>
    <m/>
    <s v="12/5/2025"/>
    <x v="0"/>
    <s v="交換驗證跟著走COMPUTE_NODE_9 | DGX-000000000125 | cable_cartridge The requested resource of type Chassis named 'CBC_3'_更換單機_TW640"/>
    <s v="GB300 L10"/>
    <x v="1"/>
    <s v="A968459X5B01288"/>
    <s v="A968459X5B14869"/>
    <s v="Rack"/>
    <s v="TX2-5S"/>
    <n v="640"/>
    <s v="InTest"/>
  </r>
  <r>
    <s v="P25C01018"/>
    <s v="12/5/2025 9:01:04 PM"/>
    <x v="1"/>
    <s v="SR021203253700"/>
    <s v="RK022"/>
    <m/>
    <s v="12/5/2025"/>
    <x v="0"/>
    <s v="L11 TEST:PowerShelf #1 update fail"/>
    <s v="LiteOn Power Shelf Right Input"/>
    <x v="7"/>
    <s v="613339RBX04X1537223"/>
    <m/>
    <s v="Rack"/>
    <s v="TX2-5S"/>
    <n v="1519"/>
    <s v="InTest"/>
  </r>
  <r>
    <s v="P25C01019"/>
    <s v="12/5/2025 12:36:55 PM"/>
    <x v="0"/>
    <s v="SR021128252340"/>
    <s v="RK098"/>
    <m/>
    <s v="12/5/2025"/>
    <x v="0"/>
    <s v="SWITCH_NODE_9, NVLINK 8, Chassis Slot 18"/>
    <s v="GB300 L10"/>
    <x v="1"/>
    <s v="A968459X5B13171"/>
    <s v="A968459X5B09394"/>
    <s v="Rack"/>
    <s v="TX2-5S"/>
    <n v="718"/>
    <s v="InTest"/>
  </r>
  <r>
    <s v="P25C01029"/>
    <s v="12/5/2025 12:43:44 PM"/>
    <x v="0"/>
    <s v="SR021201252322"/>
    <s v="RK098"/>
    <m/>
    <s v="12/5/2025"/>
    <x v="0"/>
    <s v="自動關機"/>
    <s v="GB300 L10"/>
    <x v="1"/>
    <s v="A968459X5B16085"/>
    <s v="A968459X5B16679"/>
    <s v="Rack"/>
    <s v="TX2-5S"/>
    <n v="718"/>
    <s v="InTest"/>
  </r>
  <r>
    <s v="P25C01033"/>
    <s v="12/5/2025 1:10:32 PM"/>
    <x v="0"/>
    <s v="SR021201252586"/>
    <s v="RK098"/>
    <m/>
    <s v="12/5/2025"/>
    <x v="0"/>
    <s v="only 54 NVLink status shows"/>
    <s v="GB300 L10"/>
    <x v="1"/>
    <s v="A968459X5B16092"/>
    <s v="A968459X5B14867"/>
    <s v="Rack"/>
    <s v="TX2-5S"/>
    <n v="718"/>
    <s v="InTest"/>
  </r>
  <r>
    <s v="P25C01039"/>
    <s v="12/5/2025 1:51:59 PM"/>
    <x v="0"/>
    <s v="SR021201251406"/>
    <s v="RK024"/>
    <m/>
    <s v="12/5/2025"/>
    <x v="0"/>
    <s v="Rack0_SW2_acp42,CC1_C10_Lane_4, link_none,0, 0,"/>
    <s v="Cable Cartridge"/>
    <x v="3"/>
    <n v="2023625351397"/>
    <n v="1823325356008"/>
    <s v="Rack"/>
    <s v="TX2-5S"/>
    <n v="640"/>
    <s v="InTest"/>
  </r>
  <r>
    <s v="P25C01040"/>
    <s v="12/5/2025 1:51:59 PM"/>
    <x v="0"/>
    <s v="SR021201251406"/>
    <s v="RK024"/>
    <m/>
    <s v="12/5/2025"/>
    <x v="0"/>
    <s v="Rack0_SW0_acp23,CC2_C5_Lane_0, link_none,0, 0,"/>
    <s v="Cable Cartridge"/>
    <x v="3"/>
    <n v="2023625351398"/>
    <n v="1823325356233"/>
    <s v="Rack"/>
    <s v="TX2-5S"/>
    <n v="640"/>
    <s v="InTest"/>
  </r>
  <r>
    <s v="P25C01061"/>
    <s v="12/5/2025 5:11:05 PM"/>
    <x v="0"/>
    <s v="SR021201258976"/>
    <s v="RK023"/>
    <m/>
    <s v="12/5/2025"/>
    <x v="0"/>
    <s v="NVLINK Switch Functional Issue"/>
    <s v="NVSwitch"/>
    <x v="2"/>
    <s v="MT2532602FGF"/>
    <s v="MT253060313R"/>
    <s v="Rack"/>
    <s v="TX2-5S"/>
    <n v="90131"/>
    <s v="InTest"/>
  </r>
  <r>
    <s v="P25C01102"/>
    <s v="12/5/2025 10:04:17 PM"/>
    <x v="1"/>
    <s v="SR021203253700"/>
    <s v="RK022"/>
    <m/>
    <s v="12/5/2025"/>
    <x v="0"/>
    <s v="L11 Power Shelf Defective (LED not working)"/>
    <s v="LiteOn power shelf control module"/>
    <x v="8"/>
    <s v="614MP1RBX03X15360DA"/>
    <s v="614MP1RBX03X15401FN"/>
    <s v="Rack"/>
    <s v="TX2-5S"/>
    <n v="90066"/>
    <s v="InTest"/>
  </r>
  <r>
    <s v="P25C01103"/>
    <s v="12/5/2025 10:05:45 PM"/>
    <x v="0"/>
    <s v="SR021201252586"/>
    <s v="RK023"/>
    <m/>
    <s v="12/5/2025"/>
    <x v="0"/>
    <s v="LED NO LIGHT"/>
    <s v="NVSwitch"/>
    <x v="2"/>
    <s v="MT25416010MV"/>
    <s v="MT253060313T"/>
    <s v="Rack"/>
    <s v="TX2-5S"/>
    <n v="90168"/>
    <s v="InTest"/>
  </r>
  <r>
    <s v="P25C01135"/>
    <s v="12/6/2025 1:39:34 AM"/>
    <x v="0"/>
    <s v="SR021201251406"/>
    <s v="RK023"/>
    <m/>
    <s v="12/6/2025"/>
    <x v="0"/>
    <s v="LED no light # 2"/>
    <s v="NVSwitch"/>
    <x v="2"/>
    <s v="MT2532601AKL"/>
    <s v="MT25286045UR"/>
    <s v="Rack"/>
    <s v="TX2-5S"/>
    <n v="90168"/>
    <s v="InTest"/>
  </r>
  <r>
    <s v="P25C01229"/>
    <s v="12/6/2025 3:21:31 PM"/>
    <x v="1"/>
    <s v="SR021204253712"/>
    <s v="RK205"/>
    <m/>
    <s v="12/6/2025"/>
    <x v="0"/>
    <s v="Fail to boot PXE"/>
    <s v="GB300 L10"/>
    <x v="9"/>
    <s v="A964512X5B16553"/>
    <s v="A964512X5B10330"/>
    <s v="Rack"/>
    <s v="TX2-5S"/>
    <n v="90131"/>
    <s v="InTest"/>
  </r>
  <r>
    <s v="P25C01231"/>
    <s v="12/6/2025 3:30:10 PM"/>
    <x v="1"/>
    <s v="SR021203252589"/>
    <s v="RK205"/>
    <m/>
    <s v="12/6/2025"/>
    <x v="0"/>
    <s v="cannot power on power faild log in BMC SEL"/>
    <s v="GB300 L10"/>
    <x v="9"/>
    <s v="A964512X5B11970"/>
    <s v="A964512X5B10331"/>
    <s v="Rack"/>
    <s v="TX2-5S"/>
    <n v="90131"/>
    <s v="InTest"/>
  </r>
  <r>
    <s v="P25C01236"/>
    <s v="12/6/2025 4:05:23 PM"/>
    <x v="0"/>
    <s v="SR021128252289"/>
    <s v="RK023"/>
    <m/>
    <s v="12/6/2025"/>
    <x v="0"/>
    <s v="NVLINK Switch Functional Issue unable to update"/>
    <s v="NVSwitch"/>
    <x v="2"/>
    <s v="MT25466017KH"/>
    <s v="MT25306031AJ"/>
    <s v="Rack"/>
    <s v="TX2-5S"/>
    <n v="90131"/>
    <s v="InTest"/>
  </r>
  <r>
    <s v="P25C01237"/>
    <s v="12/6/2025 4:08:29 PM"/>
    <x v="1"/>
    <s v="SR021203255867"/>
    <s v="CH001"/>
    <m/>
    <s v="12/6/2025"/>
    <x v="0"/>
    <s v="Control panel switch failure (power/reset button/LED) LED not working"/>
    <s v="GB300 L10"/>
    <x v="9"/>
    <s v="A964512X5B16569"/>
    <s v="A964512X5C00554"/>
    <s v="Rack"/>
    <s v="TX2-5S"/>
    <n v="90066"/>
    <s v="InTest"/>
  </r>
  <r>
    <s v="P25C01273"/>
    <s v="12/6/2025 6:31:26 PM"/>
    <x v="1"/>
    <s v="SR021203252105"/>
    <s v="RK098"/>
    <m/>
    <s v="12/6/2025"/>
    <x v="0"/>
    <s v="can't power on ROOT FAILURE log in BMC SEL"/>
    <s v="GB300 L10"/>
    <x v="9"/>
    <s v="A964512X5C02654"/>
    <s v="A964512X5C01049"/>
    <s v="Rack"/>
    <s v="TX2-5S"/>
    <n v="90131"/>
    <s v="InTest"/>
  </r>
  <r>
    <s v="P25C01287"/>
    <s v="12/6/2025 8:17:37 PM"/>
    <x v="1"/>
    <s v="SR021204251173"/>
    <s v="RK001"/>
    <m/>
    <s v="12/6/2025"/>
    <x v="0"/>
    <s v="L11 AUTOMATICALLY SHUTDOWN"/>
    <s v="GB300 L10"/>
    <x v="9"/>
    <s v="A964512X5C00054"/>
    <s v="A964512X5C02191"/>
    <s v="Rack"/>
    <s v="TX2-5S"/>
    <n v="90066"/>
    <s v="InTest"/>
  </r>
  <r>
    <s v="P25C01290"/>
    <s v="12/6/2025 8:36:16 PM"/>
    <x v="1"/>
    <s v="SR021203254681"/>
    <s v="RK205"/>
    <m/>
    <s v="12/6/2025"/>
    <x v="0"/>
    <s v="CC FD test faild on CBC-2 CHASSIS NAMED CBC-2 WAS NOT FOUND"/>
    <s v="GB300 L10"/>
    <x v="9"/>
    <s v="A964512X5C00061"/>
    <s v="A964512X5C01122"/>
    <s v="Rack"/>
    <s v="TX2-5S"/>
    <n v="90131"/>
    <s v="InTest"/>
  </r>
  <r>
    <s v="P25C01306"/>
    <s v="12/6/2025 10:33:54 PM"/>
    <x v="1"/>
    <s v="SR021204251173"/>
    <s v="RK106"/>
    <m/>
    <s v="12/6/2025"/>
    <x v="0"/>
    <s v="L11 System sensor missing (only 54 NVLink status shows OK, expected 72)"/>
    <s v="GB300 L10"/>
    <x v="9"/>
    <s v="A964512X5C01263"/>
    <s v="A964512X5C01639"/>
    <s v="Rack"/>
    <s v="TX2-5S"/>
    <n v="90066"/>
    <s v="InTest"/>
  </r>
  <r>
    <s v="P25C01313"/>
    <s v="12/6/2025 10:59:21 PM"/>
    <x v="1"/>
    <s v="SR021203251137"/>
    <s v="RK023"/>
    <m/>
    <s v="12/6/2025"/>
    <x v="0"/>
    <s v="sw2-cc0-c1 link none failed on both 2 racks"/>
    <s v="NVSwitch"/>
    <x v="2"/>
    <s v="MT2542600XF8"/>
    <s v="MT2531602FM6"/>
    <s v="Rack"/>
    <s v="TX2-5S"/>
    <n v="90131"/>
    <s v="InTest"/>
  </r>
  <r>
    <s v="P25C01354"/>
    <s v="12/7/2025 9:58:16 AM"/>
    <x v="1"/>
    <s v="SR021204253712"/>
    <s v="RK204"/>
    <m/>
    <s v="12/7/2025"/>
    <x v="0"/>
    <s v="Rack0_SW2_acp137,CC0_C16_Lane_5, link_none,0, 0,"/>
    <s v="NVSwitch"/>
    <x v="2"/>
    <s v="MT2532601AKL"/>
    <s v="MT2542601XAD"/>
    <s v="Rack"/>
    <s v="TX2-5S"/>
    <n v="640"/>
    <s v="InTest"/>
  </r>
  <r>
    <s v="P25C01375"/>
    <s v="12/7/2025 5:00:51 PM"/>
    <x v="1"/>
    <s v="SR021203252105"/>
    <s v="RK205"/>
    <m/>
    <s v="12/7/2025"/>
    <x v="0"/>
    <s v="System lspci tool only detected 3 GPU and it does not match the requesed 4"/>
    <s v="GB300 L10"/>
    <x v="9"/>
    <s v="A964512X5C01125"/>
    <s v="A964512X5B10341"/>
    <s v="Rack"/>
    <s v="TX2-5S"/>
    <n v="90131"/>
    <s v="InTest"/>
  </r>
  <r>
    <s v="P25C01384"/>
    <s v="12/7/2025 8:54:08 PM"/>
    <x v="0"/>
    <s v="SR021204255982"/>
    <s v="RK205"/>
    <m/>
    <s v="12/7/2025"/>
    <x v="0"/>
    <s v="Error while invoking api /redfish/v1/Chassis/CBC_0. Error message =&gt; The requested resource of type Chassis named 'CBC_0' was not found."/>
    <s v="GB300 L10"/>
    <x v="1"/>
    <s v="A968459X5C00297"/>
    <s v="A968459X5C01459"/>
    <s v="Rack"/>
    <s v="TX2-5S"/>
    <n v="90131"/>
    <s v="InTest"/>
  </r>
  <r>
    <s v="P25C01387"/>
    <s v="12/7/2025 9:58:44 PM"/>
    <x v="0"/>
    <s v="SR021204254109"/>
    <s v="RK099"/>
    <m/>
    <s v="12/7/2025"/>
    <x v="0"/>
    <s v="Unable to power on"/>
    <s v="GB300 L10"/>
    <x v="1"/>
    <s v="A968459X5B16306"/>
    <s v="A968459X5C01458"/>
    <s v="Rack"/>
    <s v="TX2-5S"/>
    <n v="90131"/>
    <s v="InTest"/>
  </r>
  <r>
    <s v="P25C01416"/>
    <s v="12/8/2025 8:19:05 AM"/>
    <x v="1"/>
    <s v="SR021203256832"/>
    <s v="RK099"/>
    <m/>
    <s v="12/8/2025"/>
    <x v="0"/>
    <s v="C7 Error while invoking api /redfish/v1/Chassis/CBC_1跟著NODE待驗"/>
    <s v="GB300 L10"/>
    <x v="9"/>
    <s v="A964512X5B11645"/>
    <s v="A964512X5C01830"/>
    <s v="Rack"/>
    <s v="TX2-5S"/>
    <n v="924"/>
    <s v="InTest"/>
  </r>
  <r>
    <s v="P25C01453"/>
    <s v="12/8/2025 9:48:45 AM"/>
    <x v="1"/>
    <s v="SR021203255841"/>
    <s v="RK098"/>
    <m/>
    <s v="12/8/2025"/>
    <x v="0"/>
    <s v="無法載入燒機"/>
    <s v="GB300 L10"/>
    <x v="9"/>
    <s v="A964512X5B16530"/>
    <s v="A964512X5C00780"/>
    <s v="Rack"/>
    <s v="TX2-5S"/>
    <n v="718"/>
    <s v="InTest"/>
  </r>
  <r>
    <s v="P25C01465"/>
    <s v="12/8/2025 12:36:05 PM"/>
    <x v="1"/>
    <s v="SR021204253625"/>
    <s v="RK098"/>
    <m/>
    <s v="12/8/2025"/>
    <x v="0"/>
    <s v="only 54 NVLink status"/>
    <s v="GB300 L10"/>
    <x v="9"/>
    <s v="A964512X5C00511"/>
    <s v="A964512X5C00768"/>
    <s v="Rack"/>
    <s v="TX2-5S"/>
    <n v="718"/>
    <s v="InTest"/>
  </r>
  <r>
    <s v="P25C01478"/>
    <s v="12/8/2025 12:59:28 PM"/>
    <x v="0"/>
    <s v="SR021204252965"/>
    <s v="RK022"/>
    <m/>
    <s v="12/8/2025"/>
    <x v="0"/>
    <s v="Power Shelf更新FAIL_更換_TW640"/>
    <s v="Delta Power Shelf Left Input"/>
    <x v="4"/>
    <s v="DGPST254401CX"/>
    <s v="DGPST254401GC"/>
    <s v="Rack"/>
    <s v="TX2-5S"/>
    <n v="640"/>
    <s v="InTest"/>
  </r>
  <r>
    <s v="P25C01564"/>
    <s v="12/8/2025 9:54:40 PM"/>
    <x v="1"/>
    <s v="SR021203255841"/>
    <s v="RK099"/>
    <m/>
    <s v="12/8/2025"/>
    <x v="0"/>
    <s v="unable to power on in the BMC log SEL"/>
    <s v="GB300 L10"/>
    <x v="9"/>
    <s v="A964512X5C00780"/>
    <s v="A964512X5C03205"/>
    <s v="Rack"/>
    <s v="TX2-5S"/>
    <n v="924"/>
    <s v="InTest"/>
  </r>
  <r>
    <s v="P25C01657"/>
    <s v="12/9/2025 9:43:55 AM"/>
    <x v="0"/>
    <s v="SR021204253094"/>
    <s v="RK024"/>
    <m/>
    <s v="12/9/2025"/>
    <x v="0"/>
    <s v="NVLink 有少"/>
    <s v="Cable Cartridge"/>
    <x v="3"/>
    <n v="1823325354909"/>
    <n v="2023625350557"/>
    <s v="Rack"/>
    <s v="TX2-5S"/>
    <n v="718"/>
    <s v="InTest"/>
  </r>
  <r>
    <s v="P25C01658"/>
    <s v="12/9/2025 9:49:14 AM"/>
    <x v="1"/>
    <s v="SR021204253625"/>
    <s v="RK024"/>
    <m/>
    <s v="12/9/2025"/>
    <x v="0"/>
    <s v="CC0 LINK_none FAIL"/>
    <s v="Cable Cartridge"/>
    <x v="3"/>
    <n v="2024325880566"/>
    <n v="2023625350909"/>
    <s v="Rack"/>
    <s v="TX2-5S"/>
    <n v="718"/>
    <s v="InTest"/>
  </r>
  <r>
    <s v="P25C01677"/>
    <s v="12/9/2025 12:14:06 PM"/>
    <x v="1"/>
    <s v="SR021206256931"/>
    <s v="RK098"/>
    <m/>
    <s v="12/9/2025"/>
    <x v="0"/>
    <s v="link_none"/>
    <s v="GB300 L10"/>
    <x v="9"/>
    <s v="A964512X5C02159"/>
    <s v="A964512X5C00769"/>
    <s v="Rack"/>
    <s v="TX2-5S"/>
    <n v="718"/>
    <s v="InTest"/>
  </r>
  <r>
    <s v="P25C01679"/>
    <s v="12/9/2025 12:16:41 PM"/>
    <x v="1"/>
    <s v="SR021206255174"/>
    <s v="RK098"/>
    <m/>
    <s v="12/9/2025"/>
    <x v="0"/>
    <s v="link_bad_quality"/>
    <s v="GB300 L10"/>
    <x v="9"/>
    <s v="A964512X5C01550"/>
    <s v="A964512X5C00780"/>
    <s v="Rack"/>
    <s v="TX2-5S"/>
    <n v="718"/>
    <s v="InTest"/>
  </r>
  <r>
    <s v="P25C01698"/>
    <s v="12/9/2025 1:12:53 PM"/>
    <x v="1"/>
    <s v="SR021203255841"/>
    <s v="RK098"/>
    <m/>
    <s v="12/9/2025"/>
    <x v="0"/>
    <s v="link_none"/>
    <s v="GB300 L10"/>
    <x v="9"/>
    <s v="A964512X5C01118"/>
    <s v="A964512X5C00784"/>
    <s v="Rack"/>
    <s v="TX2-5S"/>
    <n v="718"/>
    <s v="InTest"/>
  </r>
  <r>
    <s v="P25C01735"/>
    <s v="12/9/2025 5:29:35 PM"/>
    <x v="0"/>
    <s v="SR021206252647"/>
    <s v="RK118"/>
    <m/>
    <s v="12/9/2025"/>
    <x v="0"/>
    <s v="L11 NVRM invalid state or config"/>
    <s v="GB300 L10"/>
    <x v="1"/>
    <s v="A968459X5B15596"/>
    <s v="A968459X5B08500"/>
    <s v="Rack"/>
    <s v="TX2-5S"/>
    <n v="90066"/>
    <s v="InTest"/>
  </r>
  <r>
    <s v="P25C01743"/>
    <s v="12/9/2025 6:35:25 PM"/>
    <x v="1"/>
    <s v="SR021206255359"/>
    <s v="RK205"/>
    <m/>
    <s v="12/9/2025"/>
    <x v="0"/>
    <s v="Could not find the specified device"/>
    <s v="GB300 L10"/>
    <x v="9"/>
    <s v="A964512X5C03207"/>
    <s v="A964512X5C01709"/>
    <s v="Rack"/>
    <s v="TX2-5S"/>
    <n v="924"/>
    <s v="InTest"/>
  </r>
  <r>
    <s v="P25C01745"/>
    <s v="12/9/2025 6:37:59 PM"/>
    <x v="1"/>
    <s v="SR021208259178"/>
    <s v="RK202"/>
    <m/>
    <s v="12/9/2025"/>
    <x v="0"/>
    <s v="L11 Compute Node Information Consistent Check fail"/>
    <s v="GB300 L10"/>
    <x v="9"/>
    <s v="A964512X5C01545"/>
    <s v="A964512X5C01772"/>
    <s v="Rack"/>
    <s v="TX2-5S"/>
    <n v="90066"/>
    <s v="InTest"/>
  </r>
  <r>
    <s v="P25C01774"/>
    <s v="12/9/2025 10:41:01 PM"/>
    <x v="1"/>
    <s v="SR021203254977"/>
    <s v="RK202"/>
    <m/>
    <s v="12/9/2025"/>
    <x v="0"/>
    <s v="L11 Compute Node Information Consistent Check fail"/>
    <s v="GB300 L10"/>
    <x v="9"/>
    <s v="A964512X5C01724"/>
    <s v="A964512X5C02796"/>
    <s v="Rack"/>
    <s v="TX2-5S"/>
    <n v="90066"/>
    <s v="InTest"/>
  </r>
  <r>
    <s v="P25C01781"/>
    <s v="12/9/2025 11:39:55 PM"/>
    <x v="1"/>
    <s v="SR021208251459"/>
    <s v="RK205"/>
    <m/>
    <s v="12/9/2025"/>
    <x v="0"/>
    <s v="http://10.160.100.12/logs/Mistral/2025/December/SR021208251459/09/R-BURN/A964512X5C01676/905A0832D589/gb300_compute_nvidia_L11_field_diag_summary.log"/>
    <s v="GB300 L10"/>
    <x v="9"/>
    <s v="A964512X5C01410"/>
    <s v="A964512X5C02790"/>
    <s v="Rack"/>
    <s v="TX2-5S"/>
    <n v="924"/>
    <s v="InTest"/>
  </r>
  <r>
    <s v="P25C01783"/>
    <s v="12/10/2025 12:19:33 AM"/>
    <x v="1"/>
    <s v="SR021203256832"/>
    <s v="RK024"/>
    <m/>
    <s v="12/10/2025"/>
    <x v="0"/>
    <s v="L11 Cable cartridge Defect BENT PIN"/>
    <s v="Cable Cartridge"/>
    <x v="3"/>
    <n v="2024325880257"/>
    <n v="1824125354658"/>
    <s v="Rack"/>
    <s v="TX2-5S"/>
    <n v="90066"/>
    <s v="InTest"/>
  </r>
  <r>
    <s v="P25C01785"/>
    <s v="12/10/2025 12:34:55 AM"/>
    <x v="1"/>
    <s v="SR021203255841"/>
    <s v="RK205"/>
    <m/>
    <s v="12/10/2025"/>
    <x v="0"/>
    <s v="lost one E.1s info"/>
    <s v="GB300 L10"/>
    <x v="9"/>
    <s v="A964512X5C01042"/>
    <s v="A964512X5C02800"/>
    <s v="Rack"/>
    <s v="TX2-5S"/>
    <n v="924"/>
    <s v="InTest"/>
  </r>
  <r>
    <s v="P25C01835"/>
    <s v="12/10/2025 1:03:50 PM"/>
    <x v="1"/>
    <s v="SR021204254925"/>
    <s v="RK204"/>
    <m/>
    <s v="12/10/2025"/>
    <x v="1"/>
    <s v="NVL Switch L11 FD Test [RETEST] Rack0_SW5_acp104,CC3_C7_Lane_11_驗證中 先不做更換"/>
    <s v="NVSwitch"/>
    <x v="2"/>
    <s v="MT25426014BH"/>
    <m/>
    <s v="Rack"/>
    <s v="TX2-5S"/>
    <n v="924"/>
    <s v="InTest"/>
  </r>
  <r>
    <s v="P25C01848"/>
    <s v="12/10/2025 9:50:30 AM"/>
    <x v="0"/>
    <s v="SR021204253094"/>
    <s v="RK098"/>
    <m/>
    <s v="12/10/2025"/>
    <x v="0"/>
    <s v="only 71NVlink"/>
    <s v="GB300 L10"/>
    <x v="1"/>
    <s v="A968459X5B16084"/>
    <s v="A968459X5C01442"/>
    <s v="Rack"/>
    <s v="TX2-5S"/>
    <n v="718"/>
    <s v="InTest"/>
  </r>
  <r>
    <s v="P25C01850"/>
    <s v="12/10/2025 9:52:46 AM"/>
    <x v="1"/>
    <s v="SR021206256931"/>
    <s v="RK098"/>
    <m/>
    <s v="12/10/2025"/>
    <x v="0"/>
    <s v="Liquid cooling device has leakage"/>
    <s v="GB300 L10"/>
    <x v="9"/>
    <s v="A964512X5C01050"/>
    <s v="A964512X5C00782"/>
    <s v="Rack"/>
    <s v="TX2-5S"/>
    <n v="718"/>
    <s v="InTest"/>
  </r>
  <r>
    <s v="P25C01852"/>
    <s v="12/10/2025 9:57:22 AM"/>
    <x v="0"/>
    <s v="SR021201258613"/>
    <s v="RK098"/>
    <m/>
    <s v="12/10/2025"/>
    <x v="0"/>
    <s v="Failed to get cable cartridge1 eeprom"/>
    <s v="NVSwitch"/>
    <x v="2"/>
    <s v="MT2541601ZJA"/>
    <s v="MT25306031AA"/>
    <s v="Rack"/>
    <s v="TX2-5S"/>
    <n v="718"/>
    <s v="InTest"/>
  </r>
  <r>
    <s v="P25C01853"/>
    <s v="12/10/2025 10:00:38 AM"/>
    <x v="1"/>
    <s v="SR021206255359"/>
    <s v="RK024"/>
    <m/>
    <s v="12/10/2025"/>
    <x v="0"/>
    <s v="Rack0_SW8_acp116 CC3_C10_Lane_17_更換大電_TW640"/>
    <s v="Cable Cartridge"/>
    <x v="3"/>
    <n v="1823325350842"/>
    <n v="1823425355596"/>
    <s v="Rack"/>
    <s v="TX2-5S"/>
    <n v="640"/>
    <s v="InTest"/>
  </r>
  <r>
    <s v="P25C01868"/>
    <s v="12/10/2025 4:21:34 PM"/>
    <x v="1"/>
    <s v="SR021203254977"/>
    <s v="RK024"/>
    <m/>
    <s v="12/10/2025"/>
    <x v="0"/>
    <s v="Cable cartridge Defect"/>
    <s v="Cable Cartridge"/>
    <x v="3"/>
    <n v="2024425880514"/>
    <n v="2024025351394"/>
    <s v="Rack"/>
    <s v="TX2-5S"/>
    <n v="1348"/>
    <s v="InTest"/>
  </r>
  <r>
    <s v="P25C01869"/>
    <s v="12/10/2025 4:45:36 PM"/>
    <x v="1"/>
    <s v="SR021204252430"/>
    <s v="RK024"/>
    <m/>
    <s v="12/10/2025"/>
    <x v="0"/>
    <s v="L11 TEST:CC1 FAIL"/>
    <s v="Cable Cartridge"/>
    <x v="3"/>
    <n v="2024425880579"/>
    <m/>
    <s v="Rack"/>
    <s v="TX2-5S"/>
    <n v="1348"/>
    <s v="InTest"/>
  </r>
  <r>
    <s v="P25C01878"/>
    <s v="12/10/2025 1:45:34 PM"/>
    <x v="0"/>
    <s v="SR021208252014"/>
    <s v="RK203"/>
    <m/>
    <s v="12/10/2025"/>
    <x v="0"/>
    <s v="Power Shelf #8 Information Check fail_PM894_協助過帳"/>
    <s v="Delta Power Shelf Left Input"/>
    <x v="4"/>
    <s v="DGPST254401DM"/>
    <s v="DGPST254401AY"/>
    <s v="Rack"/>
    <s v="TX2-5S"/>
    <n v="924"/>
    <s v="InTest"/>
  </r>
  <r>
    <s v="P25C01959"/>
    <s v="12/10/2025 7:45:09 PM"/>
    <x v="0"/>
    <s v="SR021208253244"/>
    <s v="RK202"/>
    <m/>
    <s v="12/10/2025"/>
    <x v="0"/>
    <s v="L11 Compute Node Information Consistent Check fail"/>
    <s v="GB300 L10"/>
    <x v="1"/>
    <s v="A968459X5C00403"/>
    <s v="A968459X5B13042"/>
    <s v="Rack"/>
    <s v="TX2-5S"/>
    <n v="90066"/>
    <s v="InTest"/>
  </r>
  <r>
    <s v="P25C01967"/>
    <s v="12/10/2025 8:29:00 PM"/>
    <x v="1"/>
    <s v="SR021208254316"/>
    <s v="RK098"/>
    <m/>
    <s v="12/10/2025"/>
    <x v="0"/>
    <s v="power led no light"/>
    <s v="GB300 L10"/>
    <x v="9"/>
    <s v="A964512X5C01777"/>
    <s v="A964512X5C01734"/>
    <s v="Rack"/>
    <s v="TX2-5S"/>
    <n v="924"/>
    <s v="InTest"/>
  </r>
  <r>
    <s v="P25C01969"/>
    <s v="12/10/2025 8:33:06 PM"/>
    <x v="1"/>
    <s v="SR021208254498"/>
    <s v="RK023"/>
    <m/>
    <s v="12/10/2025"/>
    <x v="0"/>
    <s v="FAILD TO UPDATE"/>
    <s v="NVSwitch"/>
    <x v="2"/>
    <s v="MT2541600GN4"/>
    <s v="MT25306031AB"/>
    <s v="Rack"/>
    <s v="TX2-5S"/>
    <n v="924"/>
    <s v="InTest"/>
  </r>
  <r>
    <s v="P25C01970"/>
    <s v="12/10/2025 8:34:23 PM"/>
    <x v="1"/>
    <s v="SR021208251063"/>
    <s v="RK202"/>
    <m/>
    <s v="12/10/2025"/>
    <x v="0"/>
    <s v="L11 Compute Node Information Consistent Check fail"/>
    <s v="GB300 L10"/>
    <x v="9"/>
    <s v="A964512X5C00583"/>
    <s v="A964512X5C02762"/>
    <s v="Rack"/>
    <s v="TX2-5S"/>
    <n v="90066"/>
    <s v="InTest"/>
  </r>
  <r>
    <s v="P25C01972"/>
    <s v="12/10/2025 8:43:27 PM"/>
    <x v="1"/>
    <s v="SR021204252430"/>
    <s v="RK202"/>
    <m/>
    <s v="12/10/2025"/>
    <x v="0"/>
    <s v="L11 Compute Node Information Consistent Check fail"/>
    <s v="GB300 L10"/>
    <x v="9"/>
    <s v="A964512X5C01348"/>
    <s v="A964512X5C01656"/>
    <s v="Rack"/>
    <s v="TX2-5S"/>
    <n v="90066"/>
    <s v="InTest"/>
  </r>
  <r>
    <s v="P25C01974"/>
    <s v="12/10/2025 8:45:15 PM"/>
    <x v="0"/>
    <s v="SR021208252014"/>
    <s v="RK202"/>
    <m/>
    <s v="12/10/2025"/>
    <x v="0"/>
    <s v="L11 Compute Node Information Consistent Check fail"/>
    <s v="GB300 L10"/>
    <x v="1"/>
    <s v="A968459X5B16028"/>
    <s v="A968459X5C02916"/>
    <s v="Rack"/>
    <s v="TX2-5S"/>
    <n v="90066"/>
    <s v="InTest"/>
  </r>
  <r>
    <s v="P25C01976"/>
    <s v="12/10/2025 8:50:36 PM"/>
    <x v="1"/>
    <s v="SR021206255928"/>
    <s v="RK205"/>
    <m/>
    <s v="12/10/2025"/>
    <x v="0"/>
    <s v="Single Node NCCL Test failed wrong computer password"/>
    <s v="GB300 L10"/>
    <x v="9"/>
    <s v="A964512X5C01092"/>
    <s v="A964512X5C01613"/>
    <s v="Rack"/>
    <s v="TX2-5S"/>
    <n v="924"/>
    <s v="InTest"/>
  </r>
  <r>
    <s v="P25C01977"/>
    <s v="12/10/2025 8:58:12 PM"/>
    <x v="1"/>
    <s v="SR021206255359"/>
    <s v="RK205"/>
    <m/>
    <s v="12/10/2025"/>
    <x v="0"/>
    <s v="GB200 L11 Compute Tray Nvidia Field Diag Test fail"/>
    <s v="GB300 L10"/>
    <x v="9"/>
    <s v="A964512X5C03211"/>
    <s v="A964512X5C00772"/>
    <s v="Rack"/>
    <s v="TX2-5S"/>
    <n v="924"/>
    <s v="InTest"/>
  </r>
  <r>
    <s v="P25C01990"/>
    <s v="12/10/2025 9:48:52 PM"/>
    <x v="0"/>
    <s v="SR021208255761"/>
    <s v="RK022"/>
    <m/>
    <s v="12/10/2025"/>
    <x v="0"/>
    <s v="Power Shelf Defective update fail"/>
    <s v="Delta power shelf right input"/>
    <x v="5"/>
    <s v="DGPSU254301DF"/>
    <s v="SNDGPSU2543018N"/>
    <s v="Rack"/>
    <s v="TX2-5S"/>
    <n v="924"/>
    <s v="InTest"/>
  </r>
  <r>
    <s v="P25C02004"/>
    <s v="12/11/2025 12:32:36 AM"/>
    <x v="0"/>
    <s v="SR021206252647"/>
    <s v="RK202"/>
    <m/>
    <s v="12/11/2025"/>
    <x v="0"/>
    <s v="L11 Compute Node Information Consistent Check fail"/>
    <s v="GB300 L10"/>
    <x v="1"/>
    <s v="A968459X5B16966"/>
    <s v="A968459X5C02959"/>
    <s v="Rack"/>
    <s v="TX2-5S"/>
    <n v="90066"/>
    <s v="InTest"/>
  </r>
  <r>
    <s v="P25C02005"/>
    <s v="12/11/2025 12:34:01 AM"/>
    <x v="0"/>
    <s v="SR021208252014"/>
    <s v="RK202"/>
    <m/>
    <s v="12/11/2025"/>
    <x v="0"/>
    <s v="L11 Compute Node Information Consistent Check fail"/>
    <s v="GB300 L10"/>
    <x v="1"/>
    <s v="A968459X5B16027"/>
    <s v="A968459X5C02958"/>
    <s v="Rack"/>
    <s v="TX2-5S"/>
    <n v="90066"/>
    <s v="InTest"/>
  </r>
  <r>
    <s v="P25C02028"/>
    <s v="12/11/2025 1:18:13 AM"/>
    <x v="1"/>
    <s v="SR021208254498"/>
    <s v="RK205"/>
    <m/>
    <s v="12/11/2025"/>
    <x v="0"/>
    <s v="Error while invoking api /redfish/v1/Chassis/CBC_3. Error message =&gt; The requested resource of type Chassis named 'CBC_3' was not found."/>
    <s v="GB300 L10"/>
    <x v="9"/>
    <s v="A964512X5C01744"/>
    <s v="A964512X5C01573"/>
    <s v="Rack"/>
    <s v="TX2-5S"/>
    <n v="924"/>
    <s v="InTest"/>
  </r>
  <r>
    <s v="P25C02029"/>
    <s v="12/11/2025 1:25:48 AM"/>
    <x v="1"/>
    <s v="SR021208253433"/>
    <s v="RK202"/>
    <m/>
    <s v="12/11/2025"/>
    <x v="0"/>
    <s v="L11 Compute Node Information Consistent Check fail"/>
    <s v="GB300 L10"/>
    <x v="9"/>
    <s v="A964512X5C01218"/>
    <s v="A964512X5C02638"/>
    <s v="Rack"/>
    <s v="TX2-5S"/>
    <n v="90066"/>
    <s v="InTest"/>
  </r>
  <r>
    <s v="P25C02033"/>
    <s v="12/11/2025 2:06:26 AM"/>
    <x v="1"/>
    <s v="SR021208255390"/>
    <s v="RK024"/>
    <m/>
    <s v="12/11/2025"/>
    <x v="0"/>
    <s v="Cable cartridge Defect"/>
    <s v="Cable Cartridge"/>
    <x v="3"/>
    <n v="1823625350136"/>
    <n v="1823325350840"/>
    <s v="Rack"/>
    <s v="TX2-5S"/>
    <n v="90066"/>
    <s v="InTest"/>
  </r>
  <r>
    <s v="P25C02066"/>
    <s v="12/11/2025 10:25:40 AM"/>
    <x v="1"/>
    <s v="SR021204254925"/>
    <s v="RK023"/>
    <m/>
    <s v="12/11/2025"/>
    <x v="0"/>
    <s v="L11 Test: nvlswitch fail_PM1120_協助過帳"/>
    <s v="NVSwitch"/>
    <x v="2"/>
    <s v="MT25426014BH"/>
    <s v="MT25336008G2"/>
    <s v="Rack"/>
    <s v="TX2-5S"/>
    <n v="1519"/>
    <s v="InTest"/>
  </r>
  <r>
    <s v="P25C02067"/>
    <s v="12/11/2025 8:52:43 PM"/>
    <x v="0"/>
    <s v="SR021206252647"/>
    <s v="RK024"/>
    <m/>
    <s v="12/11/2025"/>
    <x v="0"/>
    <s v="CC2 C17位置BENT PIN"/>
    <s v="Cable Cartridge"/>
    <x v="3"/>
    <n v="1823325354319"/>
    <m/>
    <s v="Rack"/>
    <s v="TX2-5S"/>
    <n v="924"/>
    <s v="InTest"/>
  </r>
  <r>
    <s v="P25C02072"/>
    <s v="12/11/2025 11:44:22 AM"/>
    <x v="0"/>
    <s v="SR021208257652"/>
    <s v="RK022"/>
    <m/>
    <s v="12/11/2025"/>
    <x v="0"/>
    <s v="PowerShelf 無法更新換殼"/>
    <s v="Delta power shelf right input"/>
    <x v="5"/>
    <s v="DGPSU25430168"/>
    <s v="DGPSU254300JA"/>
    <s v="Rack"/>
    <s v="TX2-5S"/>
    <n v="718"/>
    <s v="InTest"/>
  </r>
  <r>
    <s v="P25C02075"/>
    <s v="12/11/2025 11:47:31 AM"/>
    <x v="1"/>
    <s v="SR021208252335"/>
    <s v="RK024"/>
    <m/>
    <s v="12/11/2025"/>
    <x v="0"/>
    <s v="CC0 ISSUE please verify link_none"/>
    <s v="Cable Cartridge"/>
    <x v="3"/>
    <n v="1823625350058"/>
    <n v="2023625351033"/>
    <s v="Rack"/>
    <s v="TX2-5S"/>
    <n v="718"/>
    <s v="InTest"/>
  </r>
  <r>
    <s v="P25C02081"/>
    <s v="12/11/2025 12:23:25 PM"/>
    <x v="1"/>
    <s v="SR021208258138"/>
    <s v="RK022"/>
    <m/>
    <s v="12/11/2025"/>
    <x v="0"/>
    <s v="燈號異常不會亮"/>
    <s v="LiteOn power shelf control module"/>
    <x v="8"/>
    <s v="614MP1RBX03X15401B8"/>
    <s v="614MP1RBX03X15401CD"/>
    <s v="Rack"/>
    <s v="TX2-5S"/>
    <m/>
    <s v="Packing"/>
  </r>
  <r>
    <s v="P25C02090"/>
    <s v="12/11/2025 1:06:55 PM"/>
    <x v="0"/>
    <s v="SR021206254307"/>
    <s v="RK022"/>
    <m/>
    <s v="12/11/2025"/>
    <x v="0"/>
    <s v="L11 Test : powershelf update fail_PM894_協助過帳"/>
    <s v="Power Shelf Control Module"/>
    <x v="0"/>
    <s v="SV25440605"/>
    <s v="SV25383437"/>
    <s v="Rack"/>
    <s v="TX2-5S"/>
    <n v="1519"/>
    <s v="InTest"/>
  </r>
  <r>
    <s v="P25C02097"/>
    <s v="12/11/2025 8:45:28 PM"/>
    <x v="1"/>
    <s v="SR021204251173"/>
    <s v="RK024"/>
    <m/>
    <s v="12/11/2025"/>
    <x v="0"/>
    <s v="L11 Test:CC0 test fail"/>
    <s v="Cable Cartridge"/>
    <x v="3"/>
    <n v="2024425880562"/>
    <m/>
    <s v="Rack"/>
    <s v="TX2-5S"/>
    <n v="1519"/>
    <s v="InTest"/>
  </r>
  <r>
    <s v="P25C02100"/>
    <s v="12/11/2025 2:09:39 PM"/>
    <x v="0"/>
    <s v="SR021204253094"/>
    <s v="RK110"/>
    <m/>
    <s v="12/11/2025"/>
    <x v="0"/>
    <s v="only 71 NVLink"/>
    <s v="GB300 L10"/>
    <x v="1"/>
    <s v="A968459X5B16083"/>
    <s v="A968459X5B15385"/>
    <s v="Rack"/>
    <s v="TX2-5S"/>
    <n v="718"/>
    <s v="InTest"/>
  </r>
  <r>
    <s v="P25C02101"/>
    <s v="12/11/2025 2:09:39 PM"/>
    <x v="0"/>
    <s v="SR021204253094"/>
    <s v="RK110"/>
    <m/>
    <s v="12/11/2025"/>
    <x v="0"/>
    <s v="only 71 NVLink"/>
    <s v="GB300 L10"/>
    <x v="1"/>
    <s v="A968459X5B16097"/>
    <s v="A968459X5C00232"/>
    <s v="Rack"/>
    <s v="TX2-5S"/>
    <n v="718"/>
    <s v="InTest"/>
  </r>
  <r>
    <s v="P25C02112"/>
    <s v="12/11/2025 8:44:09 PM"/>
    <x v="0"/>
    <s v="SR021208253244"/>
    <s v="RK024"/>
    <m/>
    <s v="12/11/2025"/>
    <x v="0"/>
    <s v="Rack0_SW0_acp69,CC0_C17_Lane_0, link_none.SR021208253244-main A968459X5B08335"/>
    <s v="Cable Cartridge"/>
    <x v="3"/>
    <n v="2023625351208"/>
    <m/>
    <s v="Rack"/>
    <s v="TX2-5S"/>
    <n v="90066"/>
    <s v="InTest"/>
  </r>
  <r>
    <s v="P25C02124"/>
    <s v="12/11/2025 2:59:29 PM"/>
    <x v="0"/>
    <s v="SR021204253094"/>
    <s v="RK098"/>
    <m/>
    <s v="12/11/2025"/>
    <x v="0"/>
    <s v="前面板NVLINK不亮"/>
    <s v="GB300 L10"/>
    <x v="1"/>
    <s v="A968459X5C00232"/>
    <s v="A968459X5B15996"/>
    <s v="Rack"/>
    <s v="TX2-5S"/>
    <n v="718"/>
    <s v="InTest"/>
  </r>
  <r>
    <s v="P25C02158"/>
    <s v="12/11/2025 7:41:25 PM"/>
    <x v="0"/>
    <s v="SR021208253936"/>
    <s v="RK105"/>
    <m/>
    <s v="12/11/2025"/>
    <x v="0"/>
    <s v="BMC EventLog: The health of resource `Chassis_0_LeakDetector_0_Manifold` has changed to Open"/>
    <s v="GB300 L10"/>
    <x v="1"/>
    <s v="A968459X5C02317"/>
    <s v="A968459X5C02978"/>
    <s v="Rack"/>
    <s v="TX2-5S"/>
    <n v="924"/>
    <s v="InTest"/>
  </r>
  <r>
    <s v="P25C02164"/>
    <s v="12/11/2025 10:04:15 PM"/>
    <x v="0"/>
    <s v="SR021206259503"/>
    <s v="RK098"/>
    <m/>
    <s v="12/11/2025"/>
    <x v="0"/>
    <s v="unable to power on fail to the BMC log SEL"/>
    <s v="GB300 L10"/>
    <x v="1"/>
    <s v="A968459X5C03118"/>
    <s v="A968459X5C04300"/>
    <s v="Rack"/>
    <s v="TX2-5S"/>
    <n v="924"/>
    <s v="InTest"/>
  </r>
  <r>
    <s v="P25C02166"/>
    <s v="12/11/2025 9:17:29 PM"/>
    <x v="0"/>
    <s v="SR021206252079"/>
    <s v="RK203"/>
    <m/>
    <s v="12/11/2025"/>
    <x v="0"/>
    <s v="UNABLE TO UPDATE"/>
    <s v="Delta Power Shelf Left Input"/>
    <x v="4"/>
    <s v="DGPST2544024Q"/>
    <s v="DGPST25440024"/>
    <s v="Rack"/>
    <s v="TX2-5S"/>
    <n v="90066"/>
    <s v="InTest"/>
  </r>
  <r>
    <s v="P25C02173"/>
    <s v="12/12/2025 3:23:12 PM"/>
    <x v="0"/>
    <s v="SR021206259503"/>
    <s v="RK205"/>
    <m/>
    <s v="12/11/2025"/>
    <x v="0"/>
    <s v="CBC_1.ERROR message"/>
    <s v="GB300 L10"/>
    <x v="1"/>
    <s v="A968459X5B14345"/>
    <s v="A968459X5C03631"/>
    <s v="Rack"/>
    <s v="TX2-5S"/>
    <n v="924"/>
    <s v="InTest"/>
  </r>
  <r>
    <s v="P25C02253"/>
    <s v="12/12/2025 9:26:35 AM"/>
    <x v="0"/>
    <s v="SR021204253094"/>
    <s v="RK098"/>
    <m/>
    <s v="12/12/2025"/>
    <x v="0"/>
    <s v="link_none"/>
    <s v="GB300 L10"/>
    <x v="1"/>
    <s v="A968459X5C01442"/>
    <s v="A968459X5B08118"/>
    <s v="Rack"/>
    <s v="TX2-5S"/>
    <n v="718"/>
    <s v="InTest"/>
  </r>
  <r>
    <s v="P25C02258"/>
    <s v="12/14/2025 11:49:24 PM"/>
    <x v="1"/>
    <s v="SR021208253677"/>
    <s v="RK024"/>
    <m/>
    <s v="12/12/2025"/>
    <x v="0"/>
    <s v="Cable cartridge Defect_大電導致RBURN TEST FAIL(已排除SERVER和NVSWITCH問題)"/>
    <s v="Cable Cartridge"/>
    <x v="3"/>
    <n v="1823325350931"/>
    <m/>
    <s v="Rack"/>
    <s v="TX2-5S"/>
    <n v="1237"/>
    <s v="InTest"/>
  </r>
  <r>
    <s v="P25C02277"/>
    <s v="12/12/2025 12:26:21 PM"/>
    <x v="0"/>
    <s v="SR021206257383"/>
    <s v="RK098"/>
    <m/>
    <s v="12/12/2025"/>
    <x v="0"/>
    <s v="無法開機"/>
    <s v="GB300 L10"/>
    <x v="1"/>
    <s v="A968459X5B09539"/>
    <s v="A968459X5C02968"/>
    <s v="Rack"/>
    <s v="TX2-5S"/>
    <n v="718"/>
    <s v="InTest"/>
  </r>
  <r>
    <s v="P25C02284"/>
    <s v="12/12/2025 12:30:11 PM"/>
    <x v="0"/>
    <s v="SR021204253094"/>
    <s v="RK098"/>
    <m/>
    <s v="12/12/2025"/>
    <x v="0"/>
    <s v="無法開機"/>
    <s v="GB300 L10"/>
    <x v="1"/>
    <s v="A968459X5B08118"/>
    <s v="A968459X5C03018"/>
    <s v="Rack"/>
    <s v="TX2-5S"/>
    <n v="718"/>
    <s v="InTest"/>
  </r>
  <r>
    <s v="P25C02316"/>
    <s v="12/12/2025 3:16:53 PM"/>
    <x v="0"/>
    <s v="SR021204253094"/>
    <s v="RK023"/>
    <m/>
    <s v="12/12/2025"/>
    <x v="0"/>
    <s v="燈號異常不會亮"/>
    <s v="NVSwitch"/>
    <x v="2"/>
    <s v="MT254460291Q"/>
    <s v="MT25426014BU"/>
    <s v="Rack"/>
    <s v="TX2-5S"/>
    <n v="718"/>
    <s v="InTest"/>
  </r>
  <r>
    <s v="P25C02321"/>
    <s v="12/12/2025 3:26:31 PM"/>
    <x v="0"/>
    <s v="SR021206257383"/>
    <s v="RK098"/>
    <m/>
    <s v="12/12/2025"/>
    <x v="0"/>
    <s v="無法開機"/>
    <s v="GB300 L10"/>
    <x v="1"/>
    <s v="A968459X5B01058"/>
    <s v="A968459X5C00323"/>
    <s v="Rack"/>
    <s v="TX2-5S"/>
    <n v="718"/>
    <s v="InTest"/>
  </r>
  <r>
    <s v="P25C02333"/>
    <s v="12/12/2025 5:12:21 PM"/>
    <x v="0"/>
    <s v="SR021210258843"/>
    <s v="RK201"/>
    <m/>
    <s v="12/12/2025"/>
    <x v="0"/>
    <s v="NVLSWITCH NO POWER"/>
    <s v="NVSwitch"/>
    <x v="2"/>
    <s v="MT25456005KB"/>
    <s v="MT25336008G3"/>
    <s v="Rack"/>
    <s v="TX2-5S"/>
    <n v="90066"/>
    <s v="InTest"/>
  </r>
  <r>
    <s v="P25C02339"/>
    <s v="12/12/2025 5:36:50 PM"/>
    <x v="0"/>
    <s v="SR021206252067"/>
    <s v="RK105"/>
    <m/>
    <s v="12/12/2025"/>
    <x v="0"/>
    <s v="A leak was detected by the sensor Cha0LeaDete0Mani on the cold plates"/>
    <s v="GB300 L10"/>
    <x v="1"/>
    <s v="A968459X5B12457"/>
    <s v="A968459X5C02913"/>
    <s v="Rack"/>
    <s v="TX2-5S"/>
    <n v="924"/>
    <s v="InTest"/>
  </r>
  <r>
    <s v="P25C02357"/>
    <s v="12/12/2025 7:53:42 PM"/>
    <x v="0"/>
    <s v="SR021210256070"/>
    <s v="RK024"/>
    <m/>
    <s v="12/12/2025"/>
    <x v="0"/>
    <s v="bent pin"/>
    <s v="Cable Cartridge"/>
    <x v="3"/>
    <n v="1824025354212"/>
    <n v="1822825356742"/>
    <s v="Rack"/>
    <s v="TX2-5S"/>
    <n v="90066"/>
    <s v="InTest"/>
  </r>
  <r>
    <s v="P25C02363"/>
    <s v="12/12/2025 9:07:36 PM"/>
    <x v="0"/>
    <s v="SR021208251596"/>
    <s v="RK024"/>
    <m/>
    <s v="12/12/2025"/>
    <x v="0"/>
    <s v="Cable cartridge Defect"/>
    <s v="Cable Cartridge"/>
    <x v="3"/>
    <n v="1824025354687"/>
    <n v="1823425355725"/>
    <s v="Rack"/>
    <s v="TX2-5S"/>
    <n v="3908"/>
    <s v="InTest"/>
  </r>
  <r>
    <s v="P25C02364"/>
    <s v="12/12/2025 9:10:34 PM"/>
    <x v="0"/>
    <s v="SR021201258613"/>
    <s v="RK024"/>
    <m/>
    <s v="12/12/2025"/>
    <x v="0"/>
    <s v="Cable cartridge Defect"/>
    <s v="Cable Cartridge"/>
    <x v="3"/>
    <n v="2024125351477"/>
    <n v="2023825882555"/>
    <s v="Rack"/>
    <s v="TX2-5S"/>
    <n v="3908"/>
    <s v="InTest"/>
  </r>
  <r>
    <s v="P25C02366"/>
    <s v="12/12/2025 10:15:46 PM"/>
    <x v="0"/>
    <s v="SR021210251046"/>
    <s v="RK022"/>
    <m/>
    <s v="12/12/2025"/>
    <x v="0"/>
    <s v="Unable to detect PSU"/>
    <s v="Delta power shelf right input"/>
    <x v="5"/>
    <s v="DGPSU254301E1"/>
    <s v="THASP254700PD"/>
    <s v="Rack"/>
    <s v="TX2-5S"/>
    <n v="90066"/>
    <s v="InTest"/>
  </r>
  <r>
    <s v="P25C02400"/>
    <s v="12/12/2025 11:38:12 PM"/>
    <x v="0"/>
    <s v="SR021210256070"/>
    <s v="RK120"/>
    <m/>
    <s v="12/12/2025"/>
    <x v="0"/>
    <s v="BMC IP not responding"/>
    <s v="GB300 L10"/>
    <x v="1"/>
    <s v="A968459X5C04277"/>
    <s v="A968459X5B11697"/>
    <s v="Rack"/>
    <s v="TX2-5S"/>
    <n v="90066"/>
    <s v="InTest"/>
  </r>
  <r>
    <s v="P25C02408"/>
    <s v="12/13/2025 12:27:24 AM"/>
    <x v="1"/>
    <s v="SR021210255064"/>
    <s v="RK024"/>
    <m/>
    <s v="12/13/2025"/>
    <x v="0"/>
    <s v="L11 Rack0_SW8_acp42,CC1_C10_Lane_16, link_none"/>
    <s v="Cable Cartridge"/>
    <x v="3"/>
    <n v="1824025354260"/>
    <n v="1822825356651"/>
    <s v="Rack"/>
    <s v="TX2-5S"/>
    <n v="90066"/>
    <s v="InTest"/>
  </r>
  <r>
    <s v="P25C02423"/>
    <s v="12/13/2025 8:25:55 AM"/>
    <x v="1"/>
    <s v="SR021208255508"/>
    <s v="RK023"/>
    <m/>
    <s v="12/13/2025"/>
    <x v="0"/>
    <s v="switch_tray Rack0_SW5_acp76 CC3_C0_Lane_11 link_bad_quality_high_ber"/>
    <s v="NVSwitch"/>
    <x v="2"/>
    <s v="MT2541605Y4H"/>
    <s v="MT25426014EY"/>
    <s v="Rack"/>
    <s v="TX2-5S"/>
    <n v="718"/>
    <s v="InTest"/>
  </r>
  <r>
    <s v="P25C02424"/>
    <s v="12/13/2025 8:27:49 AM"/>
    <x v="0"/>
    <s v="SR021206251050"/>
    <s v="RK022"/>
    <m/>
    <s v="12/13/2025"/>
    <x v="0"/>
    <s v="Power Shelf 更新FAIL_更換_TW640"/>
    <s v="Delta power shelf right input"/>
    <x v="5"/>
    <s v="DGPSU25430153"/>
    <s v="DGPSU254300HJ"/>
    <s v="Rack"/>
    <s v="TX2-5S"/>
    <n v="640"/>
    <s v="InTest"/>
  </r>
  <r>
    <s v="P25C02425"/>
    <s v="12/13/2025 8:28:00 AM"/>
    <x v="0"/>
    <s v="SR021208251596"/>
    <s v="RK023"/>
    <m/>
    <s v="12/13/2025"/>
    <x v="0"/>
    <s v="Rack0_SW0_acp55,CC2_C13_Lane_0, link_none,0"/>
    <s v="NVSwitch"/>
    <x v="2"/>
    <s v="MT2541604JCW"/>
    <s v="MT25426014FX"/>
    <s v="Rack"/>
    <s v="TX2-5S"/>
    <n v="718"/>
    <s v="InTest"/>
  </r>
  <r>
    <s v="P25C02429"/>
    <s v="12/13/2025 9:04:06 AM"/>
    <x v="0"/>
    <s v="SR021210254666"/>
    <s v="RK022"/>
    <m/>
    <s v="12/13/2025"/>
    <x v="0"/>
    <s v="Power Shelf 更新FAIL_更換_TW640"/>
    <s v="Delta power shelf right input"/>
    <x v="5"/>
    <s v="DGPSU2543019B"/>
    <s v="DGPSU254300WB"/>
    <s v="Rack"/>
    <s v="TX2-5S"/>
    <n v="640"/>
    <s v="InTest"/>
  </r>
  <r>
    <s v="P25C02469"/>
    <s v="12/13/2025 3:12:55 PM"/>
    <x v="0"/>
    <s v="SR021208255761"/>
    <s v="RK024"/>
    <m/>
    <s v="12/13/2025"/>
    <x v="0"/>
    <s v="Cable cartridge Defect"/>
    <s v="Cable Cartridge"/>
    <x v="3"/>
    <n v="1823325354736"/>
    <n v="2023625351048"/>
    <s v="Rack"/>
    <s v="TX2-5S"/>
    <n v="640"/>
    <s v="InTest"/>
  </r>
  <r>
    <s v="P25C02586"/>
    <s v="12/14/2025 3:05:59 PM"/>
    <x v="0"/>
    <s v="SR021206258123"/>
    <s v="RK105"/>
    <m/>
    <s v="12/14/2025"/>
    <x v="0"/>
    <s v="GB200 Leakage sensor issue"/>
    <s v="GB300 L10"/>
    <x v="1"/>
    <s v="A968459X5B16680"/>
    <s v="A968459X5C02976"/>
    <s v="Rack"/>
    <s v="TX2-5S"/>
    <n v="924"/>
    <s v="InTest"/>
  </r>
  <r>
    <s v="P25C02588"/>
    <s v="12/14/2025 3:17:38 PM"/>
    <x v="0"/>
    <s v="SR021213254555"/>
    <s v="RK120"/>
    <m/>
    <s v="12/14/2025"/>
    <x v="0"/>
    <s v="GB200 IPMI no response/ no IP detected"/>
    <s v="GB300 L10"/>
    <x v="1"/>
    <s v="A968459X5C04470"/>
    <s v="A968459X5B08536"/>
    <s v="Rack"/>
    <s v="TWSPLG"/>
    <n v="924"/>
    <s v="InTest"/>
  </r>
  <r>
    <s v="P25C02591"/>
    <s v="12/15/2025 10:30:36 AM"/>
    <x v="0"/>
    <s v="SR021213254914"/>
    <s v="RK098"/>
    <m/>
    <s v="12/14/2025"/>
    <x v="0"/>
    <s v="can't power on"/>
    <s v="GB300 L10"/>
    <x v="1"/>
    <s v="A968459X5C05504"/>
    <s v="A968459X5C05984"/>
    <s v="Rack"/>
    <s v="TWSPLG"/>
    <n v="924"/>
    <s v="InTest"/>
  </r>
  <r>
    <s v="P25C02598"/>
    <s v="12/14/2025 5:15:02 PM"/>
    <x v="0"/>
    <s v="SR021208251596"/>
    <s v="RK205"/>
    <m/>
    <s v="12/14/2025"/>
    <x v="0"/>
    <s v="The requested resource of type Chassis named 'CBC_1' was not found."/>
    <s v="GB300 L10"/>
    <x v="1"/>
    <s v="A968459X5B10489"/>
    <s v="A968459X5C00289"/>
    <s v="Rack"/>
    <s v="TX2-5S"/>
    <n v="3908"/>
    <s v="InTest"/>
  </r>
  <r>
    <s v="P25C02615"/>
    <s v="12/14/2025 5:36:48 PM"/>
    <x v="0"/>
    <s v="SR021208253244"/>
    <s v="RK116"/>
    <m/>
    <s v="12/14/2025"/>
    <x v="0"/>
    <s v="L11 GB200 STREAM Memory Test fail"/>
    <s v="GB300 L10"/>
    <x v="1"/>
    <s v="A968459X5B13042"/>
    <s v="A968459X5C06003"/>
    <s v="Rack"/>
    <s v="TX2-5S"/>
    <n v="2131"/>
    <s v="InTest"/>
  </r>
  <r>
    <s v="P25C02627"/>
    <s v="12/14/2025 6:09:44 PM"/>
    <x v="0"/>
    <s v="SR021212257663"/>
    <s v="CH001"/>
    <m/>
    <s v="12/14/2025"/>
    <x v="0"/>
    <s v="L11 Control panel switch failure (power/reset button/LED) (前控制面板開關不良)"/>
    <s v="GB300 L10"/>
    <x v="1"/>
    <s v="A968459X5C03536"/>
    <s v="A968459X5B08156"/>
    <s v="Rack"/>
    <s v="TX2-5S"/>
    <n v="2131"/>
    <s v="InTest"/>
  </r>
  <r>
    <s v="P25C02629"/>
    <s v="12/14/2025 6:34:38 PM"/>
    <x v="0"/>
    <s v="SR021206252274"/>
    <s v="RK203"/>
    <m/>
    <s v="12/14/2025"/>
    <x v="0"/>
    <s v="L11 Power Shelf Defective"/>
    <s v="Delta Power Shelf Left Input"/>
    <x v="4"/>
    <s v="DGPST254401JK"/>
    <s v="DGPST254401B1"/>
    <s v="Rack"/>
    <s v="TX2-5S"/>
    <n v="90066"/>
    <s v="InTest"/>
  </r>
  <r>
    <s v="P25C02635"/>
    <s v="12/14/2025 8:16:02 PM"/>
    <x v="0"/>
    <s v="SR021206254673"/>
    <s v="RK024"/>
    <m/>
    <s v="12/14/2025"/>
    <x v="0"/>
    <s v="Cable cartridge Defect bent pin"/>
    <s v="Cable Cartridge"/>
    <x v="3"/>
    <n v="1822825355184"/>
    <n v="2023825882569"/>
    <s v="Rack"/>
    <s v="TX2-5S"/>
    <n v="3908"/>
    <s v="InTest"/>
  </r>
  <r>
    <s v="P25C02643"/>
    <s v="12/14/2025 8:27:41 PM"/>
    <x v="0"/>
    <s v="SR021206258123"/>
    <s v="RK099"/>
    <m/>
    <s v="12/14/2025"/>
    <x v="0"/>
    <s v="Weak power led"/>
    <s v="GB300 L10"/>
    <x v="1"/>
    <s v="A968459X5B14174"/>
    <s v="A968459X5C03042"/>
    <s v="Rack"/>
    <s v="TX2-5S"/>
    <n v="90131"/>
    <s v="InTest"/>
  </r>
  <r>
    <s v="P25C02645"/>
    <s v="12/14/2025 8:32:00 PM"/>
    <x v="0"/>
    <s v="SR021206258123"/>
    <s v="RK205"/>
    <m/>
    <s v="12/14/2025"/>
    <x v="0"/>
    <s v="HMC board failure - PCIeSwitch=01300524 does not match other units."/>
    <s v="GB300 L10"/>
    <x v="1"/>
    <s v="A968459X5B07145"/>
    <s v="A968459X5C03593"/>
    <s v="Rack"/>
    <s v="TX2-5S"/>
    <n v="90131"/>
    <s v="InTest"/>
  </r>
  <r>
    <s v="P25C02650"/>
    <s v="12/14/2025 8:43:42 PM"/>
    <x v="0"/>
    <s v="SR021210257663"/>
    <s v="RK099"/>
    <m/>
    <s v="12/14/2025"/>
    <x v="0"/>
    <s v="missing one GPU expected 4 only 3 GPU"/>
    <s v="GB300 L10"/>
    <x v="1"/>
    <s v="A968459X5B03988"/>
    <s v="A968459X5C03044"/>
    <s v="Rack"/>
    <s v="TX2-5S"/>
    <n v="3908"/>
    <s v="InTest"/>
  </r>
  <r>
    <s v="P25C02661"/>
    <s v="12/14/2025 10:20:38 PM"/>
    <x v="0"/>
    <s v="SR021206251659"/>
    <s v="RK205"/>
    <m/>
    <s v="12/14/2025"/>
    <x v="0"/>
    <s v="Acceptable temperature limits exceeded or the thermal sensor is broken or miscalibrated @(Rack slot 8, CBC 2, 4x19 connector 2"/>
    <s v="GB300 L10"/>
    <x v="1"/>
    <s v="A968459X5B13331"/>
    <s v="A968459X5C03043"/>
    <s v="Rack"/>
    <s v="TX2-5S"/>
    <n v="3908"/>
    <s v="InTest"/>
  </r>
  <r>
    <s v="P25C02671"/>
    <s v="12/14/2025 10:46:41 PM"/>
    <x v="0"/>
    <s v="SR021213255502"/>
    <s v="RK120"/>
    <m/>
    <s v="12/14/2025"/>
    <x v="0"/>
    <s v="GB200 IPMI no response/ no IP detected"/>
    <s v="GB300 L10"/>
    <x v="1"/>
    <s v="A968459X5C04476"/>
    <s v="A968459X5C07042"/>
    <s v="Rack"/>
    <s v="TWSPLG"/>
    <n v="90131"/>
    <s v="InTest"/>
  </r>
  <r>
    <s v="P25C02712"/>
    <s v="12/15/2025 9:11:41 AM"/>
    <x v="0"/>
    <s v="SR021206257383"/>
    <s v="RK098"/>
    <m/>
    <s v="12/15/2025"/>
    <x v="0"/>
    <s v="GPU少偵測一個"/>
    <s v="GB300 L10"/>
    <x v="1"/>
    <s v="A968459X5B13334"/>
    <s v="A968459X5B16326"/>
    <s v="Rack"/>
    <s v="TX2-5S"/>
    <n v="718"/>
    <s v="InTest"/>
  </r>
  <r>
    <s v="P25C02717"/>
    <s v="12/15/2025 9:16:02 AM"/>
    <x v="1"/>
    <s v="SR021208255508"/>
    <s v="RK098"/>
    <m/>
    <s v="12/15/2025"/>
    <x v="0"/>
    <s v="comp_tray Rack0_SW5_acp81 CC0_C2_Lane_11 link_bad_quality_high_ber"/>
    <s v="GB300 L10"/>
    <x v="9"/>
    <s v="A964512X5C01702"/>
    <s v="A964512X5B11914"/>
    <s v="Rack"/>
    <s v="TX2-5S"/>
    <n v="718"/>
    <s v="InTest"/>
  </r>
  <r>
    <s v="P25C02730"/>
    <s v="12/15/2025 10:37:33 AM"/>
    <x v="0"/>
    <s v="SR021213254914"/>
    <s v="RK205"/>
    <m/>
    <s v="12/15/2025"/>
    <x v="0"/>
    <s v="10.10.124.11 only 54 NVLink status shows A968459X5C05453 hardware was not initialized COMPUTE_NODE_0_更換單機_TW640"/>
    <s v="GB300 L10"/>
    <x v="1"/>
    <s v="A968459X5C05453"/>
    <s v="A968459X5C07073"/>
    <s v="Rack"/>
    <s v="TWSPLG"/>
    <n v="640"/>
    <s v="InTest"/>
  </r>
  <r>
    <s v="P25C02750"/>
    <s v="12/15/2025 12:50:32 PM"/>
    <x v="0"/>
    <s v="SR021213254914"/>
    <s v="RK024"/>
    <m/>
    <s v="12/15/2025"/>
    <x v="0"/>
    <s v="Rack0_批量SW_acp41 CC0_C10_Lane_6 固定CC0_更換_TW640"/>
    <s v="Cable Cartridge"/>
    <x v="3"/>
    <n v="2024025350542"/>
    <n v="2023625350898"/>
    <s v="Rack"/>
    <s v="TWSPLG"/>
    <n v="640"/>
    <s v="InTest"/>
  </r>
  <r>
    <s v="P25C02752"/>
    <s v="12/15/2025 1:06:32 PM"/>
    <x v="1"/>
    <s v="SR021208255508"/>
    <s v="RK024"/>
    <m/>
    <s v="12/15/2025"/>
    <x v="0"/>
    <s v="CC0_C2_Lane_6, link_none,0, 0, sudo mlxlink -d /dev/mst/mt54004_pci_cr0 -p 3/1/1 -c --rx_fec_histogram --show_histogram -json"/>
    <s v="Cable Cartridge"/>
    <x v="3"/>
    <n v="2024325881113"/>
    <n v="2023825882405"/>
    <s v="Rack"/>
    <s v="TX2-5S"/>
    <n v="718"/>
    <s v="InTest"/>
  </r>
  <r>
    <s v="P25C02800"/>
    <s v="12/15/2025 5:44:29 PM"/>
    <x v="0"/>
    <s v="SR021212257663"/>
    <s v="RK024"/>
    <m/>
    <s v="12/15/2025"/>
    <x v="0"/>
    <s v="L11 Cable cartridge Defect Rack0_SW7_acp3,CC2_C0_Lane_14, link_none"/>
    <s v="Cable Cartridge"/>
    <x v="3"/>
    <n v="1822825354447"/>
    <n v="2024025350462"/>
    <s v="Rack"/>
    <s v="TX2-5S"/>
    <n v="90066"/>
    <s v="InTest"/>
  </r>
  <r>
    <s v="P25C02806"/>
    <s v="12/15/2025 6:10:28 PM"/>
    <x v="0"/>
    <s v="SR021206258123"/>
    <s v="RK205"/>
    <m/>
    <s v="12/15/2025"/>
    <x v="0"/>
    <s v="NVIDIA SMI tool only detected 3 GPU and it does not match the requesed 4"/>
    <s v="GB300 L10"/>
    <x v="1"/>
    <s v="A968459X5C04319"/>
    <s v="A968459X5B14738"/>
    <s v="Rack"/>
    <s v="TX2-5S"/>
    <n v="90131"/>
    <s v="InTest"/>
  </r>
  <r>
    <s v="P25C02810"/>
    <s v="12/15/2025 6:28:01 PM"/>
    <x v="0"/>
    <s v="SR021206253796"/>
    <s v="RK105"/>
    <m/>
    <s v="12/15/2025"/>
    <x v="0"/>
    <s v="The leak sensor Ch0LeaDet0ColPla reading 1.87V shows a leak sensor disconnected from Bianca board connector"/>
    <s v="GB300 L10"/>
    <x v="1"/>
    <s v="A968459X5C03596"/>
    <s v="A968459X5C03160"/>
    <s v="Rack"/>
    <s v="TX2-5S"/>
    <n v="1348"/>
    <s v="InTest"/>
  </r>
  <r>
    <s v="P25C02819"/>
    <s v="12/15/2025 8:21:55 PM"/>
    <x v="0"/>
    <s v="SR021212259493"/>
    <s v="RK023"/>
    <m/>
    <s v="12/15/2025"/>
    <x v="0"/>
    <s v="L11 NVLINK Switch Functional Issue( Cannot Update)"/>
    <s v="NVSwitch"/>
    <x v="2"/>
    <s v="MT2542602DQJ"/>
    <s v="MT253360075N"/>
    <s v="Rack"/>
    <s v="TX2-5S"/>
    <n v="90066"/>
    <s v="InTest"/>
  </r>
  <r>
    <s v="P25C02820"/>
    <s v="12/15/2025 8:25:21 PM"/>
    <x v="0"/>
    <s v="SR021206253796"/>
    <s v="RK205"/>
    <m/>
    <s v="12/15/2025"/>
    <x v="0"/>
    <s v="54 NVLink status A968459X5B16877"/>
    <s v="GB300 L10"/>
    <x v="1"/>
    <s v="A968459X5B16877"/>
    <s v="A968459X5B16015"/>
    <s v="Rack"/>
    <s v="TX2-5S"/>
    <n v="1348"/>
    <s v="InTest"/>
  </r>
  <r>
    <s v="P25C02824"/>
    <s v="12/15/2025 9:01:35 PM"/>
    <x v="0"/>
    <s v="SR021206251659"/>
    <s v="RK205"/>
    <m/>
    <s v="12/15/2025"/>
    <x v="0"/>
    <s v="NVIDIA SMI tool only detected 3 GPU and it does not match the requesed 4"/>
    <s v="GB300 L10"/>
    <x v="1"/>
    <s v="A968459X5C03640"/>
    <s v="A968459X5B15990"/>
    <s v="Rack"/>
    <s v="TX2-5S"/>
    <n v="90131"/>
    <s v="InTest"/>
  </r>
  <r>
    <s v="P25C02825"/>
    <s v="12/15/2025 9:12:43 PM"/>
    <x v="0"/>
    <s v="SR021210257663"/>
    <s v="RK205"/>
    <m/>
    <s v="12/15/2025"/>
    <x v="0"/>
    <s v="Nvlink is 72 but fabric is not ready"/>
    <s v="GB300 L10"/>
    <x v="1"/>
    <s v="A968459X5B09632"/>
    <s v="A968459X5B11400"/>
    <s v="Rack"/>
    <s v="TX2-5S"/>
    <n v="90131"/>
    <s v="InTest"/>
  </r>
  <r>
    <s v="P25C02826"/>
    <s v="12/15/2025 9:22:25 PM"/>
    <x v="0"/>
    <s v="SR021212253517"/>
    <s v="RK024"/>
    <m/>
    <s v="12/15/2025"/>
    <x v="0"/>
    <s v="SLOT12 bent pin"/>
    <s v="Cable Cartridge"/>
    <x v="3"/>
    <n v="1823425356285"/>
    <n v="1823525354740"/>
    <s v="Rack"/>
    <s v="TX2-5S"/>
    <n v="1348"/>
    <s v="InTest"/>
  </r>
  <r>
    <s v="P25C02829"/>
    <s v="12/15/2025 9:27:36 PM"/>
    <x v="0"/>
    <s v="SR021213254941"/>
    <s v="RK024"/>
    <m/>
    <s v="12/15/2025"/>
    <x v="0"/>
    <s v="Cable cartridge Defect"/>
    <s v="Cable Cartridge"/>
    <x v="3"/>
    <n v="2024025350503"/>
    <n v="1824025185363"/>
    <s v="Rack"/>
    <s v="TWSPLG"/>
    <n v="1348"/>
    <s v="InTest"/>
  </r>
  <r>
    <s v="P25C02846"/>
    <s v="12/15/2025 10:29:00 PM"/>
    <x v="1"/>
    <s v="SR021208255508"/>
    <s v="RK024"/>
    <m/>
    <s v="12/15/2025"/>
    <x v="0"/>
    <s v="Cable cartridge Defect"/>
    <s v="Cable Cartridge"/>
    <x v="3"/>
    <n v="1823625350137"/>
    <n v="2024025350542"/>
    <s v="Rack"/>
    <s v="TX2-5S"/>
    <n v="1348"/>
    <s v="InTest"/>
  </r>
  <r>
    <s v="P25C02847"/>
    <s v="12/15/2025 10:31:00 PM"/>
    <x v="0"/>
    <s v="SR021210257663"/>
    <s v="RK205"/>
    <m/>
    <s v="12/15/2025"/>
    <x v="0"/>
    <s v="missing one GPU expected 4 only 3 GPU"/>
    <s v="GB300 L10"/>
    <x v="1"/>
    <s v="A968459X5B16723"/>
    <s v="A968459X5B14942"/>
    <s v="Rack"/>
    <s v="TX2-5S"/>
    <n v="1348"/>
    <s v="InTest"/>
  </r>
  <r>
    <s v="P25C02853"/>
    <s v="12/15/2025 11:06:54 PM"/>
    <x v="0"/>
    <s v="SR021212254272"/>
    <s v="RK099"/>
    <m/>
    <s v="12/15/2025"/>
    <x v="0"/>
    <s v="NO LED LIGHT ON POWER BUTTON"/>
    <s v="GB300 L10"/>
    <x v="1"/>
    <s v="A968459X5C01482"/>
    <s v="A968459X5B11739"/>
    <s v="Rack"/>
    <s v="TX2-5S"/>
    <n v="3908"/>
    <s v="InTest"/>
  </r>
  <r>
    <s v="P25C02863"/>
    <s v="12/15/2025 11:25:39 PM"/>
    <x v="0"/>
    <s v="SR021213254941"/>
    <s v="RK023"/>
    <m/>
    <s v="12/15/2025"/>
    <x v="0"/>
    <s v="NVLINK Switch Functional Issue"/>
    <s v="NVSwitch"/>
    <x v="2"/>
    <s v="MT2542601XAD"/>
    <s v="MT25426014GT"/>
    <s v="Rack"/>
    <s v="TWSPLG"/>
    <n v="1348"/>
    <s v="InTest"/>
  </r>
  <r>
    <s v="P25C02872"/>
    <s v="12/16/2025 12:54:57 AM"/>
    <x v="0"/>
    <s v="SR021212253701"/>
    <s v="RK202"/>
    <m/>
    <s v="12/16/2025"/>
    <x v="0"/>
    <s v="RK202 GB200 L11 Compute Node Information Consistent Check fail"/>
    <s v="GB300 L10"/>
    <x v="1"/>
    <s v="A968459X5C06004"/>
    <s v="A968459X5C05606"/>
    <s v="Rack"/>
    <s v="TX2-5S"/>
    <n v="90066"/>
    <s v="InTest"/>
  </r>
  <r>
    <s v="P25C02979"/>
    <s v="12/16/2025 9:48:36 AM"/>
    <x v="0"/>
    <s v="SR021213254914"/>
    <s v="RK098"/>
    <m/>
    <s v="12/16/2025"/>
    <x v="0"/>
    <s v="COMPUTE_NODE_5 | MODS-020000624139 | ThermalSteadyState | powersync (Rack slot 6, CBC 3, 4x19 connector 3)"/>
    <s v="GB300 L10"/>
    <x v="1"/>
    <s v="A968459X5C05403"/>
    <s v="A968459X5A09435"/>
    <s v="Rack"/>
    <s v="TWSPLG"/>
    <n v="718"/>
    <s v="InTest"/>
  </r>
  <r>
    <s v="P25C02991"/>
    <s v="12/16/2025 10:12:25 AM"/>
    <x v="0"/>
    <s v="SR021204253094"/>
    <s v="RK098"/>
    <m/>
    <s v="12/16/2025"/>
    <x v="0"/>
    <s v="GPU DMI system chassis number空白"/>
    <s v="GB300 L10"/>
    <x v="1"/>
    <s v="A968459X5C00298"/>
    <s v="A968459X5C02414"/>
    <s v="Rack"/>
    <s v="TX2-5S"/>
    <n v="718"/>
    <s v="InTest"/>
  </r>
  <r>
    <s v="P25C03053"/>
    <s v="12/16/2025 2:57:31 PM"/>
    <x v="0"/>
    <s v="SR021216255141"/>
    <s v="RK022"/>
    <m/>
    <s v="12/16/2025"/>
    <x v="0"/>
    <s v="Power Shelf BMC LED燈號異常恆亮_更換_TW640"/>
    <s v="Power Shelf Control Module"/>
    <x v="0"/>
    <s v="SV25383781"/>
    <s v="T525451025"/>
    <s v="Rack"/>
    <s v="TX2-5S"/>
    <n v="924"/>
    <s v="InTest"/>
  </r>
  <r>
    <s v="P25C03070"/>
    <s v="12/16/2025 4:26:20 PM"/>
    <x v="0"/>
    <s v="SR021212257663"/>
    <s v="RK024"/>
    <m/>
    <s v="12/16/2025"/>
    <x v="0"/>
    <s v="L11 Cable cartridge Defect"/>
    <s v="Cable Cartridge"/>
    <x v="3"/>
    <n v="1823425356587"/>
    <n v="1822825356740"/>
    <s v="Rack"/>
    <s v="TX2-5S"/>
    <n v="90066"/>
    <s v="InTest"/>
  </r>
  <r>
    <s v="P25C03071"/>
    <s v="12/16/2025 4:30:43 PM"/>
    <x v="0"/>
    <s v="SR021212256772"/>
    <s v="RK024"/>
    <m/>
    <s v="12/16/2025"/>
    <x v="0"/>
    <s v="L11 Cable cartridge Defect BENT PIN"/>
    <s v="Cable Cartridge"/>
    <x v="3"/>
    <n v="1823425356587"/>
    <n v="1822825356740"/>
    <s v="Rack"/>
    <s v="TX2-5S"/>
    <n v="90066"/>
    <s v="InTest"/>
  </r>
  <r>
    <s v="P25C03079"/>
    <s v="12/16/2025 5:37:26 PM"/>
    <x v="0"/>
    <s v="SR021212258916"/>
    <s v="RK120"/>
    <m/>
    <s v="12/16/2025"/>
    <x v="0"/>
    <s v="GB200 IPMI no response/ no IP detected - Unable to detect on real-time"/>
    <s v="GB300 L10"/>
    <x v="1"/>
    <s v="A968459X5C03910"/>
    <s v="A968459X5C07092"/>
    <s v="Rack"/>
    <s v="TX2-5S"/>
    <n v="90131"/>
    <s v="InTest"/>
  </r>
  <r>
    <s v="P25C03084"/>
    <s v="12/16/2025 5:48:18 PM"/>
    <x v="0"/>
    <s v="SR021212256961"/>
    <s v="RK120"/>
    <m/>
    <s v="12/16/2025"/>
    <x v="0"/>
    <s v="GB200 IPMI no response/ no IP detected - Unable to detect on real-time"/>
    <s v="GB300 L10"/>
    <x v="1"/>
    <s v="A968459X5C03894"/>
    <s v="A968459X5C04429"/>
    <s v="Rack"/>
    <s v="TX2-5S"/>
    <n v="90131"/>
    <s v="InTest"/>
  </r>
  <r>
    <s v="P25C03099"/>
    <s v="12/16/2025 6:04:07 PM"/>
    <x v="0"/>
    <s v="SR021212259159"/>
    <s v="RK024"/>
    <m/>
    <s v="12/16/2025"/>
    <x v="0"/>
    <s v="L11 BENT PIN"/>
    <s v="Cable Cartridge"/>
    <x v="3"/>
    <n v="1824025185410"/>
    <n v="1823325355499"/>
    <s v="Rack"/>
    <s v="TX2-5S"/>
    <n v="90066"/>
    <s v="InTest"/>
  </r>
  <r>
    <s v="P25C03100"/>
    <s v="12/16/2025 6:05:07 PM"/>
    <x v="0"/>
    <s v="SR021212259159"/>
    <s v="RK024"/>
    <m/>
    <s v="12/16/2025"/>
    <x v="0"/>
    <s v="L11 BENT PIN"/>
    <s v="Cable Cartridge"/>
    <x v="3"/>
    <n v="1823325354560"/>
    <n v="1823325355575"/>
    <s v="Rack"/>
    <s v="TX2-5S"/>
    <n v="90066"/>
    <s v="InTest"/>
  </r>
  <r>
    <s v="P25C03120"/>
    <s v="12/16/2025 7:56:11 PM"/>
    <x v="0"/>
    <s v="SR021206254673"/>
    <s v="RK204"/>
    <m/>
    <s v="12/16/2025"/>
    <x v="0"/>
    <s v="compute failed diag failed Rack slot 9 CBC 3 8x10 connector 6"/>
    <s v="NVSwitch"/>
    <x v="2"/>
    <s v="MT25436010R5"/>
    <s v="MT2541603UNP"/>
    <s v="Rack"/>
    <s v="TX2-5S"/>
    <n v="3908"/>
    <s v="InTest"/>
  </r>
  <r>
    <s v="P25C03121"/>
    <s v="12/16/2025 8:09:48 PM"/>
    <x v="0"/>
    <s v="SR021212258466"/>
    <s v="RK024"/>
    <m/>
    <s v="12/16/2025"/>
    <x v="0"/>
    <s v="Cable cartridge Defect"/>
    <s v="Cable Cartridge"/>
    <x v="3"/>
    <n v="1823425356342"/>
    <n v="1823525354908"/>
    <s v="Rack"/>
    <s v="TX2-5S"/>
    <n v="1348"/>
    <s v="InTest"/>
  </r>
  <r>
    <s v="P25C03122"/>
    <s v="12/16/2025 8:13:18 PM"/>
    <x v="0"/>
    <s v="SR021212254272"/>
    <s v="RK205"/>
    <m/>
    <s v="12/16/2025"/>
    <x v="0"/>
    <s v="GB200 L11 Compute Tray Nvidia Field Diag Test fail - CC3 link none"/>
    <s v="GB300 L10"/>
    <x v="1"/>
    <s v="A968459X5B08536"/>
    <s v="A968459X5C02449"/>
    <s v="Rack"/>
    <s v="TX2-5S"/>
    <n v="90131"/>
    <s v="InTest"/>
  </r>
  <r>
    <s v="P25C03124"/>
    <s v="12/16/2025 8:23:04 PM"/>
    <x v="0"/>
    <s v="SR021212253517"/>
    <s v="RK023"/>
    <m/>
    <s v="12/16/2025"/>
    <x v="0"/>
    <s v="alied to executed command:"/>
    <s v="NVSwitch"/>
    <x v="2"/>
    <s v="MT2542602XUT"/>
    <s v="MT2542601XAD"/>
    <s v="Rack"/>
    <s v="TX2-5S"/>
    <n v="1348"/>
    <s v="InTest"/>
  </r>
  <r>
    <s v="P25C03164"/>
    <s v="12/17/2025 1:26:12 AM"/>
    <x v="0"/>
    <s v="SR021216255370"/>
    <s v="RK111"/>
    <m/>
    <s v="12/17/2025"/>
    <x v="0"/>
    <s v="L11 Ethernet/infiniband SelfTest fail"/>
    <s v="GB300 L10"/>
    <x v="1"/>
    <s v="A968459X5C04126"/>
    <s v="A968459X5C06175"/>
    <s v="Rack"/>
    <s v="TX2-5S"/>
    <n v="90066"/>
    <s v="InTest"/>
  </r>
  <r>
    <s v="P25C03233"/>
    <s v="12/17/2025 1:20:49 PM"/>
    <x v="0"/>
    <s v="SR021212259493"/>
    <s v="RK024"/>
    <m/>
    <s v="12/17/2025"/>
    <x v="2"/>
    <s v="Rack0_SW0_acp71,CC2_C17_Lane_0, link_none"/>
    <s v="Cable Cartridge"/>
    <x v="3"/>
    <n v="1822825356672"/>
    <m/>
    <s v="Rack"/>
    <s v="TX2-5S"/>
    <n v="924"/>
    <s v="InTest"/>
  </r>
  <r>
    <s v="P25C03234"/>
    <s v="12/17/2025 2:37:23 PM"/>
    <x v="0"/>
    <s v="SR021212254486"/>
    <s v="RK024"/>
    <m/>
    <s v="12/17/2025"/>
    <x v="0"/>
    <s v="Rack0_SW0_acp79 CC2_C1_Lane_1 link_none_PM894_協助過帳"/>
    <s v="Cable Cartridge"/>
    <x v="3"/>
    <n v="1823325354674"/>
    <n v="1823325355298"/>
    <s v="Rack"/>
    <s v="TX2-5S"/>
    <n v="924"/>
    <s v="InTest"/>
  </r>
  <r>
    <s v="P25C03235"/>
    <s v="12/17/2025 2:34:51 PM"/>
    <x v="0"/>
    <s v="SR021212256772"/>
    <s v="RK024"/>
    <m/>
    <s v="12/17/2025"/>
    <x v="0"/>
    <s v="Rack0_SW1_acp50,CC1_C12_Lane_2, link_none_PM894_協助過帳"/>
    <s v="Cable Cartridge"/>
    <x v="3"/>
    <n v="1824025185402"/>
    <n v="1823325355189"/>
    <s v="Rack"/>
    <s v="TX2-5S"/>
    <n v="924"/>
    <s v="InTest"/>
  </r>
  <r>
    <s v="P25C03236"/>
    <s v="12/17/2025 2:35:43 PM"/>
    <x v="0"/>
    <s v="SR021212259402"/>
    <s v="RK024"/>
    <m/>
    <s v="12/17/2025"/>
    <x v="0"/>
    <s v="Rack0_SW0_acp76,CC3_C0_Lane_1, link_none_PM894_協助過帳"/>
    <s v="Cable Cartridge"/>
    <x v="3"/>
    <n v="1823425355237"/>
    <n v="2024025350501"/>
    <s v="Rack"/>
    <s v="TX2-5S"/>
    <n v="924"/>
    <s v="InTest"/>
  </r>
  <r>
    <s v="P25C03241"/>
    <s v="12/17/2025 10:20:48 AM"/>
    <x v="0"/>
    <s v="SR021206257383"/>
    <s v="RK098"/>
    <m/>
    <s v="12/17/2025"/>
    <x v="0"/>
    <s v="Rack0_SW7_acp22 CC1_C5_Lane_14 link_bad_quality_high_be"/>
    <s v="GB300 L10"/>
    <x v="1"/>
    <s v="A968459X5B16283"/>
    <s v="A968459X5B15996"/>
    <s v="Rack"/>
    <s v="TX2-5S"/>
    <n v="718"/>
    <s v="InTest"/>
  </r>
  <r>
    <s v="P25C03243"/>
    <s v="12/17/2025 10:24:31 AM"/>
    <x v="0"/>
    <s v="SR021212258916"/>
    <s v="RK098"/>
    <m/>
    <s v="12/17/2025"/>
    <x v="0"/>
    <s v="GPU 少MAX Q"/>
    <s v="GB300 L10"/>
    <x v="1"/>
    <s v="A968459X5C05529"/>
    <s v="A968459X5C04068"/>
    <s v="Rack"/>
    <s v="TX2-5S"/>
    <n v="718"/>
    <s v="InTest"/>
  </r>
  <r>
    <s v="P25C03246"/>
    <s v="12/17/2025 10:48:56 AM"/>
    <x v="0"/>
    <s v="SR021216252531"/>
    <s v="RK010"/>
    <m/>
    <s v="12/17/2025"/>
    <x v="0"/>
    <s v="Switch Cosmetic Issue (Switch外觀不良) Bent Pin_更換_TW640"/>
    <s v="NVSwitch"/>
    <x v="2"/>
    <s v="MT2529605UMT"/>
    <s v="MT2542602TRN"/>
    <s v="Rack"/>
    <s v="TX2-5S"/>
    <n v="640"/>
    <s v="InTest"/>
  </r>
  <r>
    <s v="P25C03253"/>
    <s v="12/17/2025 12:06:15 PM"/>
    <x v="0"/>
    <s v="SR021212258916"/>
    <s v="RK022"/>
    <m/>
    <s v="12/17/2025"/>
    <x v="0"/>
    <s v="Power Shelf 殼造成無法更新"/>
    <s v="Delta power shelf right input"/>
    <x v="5"/>
    <s v="DGPSU2543017Z"/>
    <s v="DGPSU254300WA"/>
    <s v="Rack"/>
    <s v="TX2-5S"/>
    <n v="718"/>
    <s v="InTest"/>
  </r>
  <r>
    <s v="P25C03266"/>
    <s v="12/17/2025 12:49:04 PM"/>
    <x v="0"/>
    <s v="SR021216258795"/>
    <s v="RK024"/>
    <m/>
    <s v="12/17/2025"/>
    <x v="0"/>
    <s v="Cable cartridge Defect_固定CC2位置 http://10.160.100.12/logs/xAI/2025/December/SR021216258795/17/R-BURN/A968459X5C06029/905A0832D205/Failure-Records-Full.txt"/>
    <s v="Cable Cartridge"/>
    <x v="3"/>
    <n v="2024225881153"/>
    <n v="1824025185364"/>
    <s v="Rack"/>
    <s v="TX2-5S"/>
    <n v="640"/>
    <s v="InTest"/>
  </r>
  <r>
    <s v="P25C03274"/>
    <s v="12/17/2025 1:30:31 PM"/>
    <x v="0"/>
    <s v="SR021212259493"/>
    <s v="RK204"/>
    <m/>
    <s v="12/17/2025"/>
    <x v="0"/>
    <s v="L11 TEST FAIL(NVSwitch 0 nvlink 70 is in an unexpected state)_PM894_協助過帳"/>
    <s v="NVSwitch"/>
    <x v="2"/>
    <s v="MT2542602D89"/>
    <s v="MT25336008GD"/>
    <s v="Rack"/>
    <s v="TX2-5S"/>
    <n v="928"/>
    <s v="InTest"/>
  </r>
  <r>
    <s v="P25C03275"/>
    <s v="12/17/2025 1:38:31 PM"/>
    <x v="0"/>
    <s v="SR021212254882"/>
    <s v="RK023"/>
    <m/>
    <s v="12/17/2025"/>
    <x v="0"/>
    <s v="SWITCH MAC NULL"/>
    <s v="NVSwitch"/>
    <x v="2"/>
    <s v="MT25406022RE"/>
    <s v="MT25306028WA"/>
    <s v="Rack"/>
    <s v="TX2-5S"/>
    <n v="718"/>
    <s v="InTest"/>
  </r>
  <r>
    <s v="P25C03293"/>
    <s v="12/17/2025 3:47:16 PM"/>
    <x v="0"/>
    <s v="SR021212256772"/>
    <s v="RK202"/>
    <m/>
    <s v="12/17/2025"/>
    <x v="0"/>
    <s v="L11 Compute Node Information Consistent Check fail"/>
    <s v="GB300 L10"/>
    <x v="1"/>
    <s v="A968459X5C05624"/>
    <s v="A968459X5C06177"/>
    <s v="Rack"/>
    <s v="TX2-5S"/>
    <n v="90066"/>
    <s v="InTest"/>
  </r>
  <r>
    <s v="P25C03307"/>
    <s v="12/17/2025 4:29:52 PM"/>
    <x v="0"/>
    <s v="SR021216259077"/>
    <s v="RK202"/>
    <m/>
    <s v="12/17/2025"/>
    <x v="0"/>
    <s v="L11 Compute Node Information Consistent Check fail"/>
    <s v="GB300 L10"/>
    <x v="1"/>
    <s v="A968459X5C06031"/>
    <s v="A968459X5C06393"/>
    <s v="Rack"/>
    <s v="TX2-5S"/>
    <n v="90066"/>
    <s v="InTest"/>
  </r>
  <r>
    <s v="P25C03336"/>
    <s v="12/17/2025 6:38:38 PM"/>
    <x v="0"/>
    <s v="SR021216259077"/>
    <s v="RK202"/>
    <m/>
    <s v="12/17/2025"/>
    <x v="0"/>
    <s v="L11 Compute Node Information Consistent Check fail"/>
    <s v="GB300 L10"/>
    <x v="1"/>
    <s v="A968459X5C06097"/>
    <s v="A968459X5C06392"/>
    <s v="Rack"/>
    <s v="TX2-5S"/>
    <n v="90066"/>
    <s v="InTest"/>
  </r>
  <r>
    <s v="P25C03342"/>
    <s v="12/17/2025 7:56:57 PM"/>
    <x v="0"/>
    <s v="SR021212256772"/>
    <s v="RK201"/>
    <m/>
    <s v="12/17/2025"/>
    <x v="0"/>
    <s v="L11 Rack0_SW1_acp50 CC1_C12_Lane_2 link_none"/>
    <s v="NVSwitch"/>
    <x v="2"/>
    <s v="MT2530600HPT"/>
    <s v="MT25286046WP"/>
    <s v="Rack"/>
    <s v="TX2-5S"/>
    <n v="90066"/>
    <s v="InTest"/>
  </r>
  <r>
    <s v="P25C03343"/>
    <s v="12/17/2025 8:06:49 PM"/>
    <x v="0"/>
    <s v="SR021212259402"/>
    <s v="RK201"/>
    <m/>
    <s v="12/17/2025"/>
    <x v="0"/>
    <s v="Rack0_SW0_acp76,CC3_C0_Lane_1, link_none"/>
    <s v="NVSwitch"/>
    <x v="2"/>
    <s v="MT2528601H9G"/>
    <s v="MT2532602JFU"/>
    <s v="Rack"/>
    <s v="TX2-5S"/>
    <n v="90066"/>
    <s v="InTest"/>
  </r>
  <r>
    <s v="P25C03347"/>
    <s v="12/17/2025 8:38:23 PM"/>
    <x v="1"/>
    <s v="SR021217252159"/>
    <s v="RK202"/>
    <m/>
    <s v="12/17/2025"/>
    <x v="0"/>
    <s v="L11 Compute Node Information Consistent Check fail"/>
    <s v="GB300 L10"/>
    <x v="9"/>
    <s v="A964512X5B16388"/>
    <s v="A964512X5C00760"/>
    <s v="Rack"/>
    <s v="TX2-5S"/>
    <n v="90066"/>
    <s v="InTest"/>
  </r>
  <r>
    <s v="P25C03349"/>
    <s v="12/17/2025 8:43:33 PM"/>
    <x v="0"/>
    <s v="SR021216255470"/>
    <s v="RK099"/>
    <m/>
    <s v="12/17/2025"/>
    <x v="0"/>
    <s v="no IP detected"/>
    <s v="GB300 L10"/>
    <x v="1"/>
    <s v="A968459X5C04476"/>
    <s v="A968459X5C06398"/>
    <s v="Rack"/>
    <s v="TX2-5S"/>
    <n v="90168"/>
    <s v="InTest"/>
  </r>
  <r>
    <s v="P25C03376"/>
    <s v="12/17/2025 10:48:01 PM"/>
    <x v="0"/>
    <s v="SR021212253517"/>
    <s v="RK024"/>
    <m/>
    <s v="12/17/2025"/>
    <x v="0"/>
    <s v="(Rack slot 9, CBC 1, 8x10 connector 1, column 5, pins C/D, G/H, A/B, E/F, port acp137) PEER (Rack slot 26, CBC 1, 4x19 connector 1, column 18, pins A/B, G/H, C/D, E/F)"/>
    <s v="Cable Cartridge"/>
    <x v="3"/>
    <n v="1823425356422"/>
    <n v="1823525354817"/>
    <s v="Rack"/>
    <s v="TX2-5S"/>
    <n v="90168"/>
    <s v="InTest"/>
  </r>
  <r>
    <s v="P25C03377"/>
    <s v="12/17/2025 10:49:52 PM"/>
    <x v="0"/>
    <s v="SR021212258466"/>
    <s v="RK024"/>
    <m/>
    <s v="12/17/2025"/>
    <x v="0"/>
    <s v="NVSwitch 0 [Pci 009b:00:800.0] nvlink 27 is in an unexpected state @(Rack slot 17, CBC 4, 8x10 connector 8, column 10, pins C/D, G/H, A/B, E/F, port acp28) PEER (Rack slot 7, CBC 4, 4x19 connector 4, column 3, pins A/B, G/H, C/D, E/F)"/>
    <s v="Cable Cartridge"/>
    <x v="3"/>
    <n v="1823425356381"/>
    <n v="1823525354873"/>
    <s v="Rack"/>
    <s v="TX2-5S"/>
    <n v="90168"/>
    <s v="InTest"/>
  </r>
  <r>
    <s v="P25C03378"/>
    <s v="12/17/2025 10:51:39 PM"/>
    <x v="0"/>
    <s v="SR021216252531"/>
    <s v="RK024"/>
    <m/>
    <s v="12/17/2025"/>
    <x v="0"/>
    <s v="Cable cartridge Defect bent pin"/>
    <s v="Cable Cartridge"/>
    <x v="3"/>
    <n v="1823425356338"/>
    <n v="1824025185377"/>
    <s v="Rack"/>
    <s v="TX2-5S"/>
    <n v="90168"/>
    <s v="InTest"/>
  </r>
  <r>
    <s v="P25C03381"/>
    <s v="12/17/2025 11:03:50 PM"/>
    <x v="1"/>
    <s v="SR021217252159"/>
    <s v="RK202"/>
    <m/>
    <s v="12/17/2025"/>
    <x v="0"/>
    <s v="L11 Compute Node Information Consistent Check fail"/>
    <s v="GB300 L10"/>
    <x v="9"/>
    <s v="A964512X5B11645"/>
    <s v="A964512X5C05286"/>
    <s v="Rack"/>
    <s v="TX2-5S"/>
    <n v="90066"/>
    <s v="InTest"/>
  </r>
  <r>
    <s v="P25C03382"/>
    <s v="12/17/2025 11:04:26 PM"/>
    <x v="1"/>
    <s v="SR021217252159"/>
    <s v="RK202"/>
    <m/>
    <s v="12/17/2025"/>
    <x v="0"/>
    <s v="L11 Compute Node Information Consistent Check fail"/>
    <s v="GB300 L10"/>
    <x v="9"/>
    <s v="A964512X5C01348"/>
    <s v="A964512X5C05287"/>
    <s v="Rack"/>
    <s v="TX2-5S"/>
    <n v="90066"/>
    <s v="InTest"/>
  </r>
  <r>
    <s v="P25C03383"/>
    <s v="12/17/2025 11:05:04 PM"/>
    <x v="1"/>
    <s v="SR021217252200"/>
    <s v="RK202"/>
    <m/>
    <s v="12/17/2025"/>
    <x v="0"/>
    <s v="L11 Compute Node Information Consistent Check fail"/>
    <s v="GB300 L10"/>
    <x v="9"/>
    <s v="A964512X5C05127"/>
    <s v="A964512X5C05276"/>
    <s v="Rack"/>
    <s v="TX2-5S"/>
    <n v="90066"/>
    <s v="InTest"/>
  </r>
  <r>
    <s v="P25C03385"/>
    <s v="12/17/2025 11:10:31 PM"/>
    <x v="0"/>
    <s v="SR021216252688"/>
    <s v="RK202"/>
    <m/>
    <s v="12/17/2025"/>
    <x v="0"/>
    <s v="L11 Compute Node Information Consistent Check fail"/>
    <s v="GB300 L10"/>
    <x v="1"/>
    <s v="A968459X5B08877"/>
    <s v="A968459X5B16306"/>
    <s v="Rack"/>
    <s v="TX2-5S"/>
    <n v="90066"/>
    <s v="InTest"/>
  </r>
  <r>
    <s v="P25C03412"/>
    <s v="12/18/2025 6:46:13 AM"/>
    <x v="0"/>
    <s v="SR021216258737"/>
    <s v="RK022"/>
    <m/>
    <s v="12/18/2025"/>
    <x v="0"/>
    <s v="L11 TEST FAIL:PMC Version: 3.1.6-dev-20250606_PM894_協助過帳"/>
    <s v="Power Shelf Control Module"/>
    <x v="0"/>
    <s v="T525460898"/>
    <s v="SV25383114"/>
    <s v="Rack"/>
    <s v="TX2-5S"/>
    <n v="1348"/>
    <s v="InTest"/>
  </r>
  <r>
    <s v="P25C03438"/>
    <s v="12/18/2025 8:51:55 AM"/>
    <x v="0"/>
    <s v="SR021206257383"/>
    <s v="RK098"/>
    <m/>
    <s v="12/18/2025"/>
    <x v="0"/>
    <s v="COMPUTE_NODE_1 | DGX-000000000125 | CableCartridgeEepromCheck | The requested resource of type Chassis named 'CBC_0' was not found."/>
    <s v="GB300 L10"/>
    <x v="1"/>
    <s v="A968459X5B14787"/>
    <s v="A968459X5C02419"/>
    <s v="Rack"/>
    <s v="TX2-5S"/>
    <n v="718"/>
    <s v="InTest"/>
  </r>
  <r>
    <s v="P25C03442"/>
    <s v="12/18/2025 8:58:40 AM"/>
    <x v="0"/>
    <s v="SR021212254272"/>
    <s v="RK098"/>
    <m/>
    <s v="12/18/2025"/>
    <x v="0"/>
    <s v="comp_tray,Rack0_SW3_acp102,CC1_C7_Lane_7, link_bad_quality_high_ber,1e-05, 12"/>
    <s v="GB300 L10"/>
    <x v="1"/>
    <s v="A968459X5B13171"/>
    <s v="A968459X5C02462"/>
    <s v="Rack"/>
    <s v="TX2-5S"/>
    <n v="718"/>
    <s v="InTest"/>
  </r>
  <r>
    <s v="P25C03444"/>
    <s v="12/18/2025 9:50:31 AM"/>
    <x v="0"/>
    <s v="SR021216259277"/>
    <s v="RK098"/>
    <m/>
    <s v="12/18/2025"/>
    <x v="0"/>
    <s v="開機自動關機已對單機補過水冷液一樣且更換過其他位置_更換單機_TW640"/>
    <s v="GB300 L10"/>
    <x v="1"/>
    <s v="A968459X5C07116"/>
    <s v="A968459X5C04476"/>
    <s v="Rack"/>
    <s v="TX2-5S"/>
    <n v="640"/>
    <s v="InTest"/>
  </r>
  <r>
    <s v="P25C03445"/>
    <s v="12/18/2025 9:50:31 AM"/>
    <x v="0"/>
    <s v="SR021216259277"/>
    <s v="RK098"/>
    <m/>
    <s v="12/18/2025"/>
    <x v="0"/>
    <s v="開機自動關機已對單機補過水冷液一樣且更換過其他位置_更換單機_TW640"/>
    <s v="GB300 L10"/>
    <x v="1"/>
    <s v="A968459X5C08141"/>
    <s v="A968459X5C05453"/>
    <s v="Rack"/>
    <s v="TX2-5S"/>
    <n v="640"/>
    <s v="InTest"/>
  </r>
  <r>
    <s v="P25C03458"/>
    <s v="12/18/2025 10:52:05 AM"/>
    <x v="1"/>
    <s v="SR021217252407"/>
    <s v="RK205"/>
    <m/>
    <s v="12/18/2025"/>
    <x v="0"/>
    <s v="GB200 L11 Compute Tray Nvidia Field Diag Test fail_raw_lane_ber error value of 5e-06 exceeded threshold_更換單機_TW1237"/>
    <s v="GB300 L10"/>
    <x v="9"/>
    <s v="A964512X5C01725"/>
    <s v="A964512X5C00061"/>
    <s v="Rack"/>
    <s v="TX2-5S"/>
    <n v="1237"/>
    <s v="InTest"/>
  </r>
  <r>
    <s v="P25C03476"/>
    <s v="12/18/2025 12:24:14 PM"/>
    <x v="0"/>
    <s v="SR021216257430"/>
    <s v="RK098"/>
    <m/>
    <s v="12/18/2025"/>
    <x v="0"/>
    <s v="HMC FRU資訊短少二次"/>
    <s v="GB300 L10"/>
    <x v="1"/>
    <s v="A968459X5C04115"/>
    <s v="A968459X5C03894"/>
    <s v="Rack"/>
    <s v="TX2-5S"/>
    <n v="640"/>
    <s v="InTest"/>
  </r>
  <r>
    <s v="P25C03486"/>
    <s v="12/18/2025 1:09:03 PM"/>
    <x v="0"/>
    <s v="SR021212254272"/>
    <s v="RK098"/>
    <m/>
    <s v="12/18/2025"/>
    <x v="0"/>
    <s v="CC0_C8_Lane_8 link_bad_quality_high_ber 7e-05 15 sudo mlxlink -d /dev/mst/mt54004_pci_cr0 -p 9/1/1 -c --rx_fec_histogram --show_histogram -json"/>
    <s v="GB300 L10"/>
    <x v="1"/>
    <s v="A968459X5C02449"/>
    <s v="A968459X5C02412"/>
    <s v="Rack"/>
    <s v="TX2-5S"/>
    <n v="718"/>
    <s v="InTest"/>
  </r>
  <r>
    <s v="P25C03502"/>
    <s v="12/18/2025 2:19:53 PM"/>
    <x v="0"/>
    <s v="SR021216251152"/>
    <s v="RK098"/>
    <m/>
    <s v="12/18/2025"/>
    <x v="0"/>
    <s v="自動關機"/>
    <s v="GB300 L10"/>
    <x v="1"/>
    <s v="A968459X5C06151"/>
    <s v="A968459X5C04920"/>
    <s v="Rack"/>
    <s v="TX2-5S"/>
    <n v="718"/>
    <s v="InTest"/>
  </r>
  <r>
    <s v="P25C03504"/>
    <s v="12/18/2025 2:36:56 PM"/>
    <x v="0"/>
    <s v="SR021216257100"/>
    <s v="RK024"/>
    <m/>
    <s v="12/18/2025"/>
    <x v="0"/>
    <s v="Ban PIN_change_TW640"/>
    <s v="Cable Cartridge"/>
    <x v="3"/>
    <n v="1823525354906"/>
    <n v="2024325880264"/>
    <s v="Rack"/>
    <s v="TX2-5S"/>
    <n v="1237"/>
    <s v="InTest"/>
  </r>
  <r>
    <s v="P25C03536"/>
    <s v="12/18/2025 5:45:02 PM"/>
    <x v="0"/>
    <s v="SR021212256128"/>
    <s v="RK024"/>
    <m/>
    <s v="12/18/2025"/>
    <x v="0"/>
    <s v="Cable cartridge Defect - CC2_C7_Lane_11 link_none"/>
    <s v="Cable Cartridge"/>
    <x v="3"/>
    <n v="1823425355983"/>
    <n v="1824025185389"/>
    <s v="Rack"/>
    <s v="TX2-5S"/>
    <n v="90131"/>
    <s v="InTest"/>
  </r>
  <r>
    <s v="P25C03542"/>
    <s v="12/18/2025 5:55:20 PM"/>
    <x v="0"/>
    <s v="SR021216258737"/>
    <s v="RK202"/>
    <m/>
    <s v="12/18/2025"/>
    <x v="0"/>
    <s v="L11 Compute Node Information Consistent Check fail"/>
    <s v="GB300 L10"/>
    <x v="1"/>
    <s v="A968459X5C06076"/>
    <s v="A968459X5C06445"/>
    <s v="Rack"/>
    <s v="TX2-5S"/>
    <n v="90066"/>
    <s v="InTest"/>
  </r>
  <r>
    <s v="P25C03560"/>
    <s v="12/18/2025 8:36:57 PM"/>
    <x v="1"/>
    <s v="SR021217252159"/>
    <s v="RK202"/>
    <m/>
    <s v="12/18/2025"/>
    <x v="0"/>
    <s v="L11 Compute Node Information Consistent Check fail"/>
    <s v="GB300 L10"/>
    <x v="9"/>
    <s v="A964512X5C01545"/>
    <s v="A964512X5C07324"/>
    <s v="Rack"/>
    <s v="TX2-5S"/>
    <n v="90066"/>
    <s v="InTest"/>
  </r>
  <r>
    <s v="P25C03576"/>
    <s v="12/18/2025 10:12:32 PM"/>
    <x v="0"/>
    <s v="SR021216252870"/>
    <s v="RK099"/>
    <m/>
    <s v="12/18/2025"/>
    <x v="0"/>
    <s v="Unable to power on - no led light"/>
    <s v="GB300 L10"/>
    <x v="1"/>
    <s v="A968459X5C05504"/>
    <s v="A968459X5C03995"/>
    <s v="Rack"/>
    <s v="TX2-5S"/>
    <n v="90131"/>
    <s v="InTest"/>
  </r>
  <r>
    <s v="P25C03590"/>
    <s v="12/18/2025 10:49:27 PM"/>
    <x v="0"/>
    <s v="SR021216251126"/>
    <s v="RK105"/>
    <m/>
    <s v="12/18/2025"/>
    <x v="0"/>
    <s v="BMC EventLog: The health of resource `Chassis_0_LeakDetector_1_Manifold` has changed to Open"/>
    <s v="GB300 L10"/>
    <x v="1"/>
    <s v="A968459X5C05610"/>
    <s v="A968459X5C04179"/>
    <s v="Rack"/>
    <s v="TX2-5S"/>
    <n v="90131"/>
    <s v="InTest"/>
  </r>
  <r>
    <s v="P25C03591"/>
    <s v="12/18/2025 10:50:08 PM"/>
    <x v="0"/>
    <s v="SR021216252688"/>
    <s v="RK202"/>
    <m/>
    <s v="12/18/2025"/>
    <x v="0"/>
    <s v="L11 Compute Node Information Consistent Check fail"/>
    <s v="GB300 L10"/>
    <x v="1"/>
    <s v="A968459X5B02674"/>
    <s v="A968459X5C02317"/>
    <s v="Rack"/>
    <s v="TX2-5S"/>
    <n v="90066"/>
    <s v="InTest"/>
  </r>
  <r>
    <s v="P25C03594"/>
    <s v="12/18/2025 11:04:38 PM"/>
    <x v="0"/>
    <s v="SR021216256724"/>
    <s v="RK024"/>
    <m/>
    <s v="12/18/2025"/>
    <x v="0"/>
    <s v="L11 Rack0_SW0_acp68,CC3_C16/C17_Lane_0, link_none"/>
    <s v="Cable Cartridge"/>
    <x v="3"/>
    <n v="2024225881094"/>
    <n v="1824025185402"/>
    <s v="Rack"/>
    <s v="TX2-5S"/>
    <n v="90066"/>
    <s v="InTest"/>
  </r>
  <r>
    <s v="P25C03609"/>
    <s v="12/19/2025 12:40:14 AM"/>
    <x v="0"/>
    <s v="SR021216252688"/>
    <s v="RK202"/>
    <m/>
    <s v="12/19/2025"/>
    <x v="0"/>
    <s v="L11 Compute Node Information Consistent Check fail"/>
    <s v="GB300 L10"/>
    <x v="1"/>
    <s v="A968459X5B14345"/>
    <s v="A968459X5B15177"/>
    <s v="Rack"/>
    <s v="TX2-5S"/>
    <n v="90066"/>
    <s v="InTest"/>
  </r>
  <r>
    <s v="P25C03611"/>
    <s v="12/19/2025 12:47:32 AM"/>
    <x v="0"/>
    <s v="SR021216258737"/>
    <s v="RK203"/>
    <m/>
    <s v="12/19/2025"/>
    <x v="0"/>
    <s v="L11 LED LIGHT ALWAYS GREEN"/>
    <s v="Power Shelf Control Module"/>
    <x v="0"/>
    <s v="T525460881"/>
    <s v="SV25383429"/>
    <s v="Rack"/>
    <s v="TX2-5S"/>
    <n v="90066"/>
    <s v="InTest"/>
  </r>
  <r>
    <s v="P25C03620"/>
    <s v="12/19/2025 1:42:10 AM"/>
    <x v="0"/>
    <s v="SR021216259277"/>
    <s v="RK024"/>
    <m/>
    <s v="12/19/2025"/>
    <x v="0"/>
    <s v="BENT PIN"/>
    <s v="Cable Cartridge"/>
    <x v="3"/>
    <n v="2024225880819"/>
    <n v="2023625350327"/>
    <s v="Rack"/>
    <s v="TX2-5S"/>
    <n v="90131"/>
    <s v="InTest"/>
  </r>
  <r>
    <s v="P25C03621"/>
    <s v="12/19/2025 1:46:12 AM"/>
    <x v="0"/>
    <s v="SR021212256128"/>
    <s v="RK023"/>
    <m/>
    <s v="12/19/2025"/>
    <x v="0"/>
    <s v="NVLINK Switch Functional Issue_Rack0_SW4_acp103 CC2_C7_Lane_9 link_none"/>
    <s v="NVSwitch"/>
    <x v="2"/>
    <s v="MT2542601V9R"/>
    <s v="MT2541605XCN"/>
    <s v="Rack"/>
    <s v="TX2-5S"/>
    <n v="90131"/>
    <s v="InTest"/>
  </r>
  <r>
    <s v="P25C03658"/>
    <s v="12/19/2025 8:08:12 AM"/>
    <x v="0"/>
    <s v="SR021212254272"/>
    <s v="RK023"/>
    <m/>
    <s v="12/19/2025"/>
    <x v="0"/>
    <s v="Rack0_SW4_acp33,CC0_C8_Lane_8, link_bad_quality_high_ber"/>
    <s v="NVSwitch"/>
    <x v="2"/>
    <s v="MT253360027T"/>
    <s v="MT2542602TRN"/>
    <s v="Rack"/>
    <s v="TX2-5S"/>
    <n v="718"/>
    <s v="InTest"/>
  </r>
  <r>
    <s v="P25C03660"/>
    <s v="12/19/2025 8:08:28 AM"/>
    <x v="0"/>
    <s v="SR021216257430"/>
    <s v="RK098"/>
    <m/>
    <s v="12/19/2025"/>
    <x v="0"/>
    <s v="Error while invoking api /redfish/v1/Chassis/CBC_2. Error message =&gt; The requested resource of type Chassis named 'CBC_2' was not found.二次_更換單機_TW640"/>
    <s v="GB300 L10"/>
    <x v="1"/>
    <s v="A968459X5C07064"/>
    <s v="A968459X5C04895"/>
    <s v="Rack"/>
    <s v="TX2-5S"/>
    <n v="640"/>
    <s v="InTest"/>
  </r>
  <r>
    <s v="P25C03663"/>
    <s v="12/19/2025 8:12:43 AM"/>
    <x v="0"/>
    <s v="SR021216251126"/>
    <s v="RK023"/>
    <m/>
    <s v="12/19/2025"/>
    <x v="0"/>
    <s v="SWITCH_NODE_2, NVLINK 62, Chassis Slot 10, Tray 1, Remote Device, Remote Port 4, Remote GUID 0xab3006ac02cf330a"/>
    <s v="NVSwitch"/>
    <x v="2"/>
    <s v="MT2531600BHJ"/>
    <s v="MT2542601V9R"/>
    <s v="Rack"/>
    <s v="TX2-5S"/>
    <n v="718"/>
    <s v="InTest"/>
  </r>
  <r>
    <s v="P25C03697"/>
    <s v="12/19/2025 9:45:57 AM"/>
    <x v="0"/>
    <s v="SR021216256242"/>
    <s v="RK024"/>
    <m/>
    <s v="12/19/2025"/>
    <x v="0"/>
    <s v="Rack0_SW1_acp5 CC0_C1_Lane_2 link_none Rack0_SW1_acp25 CC0_C6_Lane_2 link_bad_quality_high_ber Rack0_SW1_acp5 CC0_C1_Lane_2 link_none"/>
    <s v="Cable Cartridge"/>
    <x v="3"/>
    <n v="2024225880794"/>
    <n v="2023625350328"/>
    <s v="Rack"/>
    <s v="TX2-5S"/>
    <n v="718"/>
    <s v="InTest"/>
  </r>
  <r>
    <s v="P25C03711"/>
    <s v="12/19/2025 10:01:07 AM"/>
    <x v="0"/>
    <s v="SR021216256242"/>
    <s v="RK024"/>
    <m/>
    <s v="12/19/2025"/>
    <x v="0"/>
    <s v="Cable cartridge Defect_CC0導致燒機FAIL_CHANGE_TW640"/>
    <s v="Cable Cartridge"/>
    <x v="3"/>
    <n v="2024225880794"/>
    <n v="2023625350328"/>
    <s v="Rack"/>
    <s v="TX2-5S"/>
    <n v="1237"/>
    <s v="InTest"/>
  </r>
  <r>
    <s v="P25C03716"/>
    <s v="12/19/2025 10:28:28 AM"/>
    <x v="0"/>
    <s v="SR021216251152"/>
    <s v="RK024"/>
    <m/>
    <s v="12/19/2025"/>
    <x v="0"/>
    <s v="Bent pin 位置 SW3 SW4"/>
    <s v="Cable Cartridge"/>
    <x v="3"/>
    <n v="1824025354284"/>
    <n v="2024325880527"/>
    <s v="Rack"/>
    <s v="TX2-5S"/>
    <n v="718"/>
    <s v="InTest"/>
  </r>
  <r>
    <s v="P25C03717"/>
    <s v="12/19/2025 10:37:32 AM"/>
    <x v="0"/>
    <s v="SR021216258795"/>
    <s v="RK024"/>
    <m/>
    <s v="12/19/2025"/>
    <x v="0"/>
    <s v="Cable cartridge Defect"/>
    <s v="Cable Cartridge"/>
    <x v="3"/>
    <n v="1824025185364"/>
    <n v="2023625350229"/>
    <s v="Rack"/>
    <s v="TX2-5S"/>
    <n v="640"/>
    <s v="InTest"/>
  </r>
  <r>
    <s v="P25C03735"/>
    <s v="12/19/2025 2:08:10 PM"/>
    <x v="0"/>
    <s v="SR021216259507"/>
    <s v="RK022"/>
    <m/>
    <s v="12/19/2025"/>
    <x v="0"/>
    <s v="PMC Version版本不對_PM1120_協助過帳_replace SRK-01DTPM-PMB1-01"/>
    <s v="Power Shelf Control Module"/>
    <x v="0"/>
    <s v="T525460310"/>
    <s v="SV25383189"/>
    <s v="Rack"/>
    <s v="TX2-5S"/>
    <n v="924"/>
    <s v="InTest"/>
  </r>
  <r>
    <s v="P25C03738"/>
    <s v="12/19/2025 12:43:51 PM"/>
    <x v="1"/>
    <s v="SR021217252407"/>
    <s v="RK098"/>
    <m/>
    <s v="12/19/2025"/>
    <x v="0"/>
    <s v="COMPUTE_NODE_5 Error while invoking api /redfish/v1/Chassis/CBC_2. Error message =&gt; The requested resource of type Chassis named 'CBC_2' was not found._更換_TW640"/>
    <s v="GB300 L10"/>
    <x v="9"/>
    <s v="A964512X5C00061"/>
    <s v="A964512X5C03205"/>
    <s v="Rack"/>
    <s v="TX2-5S"/>
    <n v="640"/>
    <s v="InTest"/>
  </r>
  <r>
    <s v="P25C03761"/>
    <s v="12/19/2025 2:17:16 PM"/>
    <x v="0"/>
    <s v="SR021216259891"/>
    <s v="RK205"/>
    <m/>
    <s v="12/19/2025"/>
    <x v="0"/>
    <s v="GB200 L11 Compute Tray Nvidia Field Diag Test fail NVIDIA SMI tool only detected 3 GPU and it does not match the requesed 4"/>
    <s v="GB300 L10"/>
    <x v="1"/>
    <s v="A968459X5B08156"/>
    <s v="A968459X5C04179"/>
    <s v="Rack"/>
    <s v="TX2-5S"/>
    <n v="1237"/>
    <s v="InTest"/>
  </r>
  <r>
    <s v="P25C03797"/>
    <s v="12/19/2025 4:34:49 PM"/>
    <x v="0"/>
    <s v="SR021212254272"/>
    <s v="RK205"/>
    <m/>
    <s v="12/19/2025"/>
    <x v="0"/>
    <s v="GB200 L11 Compute Tray Nvidia Field Diag Test fail - Rack0_SW4_acp33 CC0_C8_Lane_8 link_bad_quality_high_ber"/>
    <s v="GB300 L10"/>
    <x v="1"/>
    <s v="A968459X5B01288"/>
    <s v="A968459X5B14445"/>
    <s v="Rack"/>
    <s v="TX2-5S"/>
    <n v="924"/>
    <s v="InTest"/>
  </r>
  <r>
    <s v="P25C03814"/>
    <s v="12/19/2025 5:22:05 PM"/>
    <x v="0"/>
    <s v="SR021216253742"/>
    <s v="RK202"/>
    <m/>
    <s v="12/19/2025"/>
    <x v="0"/>
    <s v="L11 Compute Node Information Consistent Check fail"/>
    <s v="GB300 L10"/>
    <x v="1"/>
    <s v="A968459X5C08147"/>
    <s v="A968459X5C09428"/>
    <s v="Rack"/>
    <s v="TX2-5S"/>
    <n v="90066"/>
    <s v="InTest"/>
  </r>
  <r>
    <s v="P25C03837"/>
    <s v="12/19/2025 7:39:43 PM"/>
    <x v="0"/>
    <s v="SR021216255717"/>
    <s v="RK105"/>
    <m/>
    <s v="12/19/2025"/>
    <x v="0"/>
    <s v="A leak was detected by the sensor Cha0LeaDete1Mani on the cold plates"/>
    <s v="GB300 L10"/>
    <x v="1"/>
    <s v="A968459X5C05610"/>
    <s v="A968459X5C06146"/>
    <s v="Rack"/>
    <s v="TX2-5S"/>
    <n v="90131"/>
    <s v="InTest"/>
  </r>
  <r>
    <s v="P25C03844"/>
    <s v="12/19/2025 7:54:44 PM"/>
    <x v="0"/>
    <s v="SR021216258795"/>
    <s v="RK099"/>
    <m/>
    <s v="12/19/2025"/>
    <x v="0"/>
    <s v="A968459X5C06021 FAN lost #15 and #16"/>
    <s v="GB300 L10"/>
    <x v="1"/>
    <s v="A968459X5C06021"/>
    <s v="A968459X5C06051"/>
    <s v="Rack"/>
    <s v="TX2-5S"/>
    <n v="90131"/>
    <s v="InTest"/>
  </r>
  <r>
    <s v="P25C03852"/>
    <s v="12/19/2025 8:56:54 PM"/>
    <x v="0"/>
    <s v="SR021206257383"/>
    <s v="RK023"/>
    <m/>
    <s v="12/19/2025"/>
    <x v="0"/>
    <s v="NVLINK Switch Functional Issue - Rack0_SW8_acp83 CC2_C2_Lane_17 link_none"/>
    <s v="NVSwitch"/>
    <x v="2"/>
    <s v="MT25446028K2"/>
    <s v="MT2541605XYF"/>
    <s v="Rack"/>
    <s v="TX2-5S"/>
    <n v="924"/>
    <s v="InTest"/>
  </r>
  <r>
    <s v="P25C03861"/>
    <s v="12/19/2025 9:14:53 PM"/>
    <x v="0"/>
    <s v="SR021212254272"/>
    <s v="RK024"/>
    <m/>
    <s v="12/19/2025"/>
    <x v="0"/>
    <s v="Cable cartridge defect - Rack0_SW4_acp46 CC1_C11_Lane_8 link_none"/>
    <s v="Cable Cartridge"/>
    <x v="3"/>
    <n v="1823425355685"/>
    <n v="2023625350220"/>
    <s v="Rack"/>
    <s v="TX2-5S"/>
    <n v="3908"/>
    <s v="InTest"/>
  </r>
  <r>
    <s v="P25C03863"/>
    <s v="12/19/2025 9:19:16 PM"/>
    <x v="0"/>
    <s v="SR021217257564"/>
    <s v="RK203"/>
    <m/>
    <s v="12/19/2025"/>
    <x v="0"/>
    <s v="slot 6 no power"/>
    <s v="Delta Power Shelf Left Input"/>
    <x v="4"/>
    <s v="DGPST2544017A"/>
    <s v="DGPST254401B0"/>
    <s v="Rack"/>
    <s v="TX2-5S"/>
    <n v="90066"/>
    <s v="InTest"/>
  </r>
  <r>
    <s v="P25C03879"/>
    <s v="12/19/2025 10:47:05 PM"/>
    <x v="0"/>
    <s v="SR021217252815"/>
    <s v="RK109"/>
    <m/>
    <s v="12/19/2025"/>
    <x v="0"/>
    <s v="auto Shutdown"/>
    <s v="GB300 L10"/>
    <x v="1"/>
    <s v="A968459X5C05795"/>
    <s v="A968459X5C08249"/>
    <s v="Rack"/>
    <s v="TX2-5S"/>
    <n v="3908"/>
    <s v="InTest"/>
  </r>
  <r>
    <s v="P25C03884"/>
    <s v="12/19/2025 11:16:07 PM"/>
    <x v="0"/>
    <s v="SR021217253029"/>
    <s v="RK109"/>
    <m/>
    <s v="12/19/2025"/>
    <x v="0"/>
    <s v="Unable to Power on and no light on power botton"/>
    <s v="GB300 L10"/>
    <x v="1"/>
    <s v="A968459X5C05504"/>
    <s v="A968459X5C08234"/>
    <s v="Rack"/>
    <s v="TX2-5S"/>
    <n v="3908"/>
    <s v="InTest"/>
  </r>
  <r>
    <s v="P25C03897"/>
    <s v="12/20/2025 12:21:21 AM"/>
    <x v="0"/>
    <s v="SR021217256392"/>
    <s v="RK109"/>
    <m/>
    <s v="12/20/2025"/>
    <x v="0"/>
    <s v="auto Shutdown"/>
    <s v="GB300 L10"/>
    <x v="1"/>
    <s v="A968459X5C05761"/>
    <s v="A968459X5C08684"/>
    <s v="Rack"/>
    <s v="TX2-5S"/>
    <n v="3908"/>
    <s v="InTest"/>
  </r>
  <r>
    <s v="P25C03904"/>
    <s v="12/20/2025 12:40:56 AM"/>
    <x v="0"/>
    <s v="SR021216256724"/>
    <s v="RK024"/>
    <m/>
    <s v="12/20/2025"/>
    <x v="0"/>
    <s v="L11 Cable cartridge Defect / BENT PIN"/>
    <s v="Cable Cartridge"/>
    <x v="3"/>
    <n v="1824025185402"/>
    <n v="2024325880273"/>
    <s v="Rack"/>
    <s v="TX2-5S"/>
    <n v="90066"/>
    <s v="InTest"/>
  </r>
  <r>
    <s v="P25C03925"/>
    <s v="12/20/2025 2:01:08 AM"/>
    <x v="0"/>
    <s v="SR021217253029"/>
    <s v="RK120"/>
    <m/>
    <s v="12/20/2025"/>
    <x v="0"/>
    <s v="GB200 IPMI no response/ no IP detected"/>
    <s v="GB300 L10"/>
    <x v="1"/>
    <s v="A968459X5C04119"/>
    <s v="A968459X5C05761"/>
    <s v="Rack"/>
    <s v="TX2-5S"/>
    <n v="3908"/>
    <s v="InTest"/>
  </r>
  <r>
    <s v="P25C03937"/>
    <s v="12/20/2025 9:38:28 AM"/>
    <x v="0"/>
    <s v="SR021216254364"/>
    <s v="RK024"/>
    <m/>
    <s v="12/20/2025"/>
    <x v="0"/>
    <s v="Bent pin 位置 SW0 SW1"/>
    <s v="Cable Cartridge"/>
    <x v="3"/>
    <n v="2024225880815"/>
    <n v="1824025185387"/>
    <s v="Rack"/>
    <s v="TX2-5S"/>
    <n v="718"/>
    <s v="InTest"/>
  </r>
  <r>
    <s v="P25C03947"/>
    <s v="12/20/2025 10:36:39 AM"/>
    <x v="0"/>
    <s v="SR021217252272"/>
    <s v="RK098"/>
    <m/>
    <s v="12/20/2025"/>
    <x v="0"/>
    <s v="Rack0_SW6_acp104,CC3_C7_Lane_13, link_none,0, 0, 交換驗證固定位置_已更換_PM1265"/>
    <s v="GB300 L10"/>
    <x v="1"/>
    <s v="A968459X5C06164"/>
    <s v="A968459X5C05512"/>
    <s v="Rack"/>
    <s v="TX2-5S"/>
    <n v="1237"/>
    <s v="InTest"/>
  </r>
  <r>
    <s v="P25C03948"/>
    <s v="12/20/2025 10:42:09 AM"/>
    <x v="0"/>
    <s v="SR021217253029"/>
    <s v="RK098"/>
    <m/>
    <s v="12/20/2025"/>
    <x v="0"/>
    <s v="A968459X5C08234 A leak was detected by the sensor Cha0LeaDete1Mani on the cold plates - [WARNING]_更換單機_TW640"/>
    <s v="GB300 L10"/>
    <x v="1"/>
    <s v="A968459X5C08234"/>
    <s v="A968459X5C06398"/>
    <s v="Rack"/>
    <s v="TX2-5S"/>
    <n v="640"/>
    <s v="InTest"/>
  </r>
  <r>
    <s v="P25C03978"/>
    <s v="12/20/2025 2:00:05 PM"/>
    <x v="0"/>
    <s v="SR021212254272"/>
    <s v="RK098"/>
    <m/>
    <s v="12/20/2025"/>
    <x v="0"/>
    <s v="COMPUTE_NODE_2 | MODS-000000000140 | ThermalSteadyState | powersync @(Rack slot 3, CBC 2, 4x19 connector 2, column 18, pins A/B, G/H, C/D, E/F) PEER (Rack slot 9, CBC 2, 8x10 connector 4, column 4, pins C/D, G/H, A/B, E/F, port acp82)"/>
    <s v="GB300 L10"/>
    <x v="1"/>
    <s v="A968459X5B16710"/>
    <s v="A968459X5B16022"/>
    <s v="Rack"/>
    <s v="TX2-5S"/>
    <n v="718"/>
    <s v="InTest"/>
  </r>
  <r>
    <s v="P25C03984"/>
    <s v="12/20/2025 2:29:40 PM"/>
    <x v="0"/>
    <s v="SR021216254364"/>
    <s v="RK098"/>
    <m/>
    <s v="12/20/2025"/>
    <x v="0"/>
    <s v="Rack0_SW3_acp1 CC0_C0_Lane_6 link_none"/>
    <s v="GB300 L10"/>
    <x v="1"/>
    <s v="A968459X5C03540"/>
    <s v="A968459X5C10212"/>
    <s v="Rack"/>
    <s v="TX2-5S"/>
    <n v="718"/>
    <s v="InTest"/>
  </r>
  <r>
    <s v="P25C03994"/>
    <s v="12/20/2025 2:47:33 PM"/>
    <x v="0"/>
    <s v="SR021217255033"/>
    <s v="RK098"/>
    <m/>
    <s v="12/20/2025"/>
    <x v="0"/>
    <s v="自動關機_二次驗證_交換機櫃一樣_遠端GPU過熱_已更換_PM1265"/>
    <s v="GB300 L10"/>
    <x v="1"/>
    <s v="A968459X5C08718"/>
    <s v="A968459X5C10214"/>
    <s v="Rack"/>
    <s v="TX2-5S"/>
    <n v="640"/>
    <s v="InTest"/>
  </r>
  <r>
    <s v="P25C04004"/>
    <s v="12/20/2025 4:43:05 PM"/>
    <x v="0"/>
    <s v="SR021217253807"/>
    <s v="RK202"/>
    <m/>
    <s v="12/20/2025"/>
    <x v="0"/>
    <s v="L11 Compute Node Information Consistent Check fail"/>
    <s v="GB300 L10"/>
    <x v="1"/>
    <s v="A968459X5C09525"/>
    <s v="A968459X5C06952"/>
    <s v="Rack"/>
    <s v="TX2-5S"/>
    <n v="90066"/>
    <s v="InTest"/>
  </r>
  <r>
    <s v="P25C04015"/>
    <s v="12/20/2025 5:13:41 PM"/>
    <x v="0"/>
    <s v="SR021217258175"/>
    <s v="RK203"/>
    <m/>
    <s v="12/20/2025"/>
    <x v="0"/>
    <s v="L11 Power Shelf Information Check fail (CANNOT UPDATE)"/>
    <s v="Power Shelf Control Module"/>
    <x v="0"/>
    <s v="T525472454"/>
    <s v="SV25383145"/>
    <s v="Rack"/>
    <s v="TX2-5S"/>
    <n v="90066"/>
    <s v="InTest"/>
  </r>
  <r>
    <s v="P25C04028"/>
    <s v="12/20/2025 6:17:33 PM"/>
    <x v="0"/>
    <s v="SR021217258175"/>
    <s v="RK202"/>
    <m/>
    <s v="12/20/2025"/>
    <x v="0"/>
    <s v="L11 Compute Node Information Consistent Check fail"/>
    <s v="GB300 L10"/>
    <x v="1"/>
    <s v="A968459X5B15854"/>
    <s v="A968459X5C08709"/>
    <s v="Rack"/>
    <s v="TX2-5S"/>
    <n v="90066"/>
    <s v="InTest"/>
  </r>
  <r>
    <s v="P25C04030"/>
    <s v="12/20/2025 6:22:16 PM"/>
    <x v="0"/>
    <s v="SR021217253807"/>
    <s v="RK202"/>
    <m/>
    <s v="12/20/2025"/>
    <x v="0"/>
    <s v="L11 Compute Node Information Consistent Check fail"/>
    <s v="GB300 L10"/>
    <x v="1"/>
    <s v="A968459X5C06952"/>
    <s v="A968459X5C10195"/>
    <s v="Rack"/>
    <s v="TX2-5S"/>
    <n v="90066"/>
    <s v="InTest"/>
  </r>
  <r>
    <s v="P25C04042"/>
    <s v="12/20/2025 7:50:34 PM"/>
    <x v="0"/>
    <s v="SR021217253029"/>
    <s v="RK101"/>
    <m/>
    <s v="12/20/2025"/>
    <x v="0"/>
    <s v="GB200 Firmware flash Power failed on turn ON after 3 appempts"/>
    <s v="GB300 L10"/>
    <x v="1"/>
    <s v="A968459X5C05815"/>
    <s v="A968459X5C10836"/>
    <s v="Rack"/>
    <s v="TX2-5S"/>
    <n v="90131"/>
    <s v="InTest"/>
  </r>
  <r>
    <s v="P25C04044"/>
    <s v="12/20/2025 8:03:38 PM"/>
    <x v="0"/>
    <s v="SR021217252272"/>
    <s v="RK101"/>
    <m/>
    <s v="12/20/2025"/>
    <x v="0"/>
    <s v="GB200 Firmware flash Power failed on turn ON after 3 appempts"/>
    <s v="GB300 L10"/>
    <x v="1"/>
    <s v="A968459X5C05512"/>
    <s v="A968459X5C09466"/>
    <s v="Rack"/>
    <s v="TX2-5S"/>
    <n v="90131"/>
    <s v="InTest"/>
  </r>
  <r>
    <s v="P25C04045"/>
    <s v="12/20/2025 8:08:53 PM"/>
    <x v="0"/>
    <s v="SR021217259281"/>
    <s v="RK202"/>
    <m/>
    <s v="12/20/2025"/>
    <x v="0"/>
    <s v="switch 1 dev 1 topo 0, nvlink 35)] @(Rack slot 12, CBC 4, 8x10 connector 7, column 1, pins C/D, G/H, A/B, E/F, port acp108) PEER (Rack slot 18, CBC 4, 4x19 connector 4, column 12, pins A/B, G/H, C/D, E/F)"/>
    <s v="GB300 L10"/>
    <x v="1"/>
    <s v="A968459X5C08183"/>
    <s v="A968459X5C09469"/>
    <s v="Rack"/>
    <s v="TX2-5S"/>
    <n v="90131"/>
    <s v="InTest"/>
  </r>
  <r>
    <s v="P25C04061"/>
    <s v="12/20/2025 9:15:57 PM"/>
    <x v="0"/>
    <s v="SR021219254406"/>
    <s v="RK202"/>
    <m/>
    <s v="12/20/2025"/>
    <x v="0"/>
    <s v="RK202 GB200 L11 Compute Node Information Consistent Check fail"/>
    <s v="GB300 L10"/>
    <x v="1"/>
    <s v="A968459X5C08229"/>
    <s v="A968459X5C08678"/>
    <s v="Rack"/>
    <s v="TX2-5S"/>
    <n v="90066"/>
    <s v="InTest"/>
  </r>
  <r>
    <s v="P25C04065"/>
    <s v="12/20/2025 9:50:13 PM"/>
    <x v="0"/>
    <s v="SR021216251152"/>
    <s v="RK099"/>
    <m/>
    <s v="12/20/2025"/>
    <x v="0"/>
    <s v="Auto shutdown in Run In (燒機自動關機) 跑到PXE會自動關機或還沒跑到PXE也會自動關機"/>
    <s v="GB300 L10"/>
    <x v="1"/>
    <s v="A968459X5C08509"/>
    <s v="A968459X5C09665"/>
    <s v="Rack"/>
    <s v="TX2-5S"/>
    <n v="3908"/>
    <s v="InTest"/>
  </r>
  <r>
    <s v="P25C04071"/>
    <s v="12/20/2025 10:16:05 PM"/>
    <x v="0"/>
    <s v="SR021217254642"/>
    <s v="RK024"/>
    <m/>
    <s v="12/20/2025"/>
    <x v="0"/>
    <s v="switch_tray Rack0_SW0_acp55 CC2_C13_Lane_0 comp_tray Rack0_SW0_acp55 CC2_C13_Lane_0"/>
    <s v="Cable Cartridge"/>
    <x v="3"/>
    <n v="2024225881134"/>
    <n v="2024225880936"/>
    <s v="Rack"/>
    <s v="TX2-5S"/>
    <n v="90131"/>
    <s v="InTest"/>
  </r>
  <r>
    <s v="P25C04072"/>
    <s v="12/20/2025 10:17:51 PM"/>
    <x v="1"/>
    <s v="SR021217252407"/>
    <s v="RK024"/>
    <m/>
    <s v="12/20/2025"/>
    <x v="0"/>
    <s v="switch_tray Rack0_SW5_acp75 CC2_C0_Lane_11 link_bad_quality_high_ber 1e-05 9 sudo mlxlink -d /dev/mst/mt54004_pci_cr1 -p 1/2/1 -c --rx_fec_histogram --show_histogram -json"/>
    <s v="Cable Cartridge"/>
    <x v="3"/>
    <n v="1822825355765"/>
    <n v="2024225880781"/>
    <s v="Rack"/>
    <s v="TX2-5S"/>
    <n v="90131"/>
    <s v="InTest"/>
  </r>
  <r>
    <s v="P25C04073"/>
    <s v="12/20/2025 10:50:37 PM"/>
    <x v="0"/>
    <s v="SR021216254364"/>
    <s v="RK024"/>
    <m/>
    <s v="12/20/2025"/>
    <x v="0"/>
    <s v="Cable cartridge Defect_CC0導致燒機FAIL - Rack0_SW3_acp1 CC0_C0_Lane_6 link_none"/>
    <s v="Cable Cartridge"/>
    <x v="3"/>
    <n v="2024225880794"/>
    <n v="2024225880764"/>
    <s v="Rack"/>
    <s v="TX2-5S"/>
    <n v="90131"/>
    <s v="InTest"/>
  </r>
  <r>
    <s v="P25C04075"/>
    <s v="12/20/2025 11:05:53 PM"/>
    <x v="0"/>
    <s v="SR021219253142"/>
    <s v="RK024"/>
    <m/>
    <s v="12/20/2025"/>
    <x v="0"/>
    <s v="L11 Cable cartridge Defect (BENT PIN)"/>
    <s v="Cable Cartridge"/>
    <x v="3"/>
    <n v="2024225881233"/>
    <n v="2024325880285"/>
    <s v="Rack"/>
    <s v="TX2-5S"/>
    <n v="90066"/>
    <s v="InTest"/>
  </r>
  <r>
    <s v="P25C04076"/>
    <s v="12/20/2025 11:07:53 PM"/>
    <x v="0"/>
    <s v="SR021219253142"/>
    <s v="RK201"/>
    <m/>
    <s v="12/20/2025"/>
    <x v="0"/>
    <s v="L11 NVLink Switch Information Consistent Check fail (BACK PORT Cause BENT PIN)"/>
    <s v="NVSwitch"/>
    <x v="2"/>
    <s v="MT2532601CBL"/>
    <s v="E89E49371A66"/>
    <s v="Rack"/>
    <s v="TX2-5S"/>
    <n v="90066"/>
    <s v="InTest"/>
  </r>
  <r>
    <s v="P25C04082"/>
    <s v="12/22/2025 6:51:50 AM"/>
    <x v="0"/>
    <s v="SR021216255360"/>
    <s v="RK023"/>
    <m/>
    <s v="12/21/2025"/>
    <x v="0"/>
    <s v="L11 TEST FAIL:Compute Tray L11 FD Test [FAIL]"/>
    <s v="NVSwitch"/>
    <x v="2"/>
    <s v="MT25336002C8"/>
    <s v="MT2529605BFH"/>
    <s v="Rack"/>
    <s v="TX2-5S"/>
    <n v="1519"/>
    <s v="InTest"/>
  </r>
  <r>
    <s v="P25C04084"/>
    <s v="12/21/2025 10:30:15 AM"/>
    <x v="0"/>
    <s v="SR021217252272"/>
    <s v="RK098"/>
    <m/>
    <s v="12/21/2025"/>
    <x v="0"/>
    <s v="10.10.28.64 only 0 Fabric state shows A968459X5C09466_更換單機_TW640"/>
    <s v="GB300 L10"/>
    <x v="1"/>
    <s v="A968459X5C09466"/>
    <s v="A968459X5C10062"/>
    <s v="Rack"/>
    <s v="TX2-5S"/>
    <n v="640"/>
    <s v="InTest"/>
  </r>
  <r>
    <s v="P25C04090"/>
    <s v="12/21/2025 3:01:56 PM"/>
    <x v="0"/>
    <s v="SR021219253574"/>
    <s v="RK098"/>
    <m/>
    <s v="12/21/2025"/>
    <x v="0"/>
    <s v="Use to replace L10 servers that have failed Rburn test from the rack. (更換Rack Rburn test fail的 L10系統)"/>
    <s v="GB300 L10"/>
    <x v="1"/>
    <s v="A968459X5C09698"/>
    <s v="A968459X5C05034"/>
    <s v="Rack"/>
    <s v="TX2-5S"/>
    <n v="640"/>
    <s v="InTest"/>
  </r>
  <r>
    <s v="P25C04115"/>
    <s v="12/21/2025 4:27:16 PM"/>
    <x v="0"/>
    <s v="SR021217258175"/>
    <s v="RK202"/>
    <m/>
    <s v="12/21/2025"/>
    <x v="0"/>
    <s v="L11 Compute Node Information Consistent Check fail"/>
    <s v="GB300 L10"/>
    <x v="1"/>
    <s v="A968459X5B16283"/>
    <s v="A968459X5C00331"/>
    <s v="Rack"/>
    <s v="TX2-5S"/>
    <n v="90066"/>
    <s v="InTest"/>
  </r>
  <r>
    <s v="P25C04117"/>
    <s v="12/21/2025 4:56:55 PM"/>
    <x v="0"/>
    <s v="SR021217253029"/>
    <s v="RK205"/>
    <m/>
    <s v="12/21/2025"/>
    <x v="0"/>
    <s v="Error while invoking api /redfish/v1/Chassis/CBC_2. Error message =&gt; The requested resource of type Chassis named 'CBC_2' was not found."/>
    <s v="GB300 L10"/>
    <x v="1"/>
    <s v="A968459X5C06066"/>
    <s v="A968459X5C10060"/>
    <s v="Rack"/>
    <s v="TX2-5S"/>
    <n v="90168"/>
    <s v="InTest"/>
  </r>
  <r>
    <s v="P25C04123"/>
    <s v="12/21/2025 5:27:17 PM"/>
    <x v="0"/>
    <s v="SR021216254364"/>
    <s v="RK205"/>
    <m/>
    <s v="12/21/2025"/>
    <x v="0"/>
    <s v="only 3 Fabric state shows OK, expected 4 -fail and only 54 NVLink status shows OK, expected 72 -fail"/>
    <s v="GB300 L10"/>
    <x v="1"/>
    <s v="A968459X5C10212"/>
    <s v="A968459X5C03437"/>
    <s v="Rack"/>
    <s v="TX2-5S"/>
    <n v="90168"/>
    <s v="InTest"/>
  </r>
  <r>
    <s v="P25C04141"/>
    <s v="12/21/2025 10:40:52 PM"/>
    <x v="0"/>
    <s v="SR021216251126"/>
    <s v="RK099"/>
    <m/>
    <s v="12/21/2025"/>
    <x v="0"/>
    <s v="out of 16 fan only 15 fan shows"/>
    <s v="GB300 L10"/>
    <x v="1"/>
    <s v="A968459X5C09461"/>
    <s v="A968459X5C11061"/>
    <s v="Rack"/>
    <s v="TX2-5S"/>
    <n v="3908"/>
    <s v="InTest"/>
  </r>
  <r>
    <s v="P25C04145"/>
    <s v="12/22/2025 8:15:05 AM"/>
    <x v="0"/>
    <s v="SR021217257603"/>
    <s v="RK023"/>
    <m/>
    <s v="12/22/2025"/>
    <x v="0"/>
    <s v="L11 TEST FAIL: all sw6 link_none_12/22 PM894 協助過帳"/>
    <s v="NVSwitch"/>
    <x v="2"/>
    <s v="MT25326015A8"/>
    <s v="MT2529605BCW"/>
    <s v="Rack"/>
    <s v="TX2-5S"/>
    <n v="1519"/>
    <s v="InTest"/>
  </r>
  <r>
    <s v="P25C04146"/>
    <s v="12/22/2025 9:18:14 AM"/>
    <x v="0"/>
    <s v="SR021217251368"/>
    <s v="RK024"/>
    <m/>
    <s v="12/22/2025"/>
    <x v="0"/>
    <s v="L11 TEST FAIL:CC2 link_none_12/22 PM894 協助過帳"/>
    <s v="Cable Cartridge"/>
    <x v="3"/>
    <n v="2024225880821"/>
    <n v="2024325880366"/>
    <s v="Rack"/>
    <s v="TX2-5S"/>
    <n v="1519"/>
    <s v="InTest"/>
  </r>
  <r>
    <s v="P25C04147"/>
    <s v="12/22/2025 9:18:41 AM"/>
    <x v="0"/>
    <s v="SR021217258175"/>
    <s v="RK024"/>
    <m/>
    <s v="12/22/2025"/>
    <x v="0"/>
    <s v="L11 TEST FAIL:CC2 link_none_12/22 PM894 協助過帳"/>
    <s v="Cable Cartridge"/>
    <x v="3"/>
    <n v="2024425880525"/>
    <n v="2024325880329"/>
    <s v="Rack"/>
    <s v="TX2-5S"/>
    <n v="1519"/>
    <s v="InTest"/>
  </r>
  <r>
    <s v="P25C04149"/>
    <s v="12/22/2025 7:48:09 AM"/>
    <x v="0"/>
    <s v="SR021219258453"/>
    <s v="RK098"/>
    <m/>
    <s v="12/22/2025"/>
    <x v="0"/>
    <s v="Highest Value: 5.80942e-10 - Port: SWITCH_NODE_13, NVLINK 13, Chassis Slot 22, Tray 12, Remote Device, Remote Port 52, Remote GUID 0x204d520300b6ee80"/>
    <s v="GB300 L10"/>
    <x v="1"/>
    <s v="A968459X5C09468"/>
    <s v="A968459X5C07278"/>
    <s v="Rack"/>
    <s v="TX2-5S"/>
    <n v="718"/>
    <s v="InTest"/>
  </r>
  <r>
    <s v="P25C04150"/>
    <s v="12/22/2025 7:50:10 AM"/>
    <x v="0"/>
    <s v="SR021219256021"/>
    <s v="RK098"/>
    <m/>
    <s v="12/22/2025"/>
    <x v="0"/>
    <s v="SWITCH_NODE_7, NVLINK 16, Chassis Slot 15, Tray 6, Remote Device, Remote Port 13, Remote GUID 0x659705c96113992f FecTotalRawBer Bit Error Rate"/>
    <s v="GB300 L10"/>
    <x v="1"/>
    <s v="A968459X5C06944"/>
    <s v="A968459X5C07269"/>
    <s v="Rack"/>
    <s v="TX2-5S"/>
    <n v="718"/>
    <s v="InTest"/>
  </r>
  <r>
    <s v="P25C04175"/>
    <s v="12/22/2025 8:56:46 AM"/>
    <x v="0"/>
    <s v="SR021219258098"/>
    <s v="RK098"/>
    <m/>
    <s v="12/22/2025"/>
    <x v="0"/>
    <s v="自動關機"/>
    <s v="GB300 L10"/>
    <x v="1"/>
    <s v="A968459X5C10824"/>
    <s v="A968459X5C07270"/>
    <s v="Rack"/>
    <s v="TX2-5S"/>
    <n v="718"/>
    <s v="InTest"/>
  </r>
  <r>
    <s v="P25C04176"/>
    <s v="12/22/2025 8:58:43 AM"/>
    <x v="0"/>
    <s v="SR021219253630"/>
    <s v="RK098"/>
    <m/>
    <s v="12/22/2025"/>
    <x v="0"/>
    <s v="10.10.106.68 only 0 Fabric state shows A968459X5B04684固定位置"/>
    <s v="GB300 L10"/>
    <x v="1"/>
    <s v="A968459X5B04684"/>
    <s v="A968459X5B14272"/>
    <s v="Rack"/>
    <s v="TX2-5S"/>
    <n v="640"/>
    <s v="InTest"/>
  </r>
  <r>
    <s v="P25C04198"/>
    <s v="12/22/2025 12:57:50 PM"/>
    <x v="0"/>
    <s v="SR021219253574"/>
    <s v="RK024"/>
    <m/>
    <s v="12/22/2025"/>
    <x v="0"/>
    <s v="Cable cartridge Defect"/>
    <s v="Cable Cartridge"/>
    <x v="3"/>
    <n v="2024225880962"/>
    <n v="2024225881095"/>
    <s v="Rack"/>
    <s v="TX2-5S"/>
    <n v="640"/>
    <s v="InTest"/>
  </r>
  <r>
    <s v="P25C04262"/>
    <s v="12/22/2025 4:11:50 PM"/>
    <x v="0"/>
    <s v="SR021217251368"/>
    <s v="RK202"/>
    <m/>
    <s v="12/22/2025"/>
    <x v="0"/>
    <s v="L11 Compute Node Information Consistent Check fail"/>
    <s v="GB300 L10"/>
    <x v="1"/>
    <s v="A968459X5C08603"/>
    <s v="A968459X5C11545"/>
    <s v="Rack"/>
    <s v="TX2-5S"/>
    <n v="90066"/>
    <s v="InTest"/>
  </r>
  <r>
    <s v="P25C04274"/>
    <s v="12/22/2025 6:02:17 PM"/>
    <x v="0"/>
    <s v="SR021220257591"/>
    <s v="RK099"/>
    <m/>
    <s v="12/22/2025"/>
    <x v="0"/>
    <s v="Auto shutdown"/>
    <s v="GB300 L10"/>
    <x v="1"/>
    <s v="A968459X5C08294"/>
    <s v="A968459X5C10034"/>
    <s v="Rack"/>
    <s v="TX2-5S"/>
    <n v="3908"/>
    <s v="InTest"/>
  </r>
  <r>
    <s v="P25C04281"/>
    <s v="12/22/2025 6:08:59 PM"/>
    <x v="0"/>
    <s v="SR021219253630"/>
    <s v="RK024"/>
    <m/>
    <s v="12/22/2025"/>
    <x v="0"/>
    <s v="Cable Cartridge Defect_CC1導致燒機FAIL"/>
    <s v="Cable Cartridge"/>
    <x v="3"/>
    <n v="2024225880798"/>
    <n v="2024225880908"/>
    <s v="Rack"/>
    <s v="TX2-5S"/>
    <n v="3908"/>
    <s v="InTest"/>
  </r>
  <r>
    <s v="P25C04284"/>
    <s v="12/22/2025 6:19:19 PM"/>
    <x v="0"/>
    <s v="SR021220259147"/>
    <s v="RK109"/>
    <m/>
    <s v="12/22/2025"/>
    <x v="0"/>
    <s v="No power led light"/>
    <s v="GB300 L10"/>
    <x v="1"/>
    <s v="A968459X5C05504"/>
    <s v="A968459X5C08758"/>
    <s v="Rack"/>
    <s v="TX2-5S"/>
    <n v="3908"/>
    <s v="InTest"/>
  </r>
  <r>
    <s v="P25C04296"/>
    <s v="12/22/2025 6:33:00 PM"/>
    <x v="0"/>
    <s v="SR021217258175"/>
    <s v="RK202"/>
    <m/>
    <s v="12/22/2025"/>
    <x v="0"/>
    <s v="L11 Compute Node Information Consistent Check fail"/>
    <s v="GB300 L10"/>
    <x v="1"/>
    <s v="A968459X5B08877"/>
    <s v="A968459X5C00327"/>
    <s v="Rack"/>
    <s v="TX2-5S"/>
    <n v="90066"/>
    <s v="InTest"/>
  </r>
  <r>
    <s v="P25C04321"/>
    <s v="12/22/2025 8:13:22 PM"/>
    <x v="0"/>
    <s v="SR021219253630"/>
    <s v="RK209"/>
    <m/>
    <s v="12/22/2025"/>
    <x v="0"/>
    <s v="System lspci tool only detected 3 GPU and it does not match the requesed 4"/>
    <s v="GB300 L10"/>
    <x v="1"/>
    <s v="A968459X5B08453"/>
    <s v="A968459X5B12139"/>
    <s v="Rack"/>
    <s v="TX2-5S"/>
    <n v="90131"/>
    <s v="InTest"/>
  </r>
  <r>
    <s v="P25C04333"/>
    <s v="12/22/2025 8:54:03 PM"/>
    <x v="0"/>
    <s v="SR021220255775"/>
    <s v="RK202"/>
    <m/>
    <s v="12/22/2025"/>
    <x v="0"/>
    <s v="L11 Compute Node Information Consistent Check fail"/>
    <s v="GB300 L10"/>
    <x v="1"/>
    <s v="A968459X5B15867"/>
    <s v="A968459X5C01482"/>
    <s v="Rack"/>
    <s v="TX2-5S"/>
    <n v="90066"/>
    <s v="InTest"/>
  </r>
  <r>
    <s v="P25C04335"/>
    <s v="12/22/2025 8:58:29 PM"/>
    <x v="0"/>
    <s v="SR021220255775"/>
    <s v="RK202"/>
    <m/>
    <s v="12/22/2025"/>
    <x v="0"/>
    <s v="L11 Compute Node Information Consistent Check fail"/>
    <s v="GB300 L10"/>
    <x v="1"/>
    <s v="A968459X5C01482"/>
    <s v="A968459X5B14897"/>
    <s v="Rack"/>
    <s v="TX2-5S"/>
    <n v="90066"/>
    <s v="InTest"/>
  </r>
  <r>
    <s v="P25C04337"/>
    <s v="12/22/2025 9:13:59 PM"/>
    <x v="0"/>
    <s v="SR021220258109"/>
    <s v="RK109"/>
    <m/>
    <s v="12/22/2025"/>
    <x v="0"/>
    <s v="Auto Shutdown"/>
    <s v="GB300 L10"/>
    <x v="1"/>
    <s v="A968459X5C03941"/>
    <s v="A968459X5C12434"/>
    <s v="Rack"/>
    <s v="TX2-5S"/>
    <n v="90168"/>
    <s v="InTest"/>
  </r>
  <r>
    <s v="P25C04338"/>
    <s v="12/22/2025 9:16:19 PM"/>
    <x v="0"/>
    <s v="SR021220258109"/>
    <s v="RK109"/>
    <m/>
    <s v="12/22/2025"/>
    <x v="0"/>
    <s v="Auto Shutdown"/>
    <s v="GB300 L10"/>
    <x v="1"/>
    <s v="A968459X5C08736"/>
    <s v="A968459X5C08211"/>
    <s v="Rack"/>
    <s v="TX2-5S"/>
    <n v="90168"/>
    <s v="InTest"/>
  </r>
  <r>
    <s v="P25C04339"/>
    <s v="12/22/2025 9:26:24 PM"/>
    <x v="0"/>
    <s v="SR021220255775"/>
    <s v="RK202"/>
    <m/>
    <s v="12/22/2025"/>
    <x v="0"/>
    <s v="L11 Compute Node Information Consistent Check fail"/>
    <s v="GB300 L10"/>
    <x v="1"/>
    <s v="A968459X5B14885"/>
    <s v="A968459X5B16716"/>
    <s v="Rack"/>
    <s v="TX2-5S"/>
    <n v="90066"/>
    <s v="InTest"/>
  </r>
  <r>
    <s v="P25C04344"/>
    <s v="12/22/2025 9:37:20 PM"/>
    <x v="0"/>
    <s v="SR021220255885"/>
    <s v="RK202"/>
    <m/>
    <s v="12/22/2025"/>
    <x v="0"/>
    <s v="L11 Compute Node Information Consistent Check fail"/>
    <s v="GB300 L10"/>
    <x v="1"/>
    <s v="A968459X5C09715"/>
    <s v="A968459X5C10805"/>
    <s v="Rack"/>
    <s v="TX2-5S"/>
    <n v="90066"/>
    <s v="InTest"/>
  </r>
  <r>
    <s v="P25C04346"/>
    <s v="12/22/2025 9:44:14 PM"/>
    <x v="0"/>
    <s v="SR021220259147"/>
    <s v="RK120"/>
    <m/>
    <s v="12/22/2025"/>
    <x v="0"/>
    <s v="GB200 IPMI no response/ no IP detected"/>
    <s v="GB300 L10"/>
    <x v="1"/>
    <s v="A968459X5C04476"/>
    <s v="A968459X5C12435"/>
    <s v="Rack"/>
    <s v="TX2-5S"/>
    <n v="3908"/>
    <s v="InTest"/>
  </r>
  <r>
    <s v="P25C04354"/>
    <s v="12/22/2025 10:28:27 PM"/>
    <x v="0"/>
    <s v="SR021220259889"/>
    <s v="RK202"/>
    <m/>
    <s v="12/22/2025"/>
    <x v="0"/>
    <s v="L11 Compute Node Information Consistent Check fail"/>
    <s v="GB300 L10"/>
    <x v="1"/>
    <s v="A968459X5C05062"/>
    <s v="A968459X5C08648"/>
    <s v="Rack"/>
    <s v="TX2-5S"/>
    <n v="90066"/>
    <s v="InTest"/>
  </r>
  <r>
    <s v="P25C04357"/>
    <s v="12/22/2025 10:43:50 PM"/>
    <x v="0"/>
    <s v="SR021219259056"/>
    <s v="RK004"/>
    <m/>
    <s v="12/22/2025"/>
    <x v="0"/>
    <s v="Acceptable temperature limits exceeded or the thermal sensor is broken or miscalibrated Rack slot 3 CBC 2 4x19 connector 2"/>
    <s v="GB300 L10"/>
    <x v="1"/>
    <s v="A968459X5C08737"/>
    <s v="A968459X5C12438"/>
    <s v="Rack"/>
    <s v="TX2-5S"/>
    <n v="90168"/>
    <s v="InTest"/>
  </r>
  <r>
    <s v="P25C04358"/>
    <s v="12/22/2025 11:06:25 PM"/>
    <x v="0"/>
    <s v="SR021219258453"/>
    <s v="RK024"/>
    <m/>
    <s v="12/22/2025"/>
    <x v="0"/>
    <s v="raw_lane_ber error value of 1e-05 exceeded threshold of 1e-06 on (0018:06:00.0_SN_1655025116035, nvlink 12)] @(Rack slot 22, CBC 4, 4x19 connector 4, column 7, pins C/D, E/F)"/>
    <s v="Cable Cartridge"/>
    <x v="3"/>
    <n v="2024225881177"/>
    <n v="2024225881092"/>
    <s v="Rack"/>
    <s v="TX2-5S"/>
    <n v="90168"/>
    <s v="InTest"/>
  </r>
  <r>
    <s v="P25C04360"/>
    <s v="12/22/2025 11:27:53 PM"/>
    <x v="0"/>
    <s v="SR021220259812"/>
    <s v="RK205"/>
    <m/>
    <s v="12/22/2025"/>
    <x v="0"/>
    <s v="only 54 NVLink status shows OK, expected 72 &amp; only 3 Fabric state shows OK, expected 4"/>
    <s v="GB300 L10"/>
    <x v="1"/>
    <s v="A968459X5C06940"/>
    <s v="A968459X5C12441"/>
    <s v="Rack"/>
    <s v="TX2-5S"/>
    <n v="3908"/>
    <s v="InTest"/>
  </r>
  <r>
    <s v="P25C04402"/>
    <s v="12/23/2025 7:47:33 AM"/>
    <x v="0"/>
    <s v="SR021220253971"/>
    <s v="RK022"/>
    <m/>
    <s v="12/23/2025"/>
    <x v="0"/>
    <s v="L11 TEST FAIL:powershelf #3 update fail 12/23 PM894 協助過帳"/>
    <s v="Delta power shelf right input"/>
    <x v="5"/>
    <s v="DGPSU2543021Q"/>
    <s v="DGPSU254300LJ"/>
    <s v="Rack"/>
    <s v="TX2-5S"/>
    <n v="1519"/>
    <s v="InTest"/>
  </r>
  <r>
    <s v="P25C04403"/>
    <s v="12/23/2025 7:47:33 AM"/>
    <x v="0"/>
    <s v="SR021220253971"/>
    <s v="RK022"/>
    <m/>
    <s v="12/23/2025"/>
    <x v="0"/>
    <s v="L11 TEST FAIL:powershelf #3 update fail 12/23 PM894 協助過帳"/>
    <s v="Delta Power Shelf Left Input"/>
    <x v="4"/>
    <s v="DGPST2544020S"/>
    <s v="THAS92547009E"/>
    <s v="Rack"/>
    <s v="TX2-5S"/>
    <n v="1519"/>
    <s v="InTest"/>
  </r>
  <r>
    <s v="P25C04413"/>
    <s v="12/23/2025 10:31:26 AM"/>
    <x v="0"/>
    <s v="SR021220251504"/>
    <s v="RK024"/>
    <m/>
    <s v="12/23/2025"/>
    <x v="0"/>
    <s v="CC0 BENT PIN(slot17) 12/23 PM894 協助過帳"/>
    <s v="Cable Cartridge"/>
    <x v="3"/>
    <n v="1824025185460"/>
    <n v="2024325880292"/>
    <s v="Rack"/>
    <s v="TX2-5S"/>
    <n v="924"/>
    <s v="InTest"/>
  </r>
  <r>
    <s v="P25C04414"/>
    <s v="12/23/2025 8:14:07 AM"/>
    <x v="0"/>
    <s v="SR021219253574"/>
    <s v="RK098"/>
    <m/>
    <s v="12/23/2025"/>
    <x v="0"/>
    <s v="Compute Tray L11 FD Test [FAIL] Rack0_SW7_acp57 CC0_C14_Lane_14 link_bad_quality_high_ber"/>
    <s v="GB300 L10"/>
    <x v="1"/>
    <s v="A968459X5C09682"/>
    <s v="A968459X5C08793"/>
    <s v="Rack"/>
    <s v="TX2-5S"/>
    <n v="718"/>
    <s v="InTest"/>
  </r>
  <r>
    <s v="P25C04437"/>
    <s v="12/23/2025 1:27:00 PM"/>
    <x v="0"/>
    <s v="SR021220259103"/>
    <s v="RK024"/>
    <m/>
    <s v="12/23/2025"/>
    <x v="0"/>
    <s v="CC2 BENT PIN(slot13) 12/23 PM894 協助過帳"/>
    <s v="Cable Cartridge"/>
    <x v="3"/>
    <n v="1823725356348"/>
    <n v="2024325880375"/>
    <s v="Rack"/>
    <s v="TX2-5S"/>
    <n v="924"/>
    <s v="InTest"/>
  </r>
  <r>
    <s v="P25C04442"/>
    <s v="12/23/2025 10:19:14 AM"/>
    <x v="0"/>
    <s v="SR021220251012"/>
    <s v="RK098"/>
    <m/>
    <s v="12/23/2025"/>
    <x v="0"/>
    <s v="sensor missing 燈號閃爍"/>
    <s v="GB300 L10"/>
    <x v="1"/>
    <s v="A968459X5C09698"/>
    <s v="A968459X5C08881"/>
    <s v="Rack"/>
    <s v="TX2-5S"/>
    <n v="1237"/>
    <s v="InTest"/>
  </r>
  <r>
    <s v="P25C04444"/>
    <s v="12/23/2025 10:19:14 AM"/>
    <x v="0"/>
    <s v="SR021220251012"/>
    <s v="RK098"/>
    <m/>
    <s v="12/23/2025"/>
    <x v="0"/>
    <s v="自動關機"/>
    <s v="GB300 L10"/>
    <x v="1"/>
    <s v="A968459X5C05778"/>
    <s v="A968459X5C08305"/>
    <s v="Rack"/>
    <s v="TX2-5S"/>
    <n v="1237"/>
    <s v="InTest"/>
  </r>
  <r>
    <s v="P25C04445"/>
    <s v="12/23/2025 10:19:14 AM"/>
    <x v="0"/>
    <s v="SR021220251012"/>
    <s v="RK098"/>
    <m/>
    <s v="12/23/2025"/>
    <x v="0"/>
    <s v="自動關機"/>
    <s v="GB300 L10"/>
    <x v="1"/>
    <s v="A968459X5C05512"/>
    <s v="A968459X5C08878"/>
    <s v="Rack"/>
    <s v="TX2-5S"/>
    <n v="1237"/>
    <s v="InTest"/>
  </r>
  <r>
    <s v="P25C04485"/>
    <s v="12/23/2025 12:40:27 PM"/>
    <x v="0"/>
    <s v="SR021220251012"/>
    <s v="RK098"/>
    <m/>
    <s v="12/23/2025"/>
    <x v="0"/>
    <s v="無法開機"/>
    <s v="GB300 L10"/>
    <x v="1"/>
    <s v="A968459X5C04119"/>
    <s v="A968459X5C08880"/>
    <s v="Rack"/>
    <s v="TX2-5S"/>
    <n v="1237"/>
    <s v="InTest"/>
  </r>
  <r>
    <s v="P25C04494"/>
    <s v="12/23/2025 4:13:20 PM"/>
    <x v="0"/>
    <s v="SR021220251300"/>
    <s v="RK022"/>
    <m/>
    <s v="12/23/2025"/>
    <x v="0"/>
    <s v="L11 TEST FAIL:powershelf#2 update fail 12/23 PM894 協助過帳"/>
    <s v="Delta Power Shelf Left Input"/>
    <x v="4"/>
    <s v="DGPST2544016E"/>
    <s v="THAS92547009D"/>
    <s v="Rack"/>
    <s v="TX2-5S"/>
    <n v="924"/>
    <s v="InTest"/>
  </r>
  <r>
    <s v="P25C04570"/>
    <s v="12/23/2025 5:22:36 PM"/>
    <x v="0"/>
    <s v="SR021220255420"/>
    <s v="RK099"/>
    <m/>
    <s v="12/23/2025"/>
    <x v="0"/>
    <s v="Unstable Power / Unable to start."/>
    <s v="GB300 L10"/>
    <x v="1"/>
    <s v="A968459X5C09643"/>
    <s v="A968459X5C08155"/>
    <s v="Rack"/>
    <s v="TX2-5S"/>
    <n v="90168"/>
    <s v="InTest"/>
  </r>
  <r>
    <s v="P25C04576"/>
    <s v="12/23/2025 5:40:08 PM"/>
    <x v="0"/>
    <s v="SR021220251575"/>
    <s v="RK120"/>
    <m/>
    <s v="12/23/2025"/>
    <x v="0"/>
    <s v="GB200 IPMI no response/ no IP detected"/>
    <s v="GB300 L10"/>
    <x v="1"/>
    <s v="A968459X5C12493"/>
    <s v="A968459X5C05785"/>
    <s v="Rack"/>
    <s v="TX2-5S"/>
    <n v="3908"/>
    <s v="InTest"/>
  </r>
  <r>
    <s v="P25C04588"/>
    <s v="12/23/2025 6:36:31 PM"/>
    <x v="0"/>
    <s v="SR021219258453"/>
    <s v="RK202"/>
    <m/>
    <s v="12/23/2025"/>
    <x v="0"/>
    <s v="GB200 L11 Compute Node Information Consistent Check fail - NIC-1 NULL"/>
    <s v="GB300 L10"/>
    <x v="1"/>
    <s v="A968459X5C10123"/>
    <s v="A968459X5C05777"/>
    <s v="Rack"/>
    <s v="TX2-5S"/>
    <n v="90168"/>
    <s v="InTest"/>
  </r>
  <r>
    <s v="P25C04597"/>
    <s v="12/23/2025 8:09:44 PM"/>
    <x v="0"/>
    <s v="SR021220257073"/>
    <s v="RK205"/>
    <m/>
    <s v="12/23/2025"/>
    <x v="0"/>
    <s v="GB200 L11 Compute Tray Nvidia Field Diag Test fail _ Rack0_SW8_acp104 CC3_C7_Lane_17 link_none"/>
    <s v="GB300 L10"/>
    <x v="1"/>
    <s v="A968459X5C07090"/>
    <s v="A968459X5C08772"/>
    <s v="Rack"/>
    <s v="TX2-5S"/>
    <n v="90168"/>
    <s v="InTest"/>
  </r>
  <r>
    <s v="P25C04609"/>
    <s v="12/23/2025 9:22:26 PM"/>
    <x v="0"/>
    <s v="SR021223251470"/>
    <s v="RK001"/>
    <m/>
    <s v="12/23/2025"/>
    <x v="0"/>
    <s v="Unable to power on"/>
    <s v="GB300 L10"/>
    <x v="1"/>
    <s v="A968459X5C12881"/>
    <s v="A968459X5C07090"/>
    <s v="Rack"/>
    <s v="TX2-5S"/>
    <n v="90168"/>
    <s v="InTest"/>
  </r>
  <r>
    <s v="P25C04614"/>
    <s v="12/23/2025 9:57:52 PM"/>
    <x v="0"/>
    <s v="SR021220251012"/>
    <s v="RK024"/>
    <m/>
    <s v="12/23/2025"/>
    <x v="0"/>
    <s v="CABLE CARTRIDGE DEFECT _ BENT CC2"/>
    <s v="Cable Cartridge"/>
    <x v="3"/>
    <n v="1824025185249"/>
    <n v="2024225880934"/>
    <s v="Rack"/>
    <s v="TX2-5S"/>
    <n v="90168"/>
    <s v="InTest"/>
  </r>
  <r>
    <s v="P25C04616"/>
    <s v="12/23/2025 10:32:54 PM"/>
    <x v="0"/>
    <s v="SR021220252238"/>
    <s v="RK109"/>
    <m/>
    <s v="12/23/2025"/>
    <x v="0"/>
    <s v="Auto Shutdown"/>
    <s v="GB300 L10"/>
    <x v="1"/>
    <s v="A968459X5C10246"/>
    <s v="A968459X5C10115"/>
    <s v="Rack"/>
    <s v="TX2-5S"/>
    <n v="90168"/>
    <s v="InTest"/>
  </r>
  <r>
    <s v="P25C04618"/>
    <s v="12/23/2025 11:00:47 PM"/>
    <x v="0"/>
    <s v="SR021220258109"/>
    <s v="RK125"/>
    <m/>
    <s v="12/23/2025"/>
    <x v="0"/>
    <s v="GB200 Firmware flash fail EGM fail - The EGM setting for GPU_0,GPU_1,GPU_2,GPU_3 is null, which does not match the required value true"/>
    <s v="GB300 L10"/>
    <x v="1"/>
    <s v="A968459X5C03543"/>
    <s v="A968459X5C12506"/>
    <s v="Rack"/>
    <s v="TX2-5S"/>
    <n v="90168"/>
    <s v="InTest"/>
  </r>
  <r>
    <s v="P25C04619"/>
    <s v="12/23/2025 11:04:06 PM"/>
    <x v="0"/>
    <s v="SR021223251019"/>
    <s v="RK203"/>
    <m/>
    <s v="12/23/2025"/>
    <x v="0"/>
    <s v="PMB BATTERY BROKEN(CMOS)"/>
    <s v="Power Shelf Control Module"/>
    <x v="0"/>
    <s v="SV25441924"/>
    <s v="SV25381543"/>
    <s v="Rack"/>
    <s v="TX2-5S"/>
    <n v="90066"/>
    <s v="InTest"/>
  </r>
  <r>
    <s v="P25C04620"/>
    <s v="12/23/2025 11:04:31 PM"/>
    <x v="0"/>
    <s v="SR021220257073"/>
    <s v="RK205"/>
    <m/>
    <s v="12/23/2025"/>
    <x v="0"/>
    <s v="System lspci tool only detected 3 GPU and it does not match the requesed 4"/>
    <s v="GB300 L10"/>
    <x v="1"/>
    <s v="A968459X5C06096"/>
    <s v="A968459X5C10338"/>
    <s v="Rack"/>
    <s v="TX2-5S"/>
    <n v="90168"/>
    <s v="InTest"/>
  </r>
  <r>
    <s v="P25C04713"/>
    <s v="12/24/2025 9:14:55 AM"/>
    <x v="0"/>
    <s v="SR021219253574"/>
    <s v="RK024"/>
    <m/>
    <s v="12/24/2025"/>
    <x v="0"/>
    <s v="CC_導致R-Burn Fail_已更換_PM1265"/>
    <s v="Cable Cartridge"/>
    <x v="3"/>
    <n v="2023625350319"/>
    <n v="2024225880939"/>
    <s v="Rack"/>
    <s v="TX2-5S"/>
    <n v="640"/>
    <s v="InTest"/>
  </r>
  <r>
    <s v="P25C04735"/>
    <s v="12/24/2025 9:58:06 AM"/>
    <x v="0"/>
    <s v="SR021223257346"/>
    <s v="RK098"/>
    <m/>
    <s v="12/24/2025"/>
    <x v="0"/>
    <s v="自動關機"/>
    <s v="GB300 L10"/>
    <x v="1"/>
    <s v="A968459X5C08932"/>
    <s v="A968459X5C09955"/>
    <s v="Rack"/>
    <s v="TX2-5S"/>
    <n v="718"/>
    <s v="InTest"/>
  </r>
  <r>
    <s v="P25C04742"/>
    <s v="12/24/2025 10:33:36 AM"/>
    <x v="0"/>
    <s v="SR021219253630"/>
    <s v="RK024"/>
    <m/>
    <s v="12/24/2025"/>
    <x v="0"/>
    <s v="Cable cartridge Defect CBC 2"/>
    <s v="Cable Cartridge"/>
    <x v="3"/>
    <n v="2024225880808"/>
    <n v="2024225880940"/>
    <s v="Rack"/>
    <s v="TX2-5S"/>
    <n v="1237"/>
    <s v="InTest"/>
  </r>
  <r>
    <s v="P25C04809"/>
    <s v="12/24/2025 12:28:17 PM"/>
    <x v="0"/>
    <s v="SR021220257073"/>
    <s v="RK098"/>
    <m/>
    <s v="12/24/2025"/>
    <x v="0"/>
    <s v="Cable Cartridge L11 FD Test [FAIL] COMPUTE_NODE_17 | DGX-000000000125 | CableCartridgeEepromCheck | cable_cartridge | /CBC_2. Error message =&gt; The requested resource of type Chassis named 'CBC_2' was not found"/>
    <s v="GB300 L10"/>
    <x v="1"/>
    <s v="A968459X5C07074"/>
    <s v="A968459X5C09938"/>
    <s v="Rack"/>
    <s v="TX2-5S"/>
    <n v="718"/>
    <s v="InTest"/>
  </r>
  <r>
    <s v="P25C04810"/>
    <s v="12/24/2025 1:11:13 PM"/>
    <x v="0"/>
    <s v="SR021223254280"/>
    <s v="RK098"/>
    <m/>
    <s v="12/24/2025"/>
    <x v="0"/>
    <s v="開機一段時間後 自動關機(補水過無效)_已更換_PM1265"/>
    <s v="GB300 L10"/>
    <x v="1"/>
    <s v="A968459X5C08786"/>
    <s v="A968459X5C08894"/>
    <s v="Rack"/>
    <s v="TX2-5S"/>
    <n v="1237"/>
    <s v="InTest"/>
  </r>
  <r>
    <s v="P25C04811"/>
    <s v="12/24/2025 1:11:48 PM"/>
    <x v="0"/>
    <s v="SR021220256925"/>
    <s v="RK098"/>
    <m/>
    <s v="12/24/2025"/>
    <x v="0"/>
    <s v="開機一段時間後 自動關機(補水過無效)_已更換_PM1265"/>
    <s v="GB300 L10"/>
    <x v="1"/>
    <s v="A968459X5C10256"/>
    <s v="A968459X5C09951"/>
    <s v="Rack"/>
    <s v="TX2-5S"/>
    <n v="1237"/>
    <s v="InTest"/>
  </r>
  <r>
    <s v="P25C04812"/>
    <s v="12/24/2025 1:12:15 PM"/>
    <x v="0"/>
    <s v="SR021220251012"/>
    <s v="RK098"/>
    <m/>
    <s v="12/24/2025"/>
    <x v="0"/>
    <s v="開機一段時間後 自動關機(補水過無效)_已更換_PM1265"/>
    <s v="GB300 L10"/>
    <x v="1"/>
    <s v="A968459X5C09956"/>
    <s v="A968459X5C08898"/>
    <s v="Rack"/>
    <s v="TX2-5S"/>
    <n v="1237"/>
    <s v="InTest"/>
  </r>
  <r>
    <s v="P25C04847"/>
    <s v="12/24/2025 2:08:58 PM"/>
    <x v="0"/>
    <s v="SR021223251470"/>
    <s v="RK098"/>
    <m/>
    <s v="12/24/2025"/>
    <x v="0"/>
    <s v="批量發報C5_Lane_17, link_none,0, 0 固定位置"/>
    <s v="GB300 L10"/>
    <x v="1"/>
    <s v="A968459X5C09646"/>
    <s v="A968459X5C08899"/>
    <s v="Rack"/>
    <s v="TX2-5S"/>
    <n v="640"/>
    <s v="InTest"/>
  </r>
  <r>
    <s v="P25C04863"/>
    <s v="12/24/2025 2:49:41 PM"/>
    <x v="0"/>
    <s v="SR021220258109"/>
    <s v="RK098"/>
    <m/>
    <s v="12/24/2025"/>
    <x v="0"/>
    <s v="10.10.86.127 only 0 Fabric state shows OK, expected 4 For more information"/>
    <s v="GB300 L10"/>
    <x v="1"/>
    <s v="A968459X5C05229"/>
    <s v="A968459X5C09956"/>
    <s v="Rack"/>
    <s v="TX2-5S"/>
    <n v="718"/>
    <s v="InTest"/>
  </r>
  <r>
    <s v="P25C04864"/>
    <s v="12/24/2025 2:49:41 PM"/>
    <x v="0"/>
    <s v="SR021220258109"/>
    <s v="RK098"/>
    <m/>
    <s v="12/24/2025"/>
    <x v="0"/>
    <s v="10.10.120.215 only 0 Fabric state shows OK, expected 4 For more information"/>
    <s v="GB300 L10"/>
    <x v="1"/>
    <s v="A968459X5C04001"/>
    <s v="A968459X5C08786"/>
    <s v="Rack"/>
    <s v="TX2-5S"/>
    <n v="718"/>
    <s v="InTest"/>
  </r>
  <r>
    <s v="P25C04879"/>
    <s v="12/24/2025 5:19:31 PM"/>
    <x v="0"/>
    <s v="SR021220255775"/>
    <s v="RK024"/>
    <m/>
    <s v="12/24/2025"/>
    <x v="0"/>
    <s v="L11 Rack0_SW7_acp42,CC1_C10_Lane_14, link_bad_quality"/>
    <s v="Cable Cartridge"/>
    <x v="3"/>
    <n v="1824025184454"/>
    <n v="2024325880274"/>
    <s v="Rack"/>
    <s v="TX2-5S"/>
    <n v="90066"/>
    <s v="InTest"/>
  </r>
  <r>
    <s v="P25C04880"/>
    <s v="12/24/2025 9:59:22 PM"/>
    <x v="0"/>
    <s v="SR021223255681"/>
    <s v="RK024"/>
    <m/>
    <s v="12/24/2025"/>
    <x v="0"/>
    <s v="L11 Cable cartridge Defect"/>
    <s v="Cable Cartridge"/>
    <x v="3"/>
    <n v="1824025185419"/>
    <n v="2024325880517"/>
    <s v="Rack"/>
    <s v="TX2-5S"/>
    <n v="90066"/>
    <s v="InTest"/>
  </r>
  <r>
    <s v="P25C04881"/>
    <s v="12/24/2025 10:00:19 PM"/>
    <x v="0"/>
    <s v="SR021223255708"/>
    <s v="RK024"/>
    <m/>
    <s v="12/24/2025"/>
    <x v="0"/>
    <s v="L11 Cable cartridge Defect 來料不良 (BENT PIN)"/>
    <s v="Cable Cartridge"/>
    <x v="3"/>
    <n v="2024025350408"/>
    <n v="2024325880263"/>
    <s v="Rack"/>
    <s v="TX2-5S"/>
    <n v="90066"/>
    <s v="InTest"/>
  </r>
  <r>
    <s v="P25C04882"/>
    <s v="12/24/2025 6:29:32 PM"/>
    <x v="0"/>
    <s v="SR021223255714"/>
    <s v="RK202"/>
    <m/>
    <s v="12/24/2025"/>
    <x v="0"/>
    <s v="L11 Compute Node Information Consistent Check fail"/>
    <s v="GB300 L10"/>
    <x v="1"/>
    <s v="A968459X5C09647"/>
    <s v="A968459X5C12769"/>
    <s v="Rack"/>
    <s v="TX2-5S"/>
    <n v="90066"/>
    <s v="InTest"/>
  </r>
  <r>
    <s v="P25C04883"/>
    <s v="12/24/2025 6:31:00 PM"/>
    <x v="0"/>
    <s v="SR021223255714"/>
    <s v="RK202"/>
    <m/>
    <s v="12/24/2025"/>
    <x v="0"/>
    <s v="L11 Compute Node Information Consistent Check fail"/>
    <s v="GB300 L10"/>
    <x v="1"/>
    <s v="A968459X5C10096"/>
    <s v="A968459X5C08152"/>
    <s v="Rack"/>
    <s v="TX2-5S"/>
    <n v="90066"/>
    <s v="InTest"/>
  </r>
  <r>
    <s v="P25C04890"/>
    <s v="12/24/2025 7:50:22 PM"/>
    <x v="0"/>
    <s v="SR021220258109"/>
    <s v="RK105"/>
    <m/>
    <s v="12/24/2025"/>
    <x v="0"/>
    <s v="BMC EventLog: The health of resource `Chassis_0_LeakDetector_0_ColdPlate` has changed to Open."/>
    <s v="GB300 L10"/>
    <x v="1"/>
    <s v="A968459X5C08211"/>
    <s v="A968459X5C08496"/>
    <s v="Rack"/>
    <s v="TX2-5S"/>
    <n v="90131"/>
    <s v="InTest"/>
  </r>
  <r>
    <s v="P25C04898"/>
    <s v="12/24/2025 8:25:50 PM"/>
    <x v="0"/>
    <s v="SR021223258610"/>
    <s v="RK099"/>
    <m/>
    <s v="12/24/2025"/>
    <x v="0"/>
    <s v="auto Shutdown"/>
    <s v="GB300 L10"/>
    <x v="1"/>
    <s v="A968459X5C09640"/>
    <s v="A968459X5C10256"/>
    <s v="Rack"/>
    <s v="TX2-5S"/>
    <n v="90131"/>
    <s v="InTest"/>
  </r>
  <r>
    <s v="P25C04902"/>
    <s v="12/24/2025 9:10:33 PM"/>
    <x v="0"/>
    <s v="SR021223258610"/>
    <s v="RK099"/>
    <m/>
    <s v="12/24/2025"/>
    <x v="0"/>
    <s v="auto Shutdown"/>
    <s v="GB300 L10"/>
    <x v="1"/>
    <s v="A968459X5C10256"/>
    <s v="A968459X5C13785"/>
    <s v="Rack"/>
    <s v="TX2-5S"/>
    <n v="90131"/>
    <s v="InTest"/>
  </r>
  <r>
    <s v="P25C04907"/>
    <s v="12/24/2025 9:45:09 PM"/>
    <x v="0"/>
    <s v="SR021223252127"/>
    <s v="RK202"/>
    <m/>
    <s v="12/24/2025"/>
    <x v="0"/>
    <s v="C2C bus error"/>
    <s v="GB300 L10"/>
    <x v="1"/>
    <s v="A968459X5B08877"/>
    <s v="A968459X5C03126"/>
    <s v="Rack"/>
    <s v="TX2-5S"/>
    <n v="90066"/>
    <s v="InTest"/>
  </r>
  <r>
    <s v="P25C04918"/>
    <s v="12/24/2025 10:26:51 PM"/>
    <x v="0"/>
    <s v="SR021223252955"/>
    <s v="RK024"/>
    <m/>
    <s v="12/24/2025"/>
    <x v="0"/>
    <s v="Cable Cartridge Defect_CC1 BENT PIN"/>
    <s v="Cable Cartridge"/>
    <x v="3"/>
    <n v="2024025350069"/>
    <n v="2024225880932"/>
    <s v="Rack"/>
    <s v="TX2-5S"/>
    <n v="90168"/>
    <s v="InTest"/>
  </r>
  <r>
    <s v="P25C04931"/>
    <s v="12/24/2025 11:12:30 PM"/>
    <x v="0"/>
    <s v="SR021220258109"/>
    <s v="RK109"/>
    <m/>
    <s v="12/24/2025"/>
    <x v="0"/>
    <s v="Auto shutdown in Run In (燒機自動關機) 跑到PXE會自動關機或還沒跑到PXE也會自動關機"/>
    <s v="GB300 L10"/>
    <x v="1"/>
    <s v="A968459X5C08786"/>
    <s v="A968459X5C09948"/>
    <s v="Rack"/>
    <s v="TX2-5S"/>
    <n v="90131"/>
    <s v="InTest"/>
  </r>
  <r>
    <s v="P25C05015"/>
    <s v="12/25/2025 3:57:40 PM"/>
    <x v="0"/>
    <s v="SR021223255714"/>
    <s v="RK202"/>
    <m/>
    <s v="12/25/2025"/>
    <x v="0"/>
    <s v="L11 Compute Node Information Consistent Check fail"/>
    <s v="GB300 L10"/>
    <x v="1"/>
    <s v="A968459X5C10284"/>
    <s v="A968459X5C13518"/>
    <s v="Rack"/>
    <s v="TX2-5S"/>
    <n v="90066"/>
    <s v="InTest"/>
  </r>
  <r>
    <s v="P25C05017"/>
    <s v="12/25/2025 4:03:01 PM"/>
    <x v="0"/>
    <s v="SR021223255681"/>
    <s v="RK202"/>
    <m/>
    <s v="12/25/2025"/>
    <x v="0"/>
    <s v="L11 Compute Node Information Consistent Check fail"/>
    <s v="GB300 L10"/>
    <x v="1"/>
    <s v="A968459X5C13794"/>
    <s v="A968459X5C05805"/>
    <s v="Rack"/>
    <s v="TX2-5S"/>
    <n v="90066"/>
    <s v="InTest"/>
  </r>
  <r>
    <s v="P25C05020"/>
    <s v="12/25/2025 4:09:34 PM"/>
    <x v="0"/>
    <s v="SR021220255775"/>
    <s v="RK202"/>
    <m/>
    <s v="12/25/2025"/>
    <x v="0"/>
    <s v="L11 Compute Node Information Consistent Check fail"/>
    <s v="GB300 L10"/>
    <x v="1"/>
    <s v="A968459X5B04719"/>
    <s v="A968459X5C01442"/>
    <s v="Rack"/>
    <s v="TX2-5S"/>
    <n v="90066"/>
    <s v="InTest"/>
  </r>
  <r>
    <s v="P25C05025"/>
    <s v="12/25/2025 5:19:10 PM"/>
    <x v="0"/>
    <s v="SR021223255681"/>
    <s v="RK201"/>
    <m/>
    <s v="12/25/2025"/>
    <x v="0"/>
    <s v="L11 NVLink Switch Information Consistent Check fail switch_tray,Rack0_SW2_acp95,CC2_C5_Lane_5, link_bad switch_tray,Rack0_SW2_acp103,CC2_C7_Lane_5, link_bad"/>
    <s v="NVSwitch"/>
    <x v="2"/>
    <s v="MT2530602NZB"/>
    <s v="MT2529605159"/>
    <s v="Rack"/>
    <s v="TX2-5S"/>
    <n v="90066"/>
    <s v="InTest"/>
  </r>
  <r>
    <s v="P25C05026"/>
    <s v="12/25/2025 5:27:40 PM"/>
    <x v="0"/>
    <s v="SR021220254344"/>
    <s v="RK099"/>
    <m/>
    <s v="12/25/2025"/>
    <x v="0"/>
    <s v="Acceptable temperature limits exceeded or the thermal sensor is broken or miscalibrated @(Rack slot 18, CBC 2, 4x19 connector 2)"/>
    <s v="GB300 L10"/>
    <x v="1"/>
    <s v="A968459X5C08919"/>
    <s v="A968459X5C09746"/>
    <s v="Rack"/>
    <s v="TX2-5S"/>
    <n v="90131"/>
    <s v="InTest"/>
  </r>
  <r>
    <s v="P25C05029"/>
    <s v="12/25/2025 5:50:46 PM"/>
    <x v="0"/>
    <s v="SR021223254763"/>
    <s v="RK202"/>
    <m/>
    <s v="12/25/2025"/>
    <x v="0"/>
    <s v="L11 Compute Node Information Consistent Check fail"/>
    <s v="GB300 L10"/>
    <x v="1"/>
    <s v="A968459X5C08257"/>
    <s v="A968459X5C12733"/>
    <s v="Rack"/>
    <s v="TX2-5S"/>
    <n v="90066"/>
    <s v="InTest"/>
  </r>
  <r>
    <s v="P25C05033"/>
    <s v="12/25/2025 6:21:44 PM"/>
    <x v="0"/>
    <s v="SR021223258619"/>
    <s v="RK001"/>
    <m/>
    <s v="12/25/2025"/>
    <x v="0"/>
    <s v="Unable to power on and No LED Light"/>
    <s v="GB300 L10"/>
    <x v="1"/>
    <s v="A968459X5C01482"/>
    <s v="A968459X5B14902"/>
    <s v="Rack"/>
    <s v="TX2-5S"/>
    <n v="90168"/>
    <s v="InTest"/>
  </r>
  <r>
    <s v="P25C05052"/>
    <s v="12/25/2025 8:17:26 PM"/>
    <x v="0"/>
    <s v="SR021223252410"/>
    <s v="RK202"/>
    <m/>
    <s v="12/25/2025"/>
    <x v="0"/>
    <s v="L11 Compute Node Information Consistent Check fail"/>
    <s v="GB300 L10"/>
    <x v="1"/>
    <s v="A968459X5C10282"/>
    <s v="A968459X5C13773"/>
    <s v="Rack"/>
    <s v="TX2-5S"/>
    <n v="90066"/>
    <s v="InTest"/>
  </r>
  <r>
    <s v="P25C05054"/>
    <s v="12/25/2025 8:21:26 PM"/>
    <x v="0"/>
    <s v="SR021223252410"/>
    <s v="RK202"/>
    <m/>
    <s v="12/25/2025"/>
    <x v="0"/>
    <s v="L11 Compute Node Information Consistent Check fail"/>
    <s v="GB300 L10"/>
    <x v="1"/>
    <s v="A968459X5C09933"/>
    <s v="A968459X5C13778"/>
    <s v="Rack"/>
    <s v="TX2-5S"/>
    <n v="90066"/>
    <s v="InTest"/>
  </r>
  <r>
    <s v="P25C05056"/>
    <s v="12/25/2025 8:23:33 PM"/>
    <x v="0"/>
    <s v="SR021219253630"/>
    <s v="RK201"/>
    <m/>
    <s v="12/25/2025"/>
    <x v="0"/>
    <s v="NULL"/>
    <s v="NVSwitch"/>
    <x v="2"/>
    <s v="MT254160686G"/>
    <s v="MT2529605B7V"/>
    <s v="Rack"/>
    <s v="TX2-5S"/>
    <n v="90168"/>
    <s v="InTest"/>
  </r>
  <r>
    <s v="P25C05057"/>
    <s v="12/25/2025 8:25:41 PM"/>
    <x v="0"/>
    <s v="SR021220254344"/>
    <s v="RK099"/>
    <m/>
    <s v="12/25/2025"/>
    <x v="0"/>
    <s v="auto Shutdown"/>
    <s v="GB300 L10"/>
    <x v="1"/>
    <s v="A968459X5C09746"/>
    <s v="A968459X5C09740"/>
    <s v="Rack"/>
    <s v="TX2-5S"/>
    <n v="90131"/>
    <s v="InTest"/>
  </r>
  <r>
    <s v="P25C05082"/>
    <s v="12/25/2025 10:34:25 PM"/>
    <x v="0"/>
    <s v="SR021220251012"/>
    <s v="RK205"/>
    <m/>
    <s v="12/25/2025"/>
    <x v="0"/>
    <s v="Error while invoking api /redfish/v1/Chassis/CBC_2. Error message =&gt; The requested resource of type Chassis named 'CBC_2' was not found"/>
    <s v="GB300 L10"/>
    <x v="1"/>
    <s v="A968459X5C06066"/>
    <s v="A968459X5C05222"/>
    <s v="Rack"/>
    <s v="TX2-5S"/>
    <n v="90131"/>
    <s v="InTest"/>
  </r>
  <r>
    <s v="P25C05090"/>
    <s v="12/25/2025 11:07:25 PM"/>
    <x v="0"/>
    <s v="SR021223254763"/>
    <s v="RK120"/>
    <m/>
    <s v="12/25/2025"/>
    <x v="0"/>
    <s v="L11 BMC Fail, can't connect to BMC"/>
    <s v="GB300 L10"/>
    <x v="1"/>
    <s v="A968459X5C13799"/>
    <s v="A968459X5C13620"/>
    <s v="Rack"/>
    <s v="TX2-5S"/>
    <n v="90066"/>
    <s v="InTest"/>
  </r>
  <r>
    <s v="P25C05122"/>
    <s v="12/26/2025 9:16:19 AM"/>
    <x v="0"/>
    <s v="SR021223258068"/>
    <s v="RK024"/>
    <m/>
    <s v="12/26/2025"/>
    <x v="0"/>
    <s v="CC_導致R-Burn Fail_已更換_PM1265"/>
    <s v="Cable Cartridge"/>
    <x v="3"/>
    <n v="2024025350294"/>
    <n v="2024225881082"/>
    <s v="Rack"/>
    <s v="TX2-5S"/>
    <n v="640"/>
    <s v="InTest"/>
  </r>
  <r>
    <s v="P25C05132"/>
    <s v="12/26/2025 12:40:23 PM"/>
    <x v="0"/>
    <s v="SR021223257960"/>
    <s v="RK024"/>
    <m/>
    <s v="12/26/2025"/>
    <x v="0"/>
    <s v="C0 only 71 NVLink status shows OK. 固定位置CC2_C0_Lane,12/26 PM894 協助過帳"/>
    <s v="Cable Cartridge"/>
    <x v="3"/>
    <n v="2024025350230"/>
    <n v="2024325880267"/>
    <s v="Rack"/>
    <s v="TX2-5S"/>
    <n v="933"/>
    <s v="InTest"/>
  </r>
  <r>
    <s v="P25C05150"/>
    <s v="12/26/2025 11:21:33 PM"/>
    <x v="0"/>
    <s v="SR021223254763"/>
    <s v="RK024"/>
    <m/>
    <s v="12/26/2025"/>
    <x v="0"/>
    <s v="L11 CC3 BENT PIN@(Rack slot 11"/>
    <s v="Cable Cartridge"/>
    <x v="3"/>
    <n v="2024025350500"/>
    <n v="2024225881207"/>
    <s v="Rack"/>
    <s v="TX2-5S"/>
    <n v="933"/>
    <s v="InTest"/>
  </r>
  <r>
    <s v="P25C05156"/>
    <s v="12/26/2025 1:20:34 PM"/>
    <x v="0"/>
    <s v="SR021223258619"/>
    <s v="RK098"/>
    <m/>
    <s v="12/26/2025"/>
    <x v="0"/>
    <s v="switch_tray Rack0_SW7_acp38 CC1_C9_Lane_14 link_bad_quality_high_ber 0.0002 15 sudo mlxlink -d /dev/mst/mt54004_pci_cr0 -p 10/1/2 -c --rx_fec_histogram --show_histogram -json"/>
    <s v="GB300 L10"/>
    <x v="1"/>
    <s v="A968459X5B16283"/>
    <s v="A968459X5B11235"/>
    <s v="Rack"/>
    <s v="TX2-5S"/>
    <n v="1237"/>
    <s v="InTest"/>
  </r>
  <r>
    <s v="P25C05159"/>
    <s v="12/26/2025 1:50:16 PM"/>
    <x v="0"/>
    <s v="SR021223257346"/>
    <s v="RK024"/>
    <m/>
    <s v="12/26/2025"/>
    <x v="0"/>
    <s v="CC_導致R-Burn Fail_已更換_PM1265"/>
    <s v="Cable Cartridge"/>
    <x v="3"/>
    <n v="1824025185420"/>
    <n v="2024025350166"/>
    <s v="Rack"/>
    <s v="TX2-5S"/>
    <n v="1237"/>
    <s v="InTest"/>
  </r>
  <r>
    <s v="P25C05166"/>
    <s v="12/26/2025 2:43:43 PM"/>
    <x v="0"/>
    <s v="SR021219256021"/>
    <s v="RK098"/>
    <m/>
    <s v="12/26/2025"/>
    <x v="0"/>
    <s v="SWITCH_NODE_7, NVLINK 16, Chassis Slot 15, Tray 6, Remote Device, Remote Port 13, Remote GUID 0x659705c96113992f FecTotalRawBer Bit Error Rate"/>
    <s v="GB300 L10"/>
    <x v="1"/>
    <s v="A968459X5C09669"/>
    <s v="A968459X5C05460"/>
    <s v="Rack"/>
    <s v="TX2-5S"/>
    <n v="718"/>
    <s v="InTest"/>
  </r>
  <r>
    <s v="P25C05167"/>
    <s v="12/26/2025 2:45:04 PM"/>
    <x v="0"/>
    <s v="SR021220257073"/>
    <s v="RK098"/>
    <m/>
    <s v="12/26/2025"/>
    <x v="0"/>
    <s v="自動關機"/>
    <s v="GB300 L10"/>
    <x v="1"/>
    <s v="A968459X5C08332"/>
    <s v="A968459C5V04150"/>
    <s v="Rack"/>
    <s v="TX2-5S"/>
    <n v="718"/>
    <s v="InTest"/>
  </r>
  <r>
    <s v="P25C05194"/>
    <s v="12/26/2025 4:24:08 PM"/>
    <x v="0"/>
    <s v="SR021223252568"/>
    <s v="RK202"/>
    <m/>
    <s v="12/26/2025"/>
    <x v="0"/>
    <s v="L11 Compute Node Information Consistent Check fail"/>
    <s v="GB300 L10"/>
    <x v="1"/>
    <s v="A968459X5C10243"/>
    <s v="A968459X5C08790"/>
    <s v="Rack"/>
    <s v="TX2-5S"/>
    <n v="90066"/>
    <s v="InTest"/>
  </r>
  <r>
    <s v="P25C05196"/>
    <s v="12/26/2025 4:28:20 PM"/>
    <x v="0"/>
    <s v="SR021223252568"/>
    <s v="RK202"/>
    <m/>
    <s v="12/26/2025"/>
    <x v="0"/>
    <s v="L11 Compute Node Information Consistent Check fail"/>
    <s v="GB300 L10"/>
    <x v="1"/>
    <s v="A968459X5C08790"/>
    <s v="A968459X5C09309"/>
    <s v="Rack"/>
    <s v="TX2-5S"/>
    <n v="90066"/>
    <s v="InTest"/>
  </r>
  <r>
    <s v="P25C05198"/>
    <s v="12/26/2025 4:49:05 PM"/>
    <x v="0"/>
    <s v="SR021223252568"/>
    <s v="RK202"/>
    <m/>
    <s v="12/26/2025"/>
    <x v="0"/>
    <s v="L11 Compute Node Information Consistent Check fail"/>
    <s v="GB300 L10"/>
    <x v="1"/>
    <s v="A968459X5C09309"/>
    <s v="A968459X5C08901"/>
    <s v="Rack"/>
    <s v="TX2-5S"/>
    <n v="90066"/>
    <s v="InTest"/>
  </r>
  <r>
    <s v="P25C05201"/>
    <s v="12/26/2025 5:04:39 PM"/>
    <x v="0"/>
    <s v="SR021223252410"/>
    <s v="RK202"/>
    <m/>
    <s v="12/26/2025"/>
    <x v="0"/>
    <s v="L11 Compute Node Information Consistent Check fail"/>
    <s v="GB300 L10"/>
    <x v="1"/>
    <s v="A968459X5C12870"/>
    <s v="A968459X5C08735"/>
    <s v="Rack"/>
    <s v="TX2-5S"/>
    <n v="90066"/>
    <s v="InTest"/>
  </r>
  <r>
    <s v="P25C05203"/>
    <s v="12/26/2025 5:08:53 PM"/>
    <x v="0"/>
    <s v="SR021223252410"/>
    <s v="RK202"/>
    <m/>
    <s v="12/26/2025"/>
    <x v="0"/>
    <s v="L11 Compute Node Information Consistent Check fail"/>
    <s v="GB300 L10"/>
    <x v="1"/>
    <s v="A968459X5C03543"/>
    <s v="A968459X5C05919"/>
    <s v="Rack"/>
    <s v="TX2-5S"/>
    <n v="90066"/>
    <s v="InTest"/>
  </r>
  <r>
    <s v="P25C05240"/>
    <s v="12/26/2025 7:48:39 PM"/>
    <x v="0"/>
    <s v="SR021220256925"/>
    <s v="RK202"/>
    <m/>
    <s v="12/26/2025"/>
    <x v="0"/>
    <s v="ECC detected an uncorrectable error in FB @(Rack slot 8, CBC 2, 4x19 connector 2)"/>
    <s v="GB300 L10"/>
    <x v="1"/>
    <s v="A968459X5C09951"/>
    <s v="A968459X5C10260"/>
    <s v="Rack"/>
    <s v="TX2-5S"/>
    <n v="90131"/>
    <s v="InTest"/>
  </r>
  <r>
    <s v="P25C05285"/>
    <s v="12/26/2025 11:18:39 PM"/>
    <x v="0"/>
    <s v="SR021223258068"/>
    <s v="RK099"/>
    <m/>
    <s v="12/26/2025"/>
    <x v="0"/>
    <s v="missing one fan 15 only"/>
    <s v="GB300 L10"/>
    <x v="1"/>
    <s v="A968459X5C13783"/>
    <s v="A968459X5C08203"/>
    <s v="Rack"/>
    <s v="TX2-5S"/>
    <n v="3908"/>
    <s v="InTest"/>
  </r>
  <r>
    <s v="P25C05290"/>
    <s v="12/26/2025 11:23:47 PM"/>
    <x v="0"/>
    <s v="SR021223252568"/>
    <s v="RK024"/>
    <m/>
    <s v="12/26/2025"/>
    <x v="0"/>
    <s v="L11 Cable cartridge Defect"/>
    <s v="Cable Cartridge"/>
    <x v="3"/>
    <n v="2024025350190"/>
    <n v="2024225880878"/>
    <s v="Rack"/>
    <s v="TX2-5S"/>
    <n v="90138"/>
    <s v="InTest"/>
  </r>
  <r>
    <s v="P25C05336"/>
    <s v="12/27/2025 9:19:56 AM"/>
    <x v="1"/>
    <s v="SR021226259547"/>
    <s v="RK098"/>
    <m/>
    <s v="12/27/2025"/>
    <x v="0"/>
    <s v="開機鍵無作用_更換單機_TW640"/>
    <s v="GB300 L10"/>
    <x v="9"/>
    <s v="A964512X5B11970"/>
    <s v="A964512X5C02631"/>
    <s v="Rack"/>
    <s v="TX2-5S"/>
    <n v="640"/>
    <s v="InTest"/>
  </r>
  <r>
    <s v="P25C05343"/>
    <s v="12/27/2025 9:58:04 AM"/>
    <x v="0"/>
    <s v="SR021223255383"/>
    <s v="RK109"/>
    <m/>
    <s v="12/27/2025"/>
    <x v="0"/>
    <s v="自動關機_二次驗證_交換機櫃一樣_遠端GPU過熱__更換單機_TW640"/>
    <s v="GB300 L10"/>
    <x v="1"/>
    <s v="A968459X5C09746"/>
    <s v="A968459X5C09910"/>
    <s v="Rack"/>
    <s v="TX2-5S"/>
    <n v="640"/>
    <s v="InTest"/>
  </r>
  <r>
    <s v="P25C05345"/>
    <s v="12/27/2025 10:00:28 AM"/>
    <x v="0"/>
    <s v="SR021220257073"/>
    <s v="RK024"/>
    <m/>
    <s v="12/27/2025"/>
    <x v="0"/>
    <s v="Cable cartridge Defect"/>
    <s v="Cable Cartridge"/>
    <x v="3"/>
    <n v="1823725356388"/>
    <n v="2024025350070"/>
    <s v="Rack"/>
    <s v="TX2-5S"/>
    <n v="640"/>
    <s v="InTest"/>
  </r>
  <r>
    <s v="P25C05346"/>
    <s v="12/27/2025 10:01:11 AM"/>
    <x v="0"/>
    <s v="SR021219253630"/>
    <s v="RK024"/>
    <m/>
    <s v="12/27/2025"/>
    <x v="0"/>
    <s v="Cable cartridge Defect"/>
    <s v="Cable Cartridge"/>
    <x v="3"/>
    <n v="2024225880940"/>
    <n v="2024025350116"/>
    <s v="Rack"/>
    <s v="TX2-5S"/>
    <n v="640"/>
    <s v="InTest"/>
  </r>
  <r>
    <s v="P25C05400"/>
    <s v="12/27/2025 3:20:34 PM"/>
    <x v="0"/>
    <s v="SR021223257638"/>
    <s v="RK099"/>
    <m/>
    <s v="12/27/2025"/>
    <x v="0"/>
    <s v="Unable to power on - NO POWER LED LIGHT."/>
    <s v="GB300 L10"/>
    <x v="1"/>
    <s v="A968459X5C13790"/>
    <s v="A968459X5C09909"/>
    <s v="Rack"/>
    <s v="TX2-5S"/>
    <n v="90168"/>
    <s v="InTest"/>
  </r>
  <r>
    <s v="P25C05418"/>
    <s v="12/27/2025 5:07:16 PM"/>
    <x v="0"/>
    <s v="SR021223255383"/>
    <s v="RK109"/>
    <m/>
    <s v="12/27/2025"/>
    <x v="0"/>
    <s v="unable to power on always shutdown"/>
    <s v="GB300 L10"/>
    <x v="1"/>
    <s v="A968459X5C08332"/>
    <s v="A968459X5C09906"/>
    <s v="Rack"/>
    <s v="TX2-5S"/>
    <n v="90131"/>
    <s v="InTest"/>
  </r>
  <r>
    <s v="P25C05441"/>
    <s v="12/27/2025 6:31:57 PM"/>
    <x v="0"/>
    <s v="SR021223255383"/>
    <s v="RK205"/>
    <m/>
    <s v="12/27/2025"/>
    <x v="0"/>
    <s v="The requested resource of type Chassis named 'CBC_2' was not found."/>
    <s v="GB300 L10"/>
    <x v="1"/>
    <s v="淤"/>
    <s v="A968459X5C09908"/>
    <s v="Rack"/>
    <s v="TX2-5S"/>
    <n v="90131"/>
    <s v="InTest"/>
  </r>
  <r>
    <s v="P25C05448"/>
    <s v="12/27/2025 7:55:33 PM"/>
    <x v="0"/>
    <s v="SR021223251288"/>
    <s v="RK024"/>
    <m/>
    <s v="12/27/2025"/>
    <x v="0"/>
    <s v="L11 Cable cartridge Defect BENT PIN SR021223251288"/>
    <s v="Cable Cartridge"/>
    <x v="3"/>
    <n v="2024025350281"/>
    <n v="2024025350267"/>
    <s v="Rack"/>
    <s v="TX2-5S"/>
    <n v="90066"/>
    <s v="InTest"/>
  </r>
  <r>
    <s v="P25C05449"/>
    <s v="12/27/2025 7:56:41 PM"/>
    <x v="0"/>
    <s v="SR021223257638"/>
    <s v="RK023"/>
    <m/>
    <s v="12/27/2025"/>
    <x v="0"/>
    <s v="NVLINK Switch Functional Issue - Stop updating at 10%,"/>
    <s v="NVSwitch"/>
    <x v="2"/>
    <s v="MT25286001B2"/>
    <s v="MT2546601MQL"/>
    <s v="Rack"/>
    <s v="TX2-5S"/>
    <n v="90131"/>
    <s v="InTest"/>
  </r>
  <r>
    <s v="P25C05464"/>
    <s v="12/27/2025 8:47:55 PM"/>
    <x v="1"/>
    <s v="SR021226256710"/>
    <s v="RK024"/>
    <m/>
    <s v="12/27/2025"/>
    <x v="0"/>
    <s v="Cable cartridge Defect - BENT PIN CC0_SW1 RACK SLOT #10"/>
    <s v="Cable Cartridge"/>
    <x v="3"/>
    <n v="1824125354025"/>
    <n v="2024225880752"/>
    <s v="Rack"/>
    <s v="TX2-5S"/>
    <n v="90168"/>
    <s v="InTest"/>
  </r>
  <r>
    <s v="P25C05476"/>
    <s v="12/27/2025 11:09:24 PM"/>
    <x v="1"/>
    <s v="SR021226256710"/>
    <s v="RK205"/>
    <m/>
    <s v="12/27/2025"/>
    <x v="0"/>
    <s v="GB200 L11 Compute Tray Nvidia Field Diag Test fail - CC2_C8_Lane_17 link_none"/>
    <s v="GB300 L10"/>
    <x v="9"/>
    <s v="A964512X5C01263"/>
    <s v="A964512X5C07737"/>
    <s v="Rack"/>
    <s v="TX2-5S"/>
    <n v="90168"/>
    <s v="InTest"/>
  </r>
  <r>
    <s v="P25C05482"/>
    <s v="12/28/2025 10:51:30 PM"/>
    <x v="0"/>
    <s v="SR021223257672"/>
    <s v="RK022"/>
    <m/>
    <s v="12/28/2025"/>
    <x v="0"/>
    <s v="L11 TEST FAIL:powershelf #6 PMC Version: 3.1.6-dev-20250606"/>
    <s v="Power Shelf Control Module"/>
    <x v="0"/>
    <s v="SV25440459"/>
    <s v="SV25383127"/>
    <s v="Rack"/>
    <s v="TX2-5S"/>
    <n v="1519"/>
    <s v="InTest"/>
  </r>
  <r>
    <s v="P25C05536"/>
    <s v="12/28/2025 3:40:58 PM"/>
    <x v="0"/>
    <s v="SR021223251386"/>
    <s v="RK208"/>
    <m/>
    <s v="12/28/2025"/>
    <x v="0"/>
    <s v="The EGM setting for GPU_2 is null, which does not match the required value true"/>
    <s v="GB300 L10"/>
    <x v="1"/>
    <s v="A968459X5C12771"/>
    <s v="A968459X5C12882"/>
    <s v="Rack"/>
    <s v="TX2-5S"/>
    <n v="90131"/>
    <s v="InTest"/>
  </r>
  <r>
    <s v="P25C05540"/>
    <s v="12/28/2025 5:04:49 PM"/>
    <x v="0"/>
    <s v="SR021223251288"/>
    <s v="RK202"/>
    <m/>
    <s v="12/28/2025"/>
    <x v="0"/>
    <s v="L11 Compute Node Information Consistent Check fail"/>
    <s v="GB300 L10"/>
    <x v="1"/>
    <s v="A968459X5C02937"/>
    <s v="A968459X5A10478"/>
    <s v="Rack"/>
    <s v="TX2-5S"/>
    <n v="90066"/>
    <s v="InTest"/>
  </r>
  <r>
    <s v="P25C05549"/>
    <s v="12/28/2025 5:40:09 PM"/>
    <x v="0"/>
    <s v="SR021223258228"/>
    <s v="RK202"/>
    <m/>
    <s v="12/28/2025"/>
    <x v="0"/>
    <s v="L11 Compute Node Information Consistent Check fail"/>
    <s v="GB300 L10"/>
    <x v="1"/>
    <s v="A968459X5C03540"/>
    <s v="A968459X5C10828"/>
    <s v="Rack"/>
    <s v="TX2-5S"/>
    <n v="90066"/>
    <s v="InTest"/>
  </r>
  <r>
    <s v="P25C05552"/>
    <s v="12/28/2025 6:10:16 PM"/>
    <x v="1"/>
    <s v="SR021227252080"/>
    <s v="RK105"/>
    <m/>
    <s v="12/28/2025"/>
    <x v="0"/>
    <s v="Sensor 'Chassis_0_LeakDetector_0_Manifold' reading of 2.262400 (Volts) is above the 2.000000 upper critical threshold."/>
    <s v="GB300 L10"/>
    <x v="9"/>
    <s v="A964512X5C05702"/>
    <s v="A964512X5C08527"/>
    <s v="Rack"/>
    <s v="TX2-5S"/>
    <n v="3908"/>
    <s v="InTest"/>
  </r>
  <r>
    <s v="P25C05559"/>
    <s v="12/28/2025 8:03:45 PM"/>
    <x v="0"/>
    <s v="SR021223255383"/>
    <s v="RK202"/>
    <m/>
    <s v="12/28/2025"/>
    <x v="0"/>
    <s v="Shutdow when fd test GPIO alert log in BMC log"/>
    <s v="GB300 L10"/>
    <x v="1"/>
    <s v="A968459X5C09906"/>
    <s v="A968459X5C12887"/>
    <s v="Rack"/>
    <s v="TX2-5S"/>
    <n v="3908"/>
    <s v="InTest"/>
  </r>
  <r>
    <s v="P25C05565"/>
    <s v="12/28/2025 8:36:18 PM"/>
    <x v="0"/>
    <s v="SR021223258228"/>
    <s v="RK202"/>
    <m/>
    <s v="12/28/2025"/>
    <x v="0"/>
    <s v="L11 Compute Node Information Consistent Check fail"/>
    <s v="GB300 L10"/>
    <x v="1"/>
    <s v="A968459X5C07090"/>
    <s v="A968459X5C13791"/>
    <s v="Rack"/>
    <s v="TX2-5S"/>
    <n v="90066"/>
    <s v="InTest"/>
  </r>
  <r>
    <s v="P25C05575"/>
    <s v="12/28/2025 9:36:54 PM"/>
    <x v="0"/>
    <s v="SR021223255681"/>
    <s v="RK202"/>
    <m/>
    <s v="12/28/2025"/>
    <x v="0"/>
    <s v="L11 Compute Node Information Consistent Check fail"/>
    <s v="GB300 L10"/>
    <x v="1"/>
    <s v="A968459X5C12386"/>
    <s v="A968459X5C10096"/>
    <s v="Rack"/>
    <s v="TX2-5S"/>
    <n v="90066"/>
    <s v="InTest"/>
  </r>
  <r>
    <s v="P25C05583"/>
    <s v="12/28/2025 10:53:20 PM"/>
    <x v="0"/>
    <s v="SR021223257672"/>
    <s v="RK202"/>
    <m/>
    <s v="12/28/2025"/>
    <x v="0"/>
    <s v="L11 Compute Node Information Consistent Check fail"/>
    <s v="GB300 L10"/>
    <x v="1"/>
    <s v="A968459X5C13203"/>
    <s v="A968459X5B09471"/>
    <s v="Rack"/>
    <s v="TX2-5S"/>
    <n v="90066"/>
    <s v="InTest"/>
  </r>
  <r>
    <s v="P25C05622"/>
    <s v="12/29/2025 8:07:52 AM"/>
    <x v="1"/>
    <s v="SR021226251126"/>
    <s v="RK024"/>
    <m/>
    <s v="12/29/2025"/>
    <x v="0"/>
    <s v="CC_導致R-Burn Fail_已更換_PM1265"/>
    <s v="Cable Cartridge"/>
    <x v="3"/>
    <n v="1824025354398"/>
    <n v="2024225881070"/>
    <s v="Rack"/>
    <s v="TX2-5S"/>
    <n v="1237"/>
    <s v="InTest"/>
  </r>
  <r>
    <s v="P25C05627"/>
    <s v="12/29/2025 8:20:34 AM"/>
    <x v="1"/>
    <s v="SR021226251126"/>
    <s v="RK024"/>
    <m/>
    <s v="12/29/2025"/>
    <x v="0"/>
    <s v="CC_導致R-Burn Fail_已更換_PM1265"/>
    <s v="Cable Cartridge"/>
    <x v="3"/>
    <n v="1823725356361"/>
    <n v="2024225881070"/>
    <s v="Rack"/>
    <s v="TX2-5S"/>
    <n v="1237"/>
    <s v="InTest"/>
  </r>
  <r>
    <s v="P25C05628"/>
    <s v="12/29/2025 8:22:28 AM"/>
    <x v="0"/>
    <s v="SR021220256925"/>
    <s v="RK024"/>
    <m/>
    <s v="12/29/2025"/>
    <x v="0"/>
    <s v="CC_導致R-Burn Fail_已更換_PM1265"/>
    <s v="Cable Cartridge"/>
    <x v="3"/>
    <n v="1823725356361"/>
    <n v="2024225881077"/>
    <s v="Rack"/>
    <s v="TX2-5S"/>
    <n v="1237"/>
    <s v="InTest"/>
  </r>
  <r>
    <s v="P25C05677"/>
    <s v="12/29/2025 2:15:15 PM"/>
    <x v="0"/>
    <s v="SR021223258619"/>
    <s v="RK098"/>
    <m/>
    <s v="12/29/2025"/>
    <x v="0"/>
    <s v="LAN 燈號異常"/>
    <s v="GB300 L10"/>
    <x v="1"/>
    <s v="A968459X5B04911"/>
    <s v="A968459X5B10480"/>
    <s v="Rack"/>
    <s v="TX2-5S"/>
    <n v="718"/>
    <s v="InTest"/>
  </r>
  <r>
    <s v="P25C05686"/>
    <s v="12/29/2025 3:07:06 PM"/>
    <x v="0"/>
    <s v="SR021223255383"/>
    <s v="RK202"/>
    <m/>
    <s v="12/29/2025"/>
    <x v="0"/>
    <s v="Single Node NCCL Test failed"/>
    <s v="GB300 L10"/>
    <x v="1"/>
    <s v="A968459X5C09669"/>
    <s v="A968459X5C09911"/>
    <s v="Rack"/>
    <s v="TX2-5S"/>
    <n v="90131"/>
    <s v="InTest"/>
  </r>
  <r>
    <s v="P25C05687"/>
    <s v="12/29/2025 3:08:30 PM"/>
    <x v="0"/>
    <s v="SR021223255383"/>
    <s v="RK099"/>
    <m/>
    <s v="12/29/2025"/>
    <x v="0"/>
    <s v="unable to power on"/>
    <s v="GB300 L10"/>
    <x v="1"/>
    <s v="A968459X5C09911"/>
    <s v="A968459X5C09907"/>
    <s v="Rack"/>
    <s v="TX2-5S"/>
    <n v="90131"/>
    <s v="InTest"/>
  </r>
  <r>
    <s v="P25C05691"/>
    <s v="12/29/2025 3:46:48 PM"/>
    <x v="0"/>
    <s v="SR021223255383"/>
    <s v="RK099"/>
    <m/>
    <s v="12/29/2025"/>
    <x v="0"/>
    <s v="unable to power on"/>
    <s v="GB300 L10"/>
    <x v="1"/>
    <s v="A968459X5C09907"/>
    <s v="A968459X5C08307"/>
    <s v="Rack"/>
    <s v="TX2-5S"/>
    <n v="90131"/>
    <s v="InTest"/>
  </r>
  <r>
    <s v="P25C05709"/>
    <s v="12/29/2025 6:34:26 PM"/>
    <x v="0"/>
    <s v="SR021223258619"/>
    <s v="RK202"/>
    <m/>
    <s v="12/29/2025"/>
    <x v="0"/>
    <s v="Error while invoking api /redfish/v1/Chassis/CBC_3. Error message =&gt; The requested resource of type Chassis named 'CBC_3' was not found."/>
    <s v="GB300 L10"/>
    <x v="1"/>
    <s v="A968459X5B01288"/>
    <s v="A968459X5B16021"/>
    <s v="Rack"/>
    <s v="TX2-5S"/>
    <n v="90131"/>
    <s v="InTest"/>
  </r>
  <r>
    <s v="P25C05714"/>
    <s v="12/29/2025 8:13:54 PM"/>
    <x v="0"/>
    <s v="SR021223254763"/>
    <s v="RK024"/>
    <m/>
    <s v="12/29/2025"/>
    <x v="0"/>
    <s v="L11 Cable cartridge Defect"/>
    <s v="Cable Cartridge"/>
    <x v="3"/>
    <n v="2024025350463"/>
    <n v="2024025350255"/>
    <s v="Rack"/>
    <s v="TX2-5S"/>
    <n v="90066"/>
    <s v="InTest"/>
  </r>
  <r>
    <s v="P25C05723"/>
    <s v="12/29/2025 8:47:46 PM"/>
    <x v="0"/>
    <s v="SR021223255383"/>
    <s v="RK105"/>
    <m/>
    <s v="12/29/2025"/>
    <x v="0"/>
    <s v="Acceptable temperature limits exceeded or the thermal sensor is broken or miscalibrated @(Rack slot 8, CBC 2, 4x19 connector 2"/>
    <s v="GB300 L10"/>
    <x v="1"/>
    <s v="A968459X5C08307"/>
    <s v="A968459X5C09751"/>
    <s v="Rack"/>
    <s v="TX2-5S"/>
    <n v="90131"/>
    <s v="InTest"/>
  </r>
  <r>
    <s v="P25C05725"/>
    <s v="12/29/2025 10:03:12 PM"/>
    <x v="1"/>
    <s v="SR021227255932"/>
    <s v="RK202"/>
    <m/>
    <s v="12/29/2025"/>
    <x v="0"/>
    <s v="L11 Compute Node Information Consistent Check fail"/>
    <s v="GB300 L10"/>
    <x v="9"/>
    <s v="A964512X5C01667"/>
    <s v="A964512X5C08366"/>
    <s v="Rack"/>
    <s v="TX2-5S"/>
    <n v="90066"/>
    <s v="InTest"/>
  </r>
  <r>
    <s v="P25C05740"/>
    <s v="12/29/2025 11:00:08 PM"/>
    <x v="0"/>
    <s v="SR021223258619"/>
    <s v="RK205"/>
    <m/>
    <s v="12/29/2025"/>
    <x v="0"/>
    <s v="FW_CPLD_0 null does not match the required 0d"/>
    <s v="GB300 L10"/>
    <x v="1"/>
    <s v="A968459X5B16290"/>
    <s v="A968459X5B15314"/>
    <s v="Rack"/>
    <s v="TX2-5S"/>
    <n v="90131"/>
    <s v="InTest"/>
  </r>
  <r>
    <s v="P25C05742"/>
    <s v="12/29/2025 11:05:31 PM"/>
    <x v="0"/>
    <s v="SR021223253629"/>
    <s v="RK201"/>
    <m/>
    <s v="12/29/2025"/>
    <x v="0"/>
    <s v="L11 NVLink Switch Information Consistent Check fail (BMC IP AND MAC ARE NULL)"/>
    <s v="NVSwitch"/>
    <x v="2"/>
    <s v="MT2529602ACN"/>
    <s v="MT2529605B7T"/>
    <s v="Rack"/>
    <s v="TX2-5S"/>
    <n v="90066"/>
    <s v="InTest"/>
  </r>
  <r>
    <s v="P25C05744"/>
    <s v="12/29/2025 11:39:32 PM"/>
    <x v="1"/>
    <s v="SR021227251068"/>
    <s v="RK202"/>
    <m/>
    <s v="12/29/2025"/>
    <x v="0"/>
    <s v="L11 Compute Node Information Consistent Check fail"/>
    <s v="GB300 L10"/>
    <x v="9"/>
    <s v="A964512X5C05680"/>
    <s v="A964512X5C08348"/>
    <s v="Rack"/>
    <s v="TX2-5S"/>
    <n v="90066"/>
    <s v="InTest"/>
  </r>
  <r>
    <s v="P25C05770"/>
    <s v="12/30/2025 1:39:13 AM"/>
    <x v="0"/>
    <s v="SR021220256925"/>
    <s v="RK202"/>
    <m/>
    <s v="12/30/2025"/>
    <x v="0"/>
    <s v="ECC detected an uncorrectable error in FB @(Rack slot 21, CBC 2, 4x19 connector 2)"/>
    <s v="GB300 L10"/>
    <x v="1"/>
    <s v="A968459X5C12580"/>
    <s v="A968459X5C08218"/>
    <s v="Rack"/>
    <s v="TX2-5S"/>
    <n v="3908"/>
    <s v="InTest"/>
  </r>
  <r>
    <s v="P25C05790"/>
    <s v="12/30/2025 7:38:42 AM"/>
    <x v="1"/>
    <s v="SR021227253221"/>
    <s v="RK110"/>
    <m/>
    <s v="12/30/2025"/>
    <x v="0"/>
    <s v="comp_tray,Rack0_SW1_acp32,CC3_C7_Lane_2, link_none,0, 0"/>
    <s v="GB300 L10"/>
    <x v="9"/>
    <s v="A964512X5C02061"/>
    <s v="A964512X5B10333"/>
    <s v="Rack"/>
    <s v="TX2-5S"/>
    <n v="718"/>
    <s v="InTest"/>
  </r>
  <r>
    <s v="P25C05794"/>
    <s v="12/30/2025 7:59:49 AM"/>
    <x v="0"/>
    <s v="SR021220257073"/>
    <s v="RK024"/>
    <m/>
    <s v="12/30/2025"/>
    <x v="0"/>
    <s v="Cable cartridge Defect 交換驗證跟著Cable cartridge"/>
    <s v="Cable Cartridge"/>
    <x v="3"/>
    <n v="1823725356323"/>
    <n v="2024225880927"/>
    <s v="Rack"/>
    <s v="TX2-5S"/>
    <n v="640"/>
    <s v="InTest"/>
  </r>
  <r>
    <s v="P25C05810"/>
    <s v="12/30/2025 9:40:30 AM"/>
    <x v="1"/>
    <s v="SR021227252667"/>
    <s v="RK023"/>
    <m/>
    <s v="12/30/2025"/>
    <x v="0"/>
    <s v="更新無作用"/>
    <s v="NVSwitch"/>
    <x v="2"/>
    <s v="MT2527603DK5"/>
    <s v="MT25326007L5"/>
    <s v="Rack"/>
    <s v="TX2-5S"/>
    <n v="640"/>
    <s v="InTest"/>
  </r>
  <r>
    <s v="P25C05842"/>
    <s v="12/30/2025 12:25:17 PM"/>
    <x v="1"/>
    <s v="SR021227254644"/>
    <s v="RK013"/>
    <m/>
    <s v="12/30/2025"/>
    <x v="0"/>
    <s v="開機按鍵無作用_更換_TW640"/>
    <s v="GB300 L10"/>
    <x v="9"/>
    <s v="A964512X5B16553"/>
    <s v="A964512X5C01820"/>
    <s v="Rack"/>
    <s v="TX2-5S"/>
    <n v="640"/>
    <s v="InTest"/>
  </r>
  <r>
    <s v="P25C05863"/>
    <s v="12/30/2025 2:28:15 PM"/>
    <x v="0"/>
    <s v="SR021220257073"/>
    <s v="RK024"/>
    <m/>
    <s v="12/30/2025"/>
    <x v="0"/>
    <s v="Cable cartridge Defect"/>
    <s v="Cable Cartridge"/>
    <x v="3"/>
    <n v="2024025350070"/>
    <n v="1822725186515"/>
    <s v="Rack"/>
    <s v="TX2-5S"/>
    <n v="640"/>
    <s v="InTest"/>
  </r>
  <r>
    <s v="P25C05865"/>
    <s v="12/30/2025 2:33:01 PM"/>
    <x v="1"/>
    <s v="SR021227253221"/>
    <s v="RK024"/>
    <m/>
    <s v="12/30/2025"/>
    <x v="0"/>
    <s v="Cable cartridge Defect"/>
    <s v="Cable Cartridge"/>
    <x v="3"/>
    <n v="2024025350042"/>
    <n v="1822725186525"/>
    <s v="Rack"/>
    <s v="TX2-5S"/>
    <n v="640"/>
    <s v="InTest"/>
  </r>
  <r>
    <s v="P25C05897"/>
    <s v="12/30/2025 5:08:40 PM"/>
    <x v="1"/>
    <s v="SR021227252667"/>
    <s v="RK202"/>
    <m/>
    <s v="12/30/2025"/>
    <x v="0"/>
    <s v="Error while invoking api /redfish/v1/Chassis/CBC_1. Error message =&gt; The requested resource of type Chassis named 'CBC_1' was not found."/>
    <s v="GB300 L10"/>
    <x v="9"/>
    <s v="A964512X5B11645"/>
    <s v="A964512X5C00516"/>
    <s v="Rack"/>
    <s v="TX2-5S"/>
    <n v="90131"/>
    <s v="InTest"/>
  </r>
  <r>
    <s v="P25C05935"/>
    <s v="12/30/2025 11:03:31 PM"/>
    <x v="1"/>
    <s v="SR021227253631"/>
    <s v="RK197"/>
    <m/>
    <s v="12/30/2025"/>
    <x v="0"/>
    <s v="L11 Cable Cartridge fail"/>
    <s v="Cable Cartridge"/>
    <x v="3"/>
    <n v="2024025350107"/>
    <n v="2024025350536"/>
    <s v="Rack"/>
    <s v="TX2-5S"/>
    <n v="90160"/>
    <s v="InTest"/>
  </r>
  <r>
    <s v="P25C05936"/>
    <s v="12/30/2025 11:21:42 PM"/>
    <x v="0"/>
    <s v="SR021223252813"/>
    <s v="RK202"/>
    <m/>
    <s v="12/30/2025"/>
    <x v="0"/>
    <s v="L11 Compute Node Information Consistent Check fail"/>
    <s v="GB300 L10"/>
    <x v="1"/>
    <s v="A968459X5B11402"/>
    <s v="A968459X5B16716"/>
    <s v="Rack"/>
    <s v="TX2-5S"/>
    <n v="90066"/>
    <s v="InTest"/>
  </r>
  <r>
    <s v="P25C05960"/>
    <s v="12/31/2025 12:56:23 AM"/>
    <x v="1"/>
    <s v="SR021227254945"/>
    <s v="RK202"/>
    <m/>
    <s v="12/31/2025"/>
    <x v="0"/>
    <s v="Error while invoking api /redfish/v1/Chassis/CBC_2. Error message =&gt; The requested resource of type Chassis named 'CBC_2' was not found."/>
    <s v="GB300 L10"/>
    <x v="9"/>
    <s v="A964512X5C00548"/>
    <s v="A964512X5B16409"/>
    <s v="Rack"/>
    <s v="TX2-5S"/>
    <n v="90131"/>
    <s v="InTest"/>
  </r>
  <r>
    <s v="P25C05961"/>
    <s v="12/31/2025 12:57:29 AM"/>
    <x v="1"/>
    <s v="SR021227254945"/>
    <s v="RK202"/>
    <m/>
    <s v="12/31/2025"/>
    <x v="0"/>
    <s v="Error while invoking api /redfish/v1/Chassis/CBC_2. Error message =&gt; The requested resource of type Chassis named 'CBC_2' was not found."/>
    <s v="GB300 L10"/>
    <x v="9"/>
    <s v="A964512X5C00061"/>
    <s v="A964512X5B16408"/>
    <s v="Rack"/>
    <s v="TX2-5S"/>
    <n v="90131"/>
    <s v="InTest"/>
  </r>
  <r>
    <s v="P25C05988"/>
    <s v="12/31/2025 8:07:15 AM"/>
    <x v="0"/>
    <s v="SR021219253630"/>
    <s v="RK024"/>
    <m/>
    <s v="12/31/2025"/>
    <x v="0"/>
    <s v="Cable cartridge Defect"/>
    <s v="Cable Cartridge"/>
    <x v="3"/>
    <n v="2024225881118"/>
    <n v="1822725186466"/>
    <s v="Rack"/>
    <s v="TX2-5S"/>
    <n v="640"/>
    <s v="InTest"/>
  </r>
  <r>
    <s v="P25C05989"/>
    <s v="12/31/2025 8:07:15 AM"/>
    <x v="0"/>
    <s v="SR021219253630"/>
    <s v="RK024"/>
    <m/>
    <s v="12/31/2025"/>
    <x v="0"/>
    <s v="Cable cartridge Defect"/>
    <s v="Cable Cartridge"/>
    <x v="3"/>
    <n v="2024225880908"/>
    <n v="1822725186520"/>
    <s v="Rack"/>
    <s v="TX2-5S"/>
    <n v="640"/>
    <s v="InTest"/>
  </r>
  <r>
    <s v="P25C06047"/>
    <s v="12/31/2025 1:50:46 PM"/>
    <x v="1"/>
    <s v="SR021227251311"/>
    <s v="RK024"/>
    <m/>
    <s v="12/31/2025"/>
    <x v="0"/>
    <s v="L11 TEST FAIL:SW2_CC2_C12,link_bad_quality_high_ber 12/31 PM894 協助過帳"/>
    <s v="Cable Cartridge"/>
    <x v="3"/>
    <n v="2024025350534"/>
    <n v="2024025350543"/>
    <s v="Rack"/>
    <s v="TX2-5S"/>
    <n v="1519"/>
    <s v="InTest"/>
  </r>
  <r>
    <s v="P25C06049"/>
    <s v="12/31/2025 12:57:08 PM"/>
    <x v="1"/>
    <s v="SR021230256171"/>
    <s v="RK109"/>
    <m/>
    <s v="12/31/2025"/>
    <x v="0"/>
    <s v="開機按鍵無作用"/>
    <s v="GB300 L10"/>
    <x v="9"/>
    <s v="A964512X5C03312"/>
    <s v="A964512X5C01815"/>
    <s v="Rack"/>
    <s v="TX2-5S"/>
    <n v="640"/>
    <s v="InTest"/>
  </r>
  <r>
    <s v="P25C06093"/>
    <s v="12/31/2025 4:53:23 PM"/>
    <x v="0"/>
    <s v="SR021220257073"/>
    <s v="RK024"/>
    <m/>
    <s v="12/31/2025"/>
    <x v="0"/>
    <s v="CBC_3_slot_id | Slot Id mismatch found 27 expected 20"/>
    <s v="Cable Cartridge"/>
    <x v="3"/>
    <n v="1823725356372"/>
    <n v="1823725356323"/>
    <s v="Rack"/>
    <s v="TX2-5S"/>
    <n v="90131"/>
    <s v="InTest"/>
  </r>
  <r>
    <s v="P25C06096"/>
    <s v="12/31/2025 5:06:03 PM"/>
    <x v="0"/>
    <s v="SR021219253630"/>
    <s v="RK024"/>
    <m/>
    <s v="12/31/2025"/>
    <x v="0"/>
    <s v="Cable cartridge Defect"/>
    <s v="Cable Cartridge"/>
    <x v="3"/>
    <n v="2024225881123"/>
    <n v="1822725186228"/>
    <s v="Rack"/>
    <s v="TX2-5S"/>
    <n v="90131"/>
    <s v="InTest"/>
  </r>
  <r>
    <s v="P25C06102"/>
    <s v="12/31/2025 5:54:52 PM"/>
    <x v="0"/>
    <s v="SR021219253630"/>
    <s v="RK023"/>
    <m/>
    <s v="12/31/2025"/>
    <x v="0"/>
    <s v="NVLINK Switch Functional Issue"/>
    <s v="NVSwitch"/>
    <x v="2"/>
    <s v="MT254160686E"/>
    <s v="MT25326007L3"/>
    <s v="Rack"/>
    <s v="TX2-5S"/>
    <n v="3908"/>
    <s v="InTest"/>
  </r>
  <r>
    <s v="P25C06103"/>
    <s v="12/31/2025 5:55:40 PM"/>
    <x v="1"/>
    <s v="SR021230256171"/>
    <s v="RK105"/>
    <m/>
    <s v="12/31/2025"/>
    <x v="0"/>
    <s v="Liquid cooling device has leakage! log: debug/liquid_cooling_device_leakage_detection_sel.log"/>
    <s v="GB300 L10"/>
    <x v="9"/>
    <s v="A964512X5C04396"/>
    <s v="A964512X5C01286"/>
    <s v="Rack"/>
    <s v="TX2-5S"/>
    <n v="90131"/>
    <s v="InTest"/>
  </r>
  <r>
    <s v="P25C06127"/>
    <s v="12/31/2025 9:49:06 PM"/>
    <x v="0"/>
    <s v="SR021223255480"/>
    <s v="RK202"/>
    <m/>
    <s v="12/31/2025"/>
    <x v="0"/>
    <s v="L11 Compute Node Information Consistent Check fail"/>
    <s v="GB300 L10"/>
    <x v="1"/>
    <s v="A968459X5C06952"/>
    <s v="A968459X5C05504"/>
    <s v="Rack"/>
    <s v="TX2-5S"/>
    <n v="90066"/>
    <s v="InTest"/>
  </r>
  <r>
    <s v="P26100036"/>
    <s v="1/1/2026 10:54:11 AM"/>
    <x v="1"/>
    <s v="SR021230256171"/>
    <s v="RK207"/>
    <m/>
    <s v="1/1/2026"/>
    <x v="0"/>
    <s v="GB200 L11 18 Node NCCL Test fail _nvidia-nccl-test_all_reduce FAIL"/>
    <s v="GB300 L10"/>
    <x v="9"/>
    <s v="A964512X5C03313"/>
    <s v="A964512X5C05726"/>
    <s v="Rack"/>
    <s v="TX2-5S"/>
    <n v="1237"/>
    <s v="InTest"/>
  </r>
  <r>
    <s v="P26100049"/>
    <s v="1/1/2026 12:37:41 PM"/>
    <x v="0"/>
    <s v="SR021220257073"/>
    <s v="RK024"/>
    <m/>
    <s v="1/1/2026"/>
    <x v="0"/>
    <s v="Cable cartridge Defect_CBC_3_slot_id | Slot Id mismatch found 27 expected 20_RYAN表示CC2和CC3可能都有問題需更換"/>
    <s v="Cable Cartridge"/>
    <x v="3"/>
    <n v="2024225880927"/>
    <n v="2024025350042"/>
    <s v="Rack"/>
    <s v="TX2-5S"/>
    <n v="1237"/>
    <s v="InTest"/>
  </r>
  <r>
    <s v="P26100050"/>
    <s v="1/1/2026 12:37:41 PM"/>
    <x v="0"/>
    <s v="SR021220257073"/>
    <s v="RK024"/>
    <m/>
    <s v="1/1/2026"/>
    <x v="0"/>
    <s v="Cable cartridge Defect_CBC_3_slot_id | Slot Id mismatch found 27 expected 20RYAN表示CC2和CC3可能都有問題需更換"/>
    <s v="Cable Cartridge"/>
    <x v="3"/>
    <n v="1823725356323"/>
    <n v="1823725356395"/>
    <s v="Rack"/>
    <s v="TX2-5S"/>
    <n v="1237"/>
    <s v="InTest"/>
  </r>
  <r>
    <s v="P26100053"/>
    <s v="1/1/2026 12:56:18 PM"/>
    <x v="0"/>
    <s v="SR021223258619"/>
    <s v="RK205"/>
    <m/>
    <s v="1/1/2026"/>
    <x v="0"/>
    <s v="GB200 L11 Compute Tray Nvidia Field Diag Test failC2C bus error @(Rack slot 22, CBC 3, 4x19 connector 3)"/>
    <s v="GB300 L10"/>
    <x v="1"/>
    <s v="A968459X5B08877"/>
    <s v="A968459X5C02937"/>
    <s v="Rack"/>
    <s v="TX2-5S"/>
    <n v="1237"/>
    <s v="InTest"/>
  </r>
  <r>
    <s v="P26100077"/>
    <s v="1/1/2026 3:28:01 PM"/>
    <x v="1"/>
    <s v="SR021230256950"/>
    <s v="RK001"/>
    <m/>
    <s v="1/1/2026"/>
    <x v="0"/>
    <s v="Unable to power on"/>
    <s v="GB300 L10"/>
    <x v="9"/>
    <s v="A964512X5C02666"/>
    <s v="A964512X5C05696"/>
    <s v="Rack"/>
    <s v="TX2-5S"/>
    <n v="90131"/>
    <s v="InTest"/>
  </r>
  <r>
    <s v="P26100081"/>
    <s v="1/1/2026 3:42:00 PM"/>
    <x v="0"/>
    <s v="SR021223258619"/>
    <s v="RK209"/>
    <m/>
    <s v="1/1/2026"/>
    <x v="0"/>
    <s v="GPU name no MaxQ in DMI GPU SN: 1654225049213"/>
    <s v="GB300 L10"/>
    <x v="1"/>
    <s v="A968459X5C02937"/>
    <s v="A968459X5B14004"/>
    <s v="Rack"/>
    <s v="TX2-5S"/>
    <n v="3908"/>
    <s v="InTest"/>
  </r>
  <r>
    <s v="P26100088"/>
    <s v="1/1/2026 5:17:06 PM"/>
    <x v="0"/>
    <s v="SR021220257073"/>
    <s v="RK024"/>
    <m/>
    <s v="1/1/2026"/>
    <x v="0"/>
    <s v="Cable cartridge Defect - CC FD TEST FAIL"/>
    <s v="Cable Cartridge"/>
    <x v="3"/>
    <n v="1823725356395"/>
    <n v="2024225881118"/>
    <s v="Rack"/>
    <s v="TX2-5S"/>
    <n v="3908"/>
    <s v="InTest"/>
  </r>
  <r>
    <s v="P26100089"/>
    <s v="1/1/2026 5:19:01 PM"/>
    <x v="0"/>
    <s v="SR021220257073"/>
    <s v="RK204"/>
    <m/>
    <s v="1/1/2026"/>
    <x v="0"/>
    <s v="CC FD TEST FAIL"/>
    <s v="NVSwitch"/>
    <x v="2"/>
    <s v="MT2533600Z5A"/>
    <s v="MT2529605BFN"/>
    <s v="Rack"/>
    <s v="TX2-5S"/>
    <n v="3908"/>
    <s v="InTest"/>
  </r>
  <r>
    <s v="P26100090"/>
    <s v="1/1/2026 5:30:59 PM"/>
    <x v="0"/>
    <s v="SR021220257073"/>
    <s v="RK209"/>
    <m/>
    <s v="1/1/2026"/>
    <x v="0"/>
    <s v="ONLY 71 NVLINK GPU3 LINK2 INACTIVE"/>
    <s v="GB300 L10"/>
    <x v="1"/>
    <s v="A968459X5C10278"/>
    <s v="A968459X5C09724"/>
    <s v="Rack"/>
    <s v="TX2-5S"/>
    <n v="3908"/>
    <s v="InTest"/>
  </r>
  <r>
    <s v="P26100092"/>
    <s v="1/1/2026 5:36:42 PM"/>
    <x v="0"/>
    <s v="SR021220257073"/>
    <s v="RK202"/>
    <m/>
    <s v="1/1/2026"/>
    <x v="0"/>
    <s v="CC FD TEST FAILED SLOT / TRAY ID MISMATCH"/>
    <s v="GB300 L10"/>
    <x v="1"/>
    <s v="A968459X5C04150"/>
    <s v="A968459X5C08893"/>
    <s v="Rack"/>
    <s v="TX2-5S"/>
    <n v="3908"/>
    <s v="InTest"/>
  </r>
  <r>
    <s v="P26100093"/>
    <s v="1/1/2026 5:37:41 PM"/>
    <x v="0"/>
    <s v="SR021220257073"/>
    <s v="RK202"/>
    <m/>
    <s v="1/1/2026"/>
    <x v="0"/>
    <s v="CC FD TEST FAILED SLOT / TRAY ID MISMATCH"/>
    <s v="GB300 L10"/>
    <x v="1"/>
    <s v="A968459X5C12581"/>
    <s v="A968459X5C05591"/>
    <s v="Rack"/>
    <s v="TX2-5S"/>
    <n v="3908"/>
    <s v="InTest"/>
  </r>
  <r>
    <s v="P26100094"/>
    <s v="1/1/2026 5:39:35 PM"/>
    <x v="0"/>
    <s v="SR021220257073"/>
    <s v="RK202"/>
    <m/>
    <s v="1/1/2026"/>
    <x v="0"/>
    <s v="CC FD TEST FAILED SLOT / TRAY ID MISMATCH"/>
    <s v="GB300 L10"/>
    <x v="1"/>
    <s v="A968459X5C04150"/>
    <s v="A968459X5C08893"/>
    <s v="Rack"/>
    <s v="TX2-5S"/>
    <n v="3908"/>
    <s v="InTest"/>
  </r>
  <r>
    <s v="P26100098"/>
    <s v="1/1/2026 5:57:54 PM"/>
    <x v="1"/>
    <s v="SR021230252693"/>
    <s v="RK197"/>
    <m/>
    <s v="1/1/2026"/>
    <x v="0"/>
    <s v="L11 Cable Cartridge fail"/>
    <s v="Cable Cartridge"/>
    <x v="3"/>
    <n v="1824825354656"/>
    <n v="2024025350520"/>
    <s v="Rack"/>
    <s v="TX2-5S"/>
    <n v="90066"/>
    <s v="InTest"/>
  </r>
  <r>
    <s v="P26100102"/>
    <s v="1/1/2026 6:27:23 PM"/>
    <x v="1"/>
    <s v="SR021230252536"/>
    <s v="RK202"/>
    <m/>
    <s v="1/1/2026"/>
    <x v="0"/>
    <s v="L11 Compute Node Information Consistent Check fail"/>
    <s v="GB300 L10"/>
    <x v="9"/>
    <s v="A964512X5C07725"/>
    <s v="A964512X5C02092"/>
    <s v="Rack"/>
    <s v="TX2-5S"/>
    <n v="90066"/>
    <s v="InTest"/>
  </r>
  <r>
    <s v="P26100111"/>
    <s v="1/1/2026 8:22:47 PM"/>
    <x v="0"/>
    <s v="SR021223256279"/>
    <s v="RK202"/>
    <m/>
    <s v="1/1/2026"/>
    <x v="0"/>
    <s v="L11 Compute Node Information Consistent Check fail"/>
    <s v="GB300 L10"/>
    <x v="1"/>
    <s v="A968459X5C04001"/>
    <s v="A968459X5C09746"/>
    <s v="Rack"/>
    <s v="TX2-5S"/>
    <n v="90160"/>
    <s v="InTest"/>
  </r>
  <r>
    <s v="P26100114"/>
    <s v="1/1/2026 8:36:14 PM"/>
    <x v="0"/>
    <s v="SR021223252263"/>
    <s v="RK202"/>
    <m/>
    <s v="1/1/2026"/>
    <x v="0"/>
    <s v="L11 Compute Node Information Consistent Check fail"/>
    <s v="GB300 L10"/>
    <x v="1"/>
    <s v="A968459X5C09916"/>
    <s v="A968459X5C03546"/>
    <s v="Rack"/>
    <s v="TX2-5S"/>
    <n v="90160"/>
    <s v="InTest"/>
  </r>
  <r>
    <s v="P26100120"/>
    <s v="1/1/2026 9:18:09 PM"/>
    <x v="0"/>
    <s v="SR021223252263"/>
    <s v="RK202"/>
    <m/>
    <s v="1/1/2026"/>
    <x v="0"/>
    <s v="L11 Compute Node Information Consistent Check fail"/>
    <s v="GB300 L10"/>
    <x v="1"/>
    <s v="A968459X5C03546"/>
    <s v="A968459X5C12870"/>
    <s v="Rack"/>
    <s v="TX2-5S"/>
    <n v="90160"/>
    <s v="InTest"/>
  </r>
  <r>
    <s v="P26100126"/>
    <s v="1/1/2026 10:13:59 PM"/>
    <x v="0"/>
    <s v="SR021220257073"/>
    <s v="RK202"/>
    <m/>
    <s v="1/1/2026"/>
    <x v="0"/>
    <s v="only 71 NVLink status shows OK"/>
    <s v="GB300 L10"/>
    <x v="1"/>
    <s v="A968459X5C09724"/>
    <s v="A968459X5C10854"/>
    <s v="Rack"/>
    <s v="TX2-5S"/>
    <n v="90168"/>
    <s v="InTest"/>
  </r>
  <r>
    <s v="P26100157"/>
    <s v="1/2/2026 9:23:05 AM"/>
    <x v="0"/>
    <s v="SR021220257073"/>
    <s v="RK024"/>
    <m/>
    <s v="1/2/2026"/>
    <x v="0"/>
    <s v="CC_導致R-Burn_Fail_已更換_PM1265"/>
    <s v="Cable Cartridge"/>
    <x v="3"/>
    <n v="2024025350042"/>
    <n v="2024025350583"/>
    <s v="Rack"/>
    <s v="TX2-5S"/>
    <n v="3908"/>
    <s v="InTest"/>
  </r>
  <r>
    <s v="P26100183"/>
    <s v="1/2/2026 12:19:52 PM"/>
    <x v="1"/>
    <s v="SR021230256950"/>
    <s v="RK098"/>
    <m/>
    <s v="1/2/2026"/>
    <x v="0"/>
    <s v="script failed to execute"/>
    <s v="GB300 L10"/>
    <x v="9"/>
    <s v="A964512X5C05701"/>
    <s v="A964512X5C02053"/>
    <s v="Rack"/>
    <s v="TX2-5S"/>
    <n v="718"/>
    <s v="InTest"/>
  </r>
  <r>
    <s v="P26100185"/>
    <s v="1/2/2026 12:52:37 PM"/>
    <x v="0"/>
    <s v="SR021220257073"/>
    <s v="RK024"/>
    <m/>
    <s v="1/2/2026"/>
    <x v="0"/>
    <s v="CC_導致R-Burn_Fail_已更換_PM1265"/>
    <s v="Cable Cartridge"/>
    <x v="3"/>
    <n v="2024225881118"/>
    <n v="2024025352041"/>
    <s v="Rack"/>
    <s v="TX2-5S"/>
    <n v="3908"/>
    <s v="InTest"/>
  </r>
  <r>
    <s v="P26100272"/>
    <s v="1/3/2026 12:49:52 AM"/>
    <x v="1"/>
    <s v="SR021230253230"/>
    <s v="RK202"/>
    <m/>
    <s v="1/3/2026"/>
    <x v="0"/>
    <s v="L11 Compute Node Information Consistent Check fail"/>
    <s v="GB300 L10"/>
    <x v="9"/>
    <s v="A964512X5C11734"/>
    <s v="A964512X5C02053"/>
    <s v="Rack"/>
    <s v="TX2-5S"/>
    <n v="90160"/>
    <s v="InTest"/>
  </r>
  <r>
    <s v="P26100275"/>
    <s v="1/3/2026 1:08:29 AM"/>
    <x v="1"/>
    <s v="SR021230253230"/>
    <s v="RK099"/>
    <m/>
    <s v="1/3/2026"/>
    <x v="0"/>
    <s v="Unable to power on"/>
    <s v="GB300 L10"/>
    <x v="9"/>
    <s v="A964512X5C07399"/>
    <s v="A964512X5C04396"/>
    <s v="Rack"/>
    <s v="TX2-5S"/>
    <n v="924"/>
    <s v="InTest"/>
  </r>
  <r>
    <s v="P26100293"/>
    <s v="1/3/2026 12:34:27 PM"/>
    <x v="1"/>
    <s v="SR021230256950"/>
    <s v="RK098"/>
    <m/>
    <s v="1/3/2026"/>
    <x v="0"/>
    <s v="script failed to execute_已更換_PM1265"/>
    <s v="GB300 L10"/>
    <x v="9"/>
    <s v="A964512X5C05701"/>
    <s v="A964512X5C02070"/>
    <s v="Rack"/>
    <s v="TX2-5S"/>
    <n v="3908"/>
    <s v="InTest"/>
  </r>
  <r>
    <s v="P26100327"/>
    <s v="1/3/2026 4:19:46 PM"/>
    <x v="0"/>
    <s v="SR021226257094"/>
    <s v="RK202"/>
    <m/>
    <s v="1/3/2026"/>
    <x v="0"/>
    <s v="L11 Compute Node Information Consistent Check fail"/>
    <s v="GB300 L10"/>
    <x v="1"/>
    <s v="A968459X5C09709"/>
    <s v="A968459X5C03546"/>
    <s v="Rack"/>
    <s v="TX2-5S"/>
    <n v="90160"/>
    <s v="InTest"/>
  </r>
  <r>
    <s v="P26100349"/>
    <s v="1/3/2026 10:55:22 PM"/>
    <x v="0"/>
    <s v="SR021226255126"/>
    <s v="RK202"/>
    <m/>
    <s v="1/3/2026"/>
    <x v="0"/>
    <s v="L11 Compute Node Information Consistent Check fail"/>
    <s v="GB300 L10"/>
    <x v="1"/>
    <s v="A968459X5B07143"/>
    <s v="A968459X5C19237"/>
    <s v="Rack"/>
    <s v="TX2-5S"/>
    <n v="90160"/>
    <s v="InTest"/>
  </r>
  <r>
    <s v="P26100371"/>
    <s v="1/4/2026 1:12:14 PM"/>
    <x v="0"/>
    <s v="SR021226255126"/>
    <s v="RK024"/>
    <m/>
    <s v="1/4/2026"/>
    <x v="0"/>
    <s v="L11 TEST FAIL:大量CC1_C2 link_none_TW2803_更換CC1"/>
    <s v="Cable Cartridge"/>
    <x v="3"/>
    <n v="2024225881343"/>
    <n v="2024025350540"/>
    <s v="Rack"/>
    <s v="TX2-5S"/>
    <n v="1519"/>
    <s v="InTest"/>
  </r>
  <r>
    <s v="P26100943"/>
    <s v="1/7/2026 3:42:38 PM"/>
    <x v="1"/>
    <s v="SR021230255791"/>
    <s v="RK202"/>
    <m/>
    <s v="1/7/2026"/>
    <x v="0"/>
    <s v="L11 Compute Node Information Consistent Check fail"/>
    <s v="GB300 L10"/>
    <x v="9"/>
    <s v="A964512X5B11970"/>
    <s v="A964512X5B11532"/>
    <s v="Rack"/>
    <s v="TX2-5S"/>
    <n v="90160"/>
    <s v="InTest"/>
  </r>
  <r>
    <s v="P26101227"/>
    <s v="1/9/2026 10:37:34 AM"/>
    <x v="1"/>
    <s v="SR021230258880"/>
    <s v="CB017"/>
    <m/>
    <s v="1/8/2026"/>
    <x v="0"/>
    <s v="1/9 L11 LAN CABLE FAIL (U47. P15 / U13 GPU. BMC)_TW4520_協助過帳"/>
    <s v="RJ45"/>
    <x v="10"/>
    <s v="353835B32200"/>
    <s v="353835B32494"/>
    <s v="Rack"/>
    <s v="TX2-5S"/>
    <n v="90160"/>
    <s v="InTest"/>
  </r>
  <r>
    <s v="P26101287"/>
    <s v="1/8/2026 8:53:10 PM"/>
    <x v="1"/>
    <s v="SR021230254344"/>
    <s v="RK201"/>
    <m/>
    <s v="1/8/2026"/>
    <x v="0"/>
    <s v="L11 NVLink Switch Information Consistent Check fail (Auto Restart, cannot update)"/>
    <s v="NVSwitch"/>
    <x v="2"/>
    <s v="MT2529602A9D"/>
    <s v="MT2529605BFM"/>
    <s v="Rack"/>
    <s v="TX2-5S"/>
    <n v="90160"/>
    <s v="InTest"/>
  </r>
  <r>
    <s v="P26101341"/>
    <s v="1/8/2026 10:47:14 PM"/>
    <x v="1"/>
    <s v="SR021230253279"/>
    <s v="RK202"/>
    <m/>
    <s v="1/8/2026"/>
    <x v="0"/>
    <s v="L11 Compute Node Information Consistent Check fail"/>
    <s v="GB300 L10"/>
    <x v="9"/>
    <s v="A964512X5B11645"/>
    <s v="A964512X5C11643"/>
    <s v="Rack"/>
    <s v="TX2-5S"/>
    <n v="90160"/>
    <s v="InTest"/>
  </r>
  <r>
    <s v="P26101345"/>
    <s v="1/8/2026 10:48:31 PM"/>
    <x v="1"/>
    <s v="SR021230253279"/>
    <s v="RK202"/>
    <m/>
    <s v="1/8/2026"/>
    <x v="0"/>
    <s v="L11 Compute Node Information Consistent Check fail"/>
    <s v="GB300 L10"/>
    <x v="9"/>
    <s v="A964512X5C01744"/>
    <s v="A964512X6103181"/>
    <s v="Rack"/>
    <s v="TX2-5S"/>
    <n v="90160"/>
    <s v="InTest"/>
  </r>
  <r>
    <s v="P26101375"/>
    <s v="1/9/2026 12:41:57 AM"/>
    <x v="1"/>
    <s v="SR021230259553"/>
    <s v="RK202"/>
    <m/>
    <s v="1/9/2026"/>
    <x v="0"/>
    <s v="L11 Compute Node Information Consistent Check fail"/>
    <s v="GB300 L10"/>
    <x v="9"/>
    <s v="A964512X5C20253"/>
    <s v="A964512X5C11816"/>
    <s v="Rack"/>
    <s v="TX2-5S"/>
    <n v="90160"/>
    <s v="InTest"/>
  </r>
  <r>
    <s v="P26101385"/>
    <s v="1/9/2026 1:14:28 AM"/>
    <x v="1"/>
    <s v="SR021230254344"/>
    <s v="RK202"/>
    <m/>
    <s v="1/9/2026"/>
    <x v="0"/>
    <s v="L11 Compute Node Information Consistent Check fail"/>
    <s v="GB300 L10"/>
    <x v="9"/>
    <s v="A964512X5C08533"/>
    <s v="A964512X5C01710"/>
    <s v="Rack"/>
    <s v="TX2-5S"/>
    <n v="90160"/>
    <s v="InTest"/>
  </r>
  <r>
    <s v="P26101658"/>
    <s v="1/9/2026 8:12:06 PM"/>
    <x v="1"/>
    <s v="SR021230259214"/>
    <s v="RK202"/>
    <m/>
    <s v="1/9/2026"/>
    <x v="0"/>
    <s v="L11 Compute Node Information Consistent Check fail"/>
    <s v="GB300 L10"/>
    <x v="9"/>
    <s v="A964512X6103185"/>
    <s v="A964512X6103155"/>
    <s v="Rack"/>
    <s v="TX2-5S"/>
    <n v="90160"/>
    <s v="InTest"/>
  </r>
  <r>
    <s v="P26101684"/>
    <s v="1/10/2026 12:48:04 AM"/>
    <x v="1"/>
    <s v="SR021230252023"/>
    <s v="RK205"/>
    <m/>
    <s v="1/9/2026"/>
    <x v="0"/>
    <s v="L11 Compute Tray Nvidia Field Diag Test fail"/>
    <s v="GB300 L10"/>
    <x v="9"/>
    <s v="A964512X6101791"/>
    <s v="A964512X6101820"/>
    <s v="Rack"/>
    <s v="TX2-5S"/>
    <n v="90160"/>
    <s v="InTest"/>
  </r>
  <r>
    <s v="P26101746"/>
    <s v="1/10/2026 12:49:23 AM"/>
    <x v="1"/>
    <s v="SR021230252023"/>
    <s v="RK202"/>
    <m/>
    <s v="1/10/2026"/>
    <x v="0"/>
    <s v="L11 Compute Node Information Consistent Check fail"/>
    <s v="GB300 L10"/>
    <x v="9"/>
    <s v="A964512X5C11853"/>
    <s v="A964512X6101657"/>
    <s v="Rack"/>
    <s v="TX2-5S"/>
    <n v="90160"/>
    <s v="InTest"/>
  </r>
  <r>
    <s v="P26101748"/>
    <s v="1/10/2026 1:12:13 AM"/>
    <x v="1"/>
    <s v="SR021230259214"/>
    <s v="RK202"/>
    <m/>
    <s v="1/10/2026"/>
    <x v="0"/>
    <s v="L11 Compute Node Information Consistent Check fail"/>
    <s v="GB300 L10"/>
    <x v="9"/>
    <s v="A964512X5C11861"/>
    <s v="A964512X6104943"/>
    <s v="Rack"/>
    <s v="TX2-5S"/>
    <n v="90160"/>
    <s v="InTest"/>
  </r>
  <r>
    <s v="P26101751"/>
    <s v="1/10/2026 1:41:30 AM"/>
    <x v="1"/>
    <s v="SR021230254467"/>
    <s v="RK197"/>
    <m/>
    <s v="1/10/2026"/>
    <x v="0"/>
    <s v="L11 Cable Cartridge fail"/>
    <s v="Cable Cartridge"/>
    <x v="3"/>
    <n v="1824825354932"/>
    <n v="2024025350513"/>
    <s v="Rack"/>
    <s v="TX2-5S"/>
    <n v="90160"/>
    <s v="InTest"/>
  </r>
  <r>
    <s v="P26101857"/>
    <s v="1/10/2026 6:01:21 PM"/>
    <x v="1"/>
    <s v="SR021230259405"/>
    <s v="RK023"/>
    <m/>
    <s v="1/10/2026"/>
    <x v="0"/>
    <s v="Unable to detect / reset ip on FW NVLink Switch Update"/>
    <s v="NVSwitch"/>
    <x v="2"/>
    <s v="MT2525600N0U"/>
    <s v="MT2542602565"/>
    <s v="Rack"/>
    <s v="TX2-5S"/>
    <n v="3908"/>
    <s v="InTest"/>
  </r>
  <r>
    <s v="P26101944"/>
    <s v="1/11/2026 8:14:35 AM"/>
    <x v="1"/>
    <s v="SR021230259428"/>
    <s v="RK022"/>
    <m/>
    <s v="1/11/2026"/>
    <x v="1"/>
    <s v="L11 TEST FAIL:Powershelf #3 FAIL"/>
    <s v="LiteOn Power Shelf Right Input"/>
    <x v="7"/>
    <s v="613339RBX04X153828H"/>
    <m/>
    <s v="Rack"/>
    <s v="TX2-5S"/>
    <n v="1519"/>
    <s v="InTest"/>
  </r>
  <r>
    <s v="P26101946"/>
    <s v="1/12/2026 7:37:51 AM"/>
    <x v="1"/>
    <s v="SR021230259428"/>
    <s v="RK022"/>
    <m/>
    <s v="1/11/2026"/>
    <x v="0"/>
    <s v="L11 TEST FAIL:powershelf#3 update fail 1/12 TW4520協助過帳"/>
    <s v="LiteOn Power Shelf Right Input"/>
    <x v="7"/>
    <s v="613339RBX04X153828H"/>
    <s v="613339RBX04X15352HJ"/>
    <s v="Rack"/>
    <s v="TX2-5S"/>
    <n v="924"/>
    <s v="InTest"/>
  </r>
  <r>
    <s v="P26101947"/>
    <s v="1/12/2026 7:37:51 AM"/>
    <x v="1"/>
    <s v="SR021230259428"/>
    <s v="RK022"/>
    <m/>
    <s v="1/11/2026"/>
    <x v="0"/>
    <s v="L11 TEST FAIL:powershelf#3 update fail,抓不到IP 1/12 TW4520協助過帳"/>
    <s v="LiteOn power shelf control module"/>
    <x v="8"/>
    <s v="614MP1RBX03X154003R"/>
    <s v="614MP1RBX03X15401B0"/>
    <s v="Rack"/>
    <s v="TX2-5S"/>
    <n v="924"/>
    <s v="InTest"/>
  </r>
  <r>
    <s v="P26101964"/>
    <s v="1/12/2026 8:58:03 PM"/>
    <x v="1"/>
    <s v="SR021230252547"/>
    <s v="RK024"/>
    <m/>
    <s v="1/11/2026"/>
    <x v="0"/>
    <s v="L11 TEST FAIL:SW8,CC1_C7, link_none"/>
    <s v="Cable Cartridge"/>
    <x v="3"/>
    <n v="2024325880474"/>
    <n v="1824725354786"/>
    <s v="Rack"/>
    <s v="TX2-5S"/>
    <n v="1519"/>
    <s v="InTest"/>
  </r>
  <r>
    <s v="P26101996"/>
    <s v="1/11/2026 6:19:29 PM"/>
    <x v="1"/>
    <s v="SR021230258211"/>
    <s v="RK202"/>
    <m/>
    <s v="1/11/2026"/>
    <x v="0"/>
    <s v="L11 Compute Node Information Consistent Check fail"/>
    <s v="GB300 L10"/>
    <x v="9"/>
    <s v="A964512X5C11879"/>
    <s v="A964512X6105411"/>
    <s v="Rack"/>
    <s v="TX2-5S"/>
    <n v="90160"/>
    <s v="InTest"/>
  </r>
  <r>
    <s v="P26101997"/>
    <s v="1/11/2026 6:20:25 PM"/>
    <x v="1"/>
    <s v="SR021230258211"/>
    <s v="RK202"/>
    <m/>
    <s v="1/11/2026"/>
    <x v="0"/>
    <s v="L11 Compute Node Information Consistent Check fail"/>
    <s v="GB300 L10"/>
    <x v="9"/>
    <s v="A964512X5C11700"/>
    <s v="A964512X6105473"/>
    <s v="Rack"/>
    <s v="TX2-5S"/>
    <n v="90160"/>
    <s v="InTest"/>
  </r>
  <r>
    <s v="P26101998"/>
    <s v="1/11/2026 6:21:19 PM"/>
    <x v="1"/>
    <s v="SR021230258211"/>
    <s v="RK202"/>
    <m/>
    <s v="1/11/2026"/>
    <x v="0"/>
    <s v="L11 Compute Node Information Consistent Check fail"/>
    <s v="GB300 L10"/>
    <x v="9"/>
    <s v="A964512X5C11889"/>
    <s v="A964512X6104993"/>
    <s v="Rack"/>
    <s v="TX2-5S"/>
    <n v="90160"/>
    <s v="InTest"/>
  </r>
  <r>
    <s v="P26102109"/>
    <s v="1/12/2026 6:26:18 PM"/>
    <x v="1"/>
    <s v="SR020108262194"/>
    <s v="RK023"/>
    <m/>
    <s v="1/12/2026"/>
    <x v="0"/>
    <s v="L11 TEST FAIL:抓不到IP"/>
    <s v="NVSwitch"/>
    <x v="2"/>
    <s v="MT2531602UZH"/>
    <s v="MT253060319J"/>
    <s v="Rack"/>
    <s v="TX2-5S"/>
    <n v="1519"/>
    <s v="InTest"/>
  </r>
  <r>
    <s v="P26102110"/>
    <s v="1/12/2026 6:26:18 PM"/>
    <x v="1"/>
    <s v="SR020108262194"/>
    <s v="RK023"/>
    <m/>
    <s v="1/12/2026"/>
    <x v="0"/>
    <s v="L11 TEST FAIL:恆亮橘燈"/>
    <s v="NVSwitch"/>
    <x v="2"/>
    <s v="MT2531601ZZ1"/>
    <s v="MT25426024JP"/>
    <s v="Rack"/>
    <s v="TX2-5S"/>
    <n v="1519"/>
    <s v="InTest"/>
  </r>
  <r>
    <s v="P26102141"/>
    <s v="1/12/2026 3:50:27 PM"/>
    <x v="1"/>
    <s v="SR020108264510"/>
    <s v="RK202"/>
    <m/>
    <s v="1/12/2026"/>
    <x v="0"/>
    <s v="L11 Compute Node Information Consistent Check fail"/>
    <s v="GB300 L10"/>
    <x v="9"/>
    <s v="A964512X6101782"/>
    <s v="A964512X6104983"/>
    <s v="Rack"/>
    <s v="TX2-5S"/>
    <n v="90160"/>
    <s v="InTest"/>
  </r>
  <r>
    <s v="P26102159"/>
    <s v="1/12/2026 5:05:42 PM"/>
    <x v="1"/>
    <s v="SR020108261237"/>
    <s v="RK202"/>
    <m/>
    <s v="1/12/2026"/>
    <x v="0"/>
    <s v="L11 Compute Node Information Consistent Check fail"/>
    <s v="GB300 L10"/>
    <x v="9"/>
    <s v="A964512X6104540"/>
    <s v="A964512X6104984"/>
    <s v="Rack"/>
    <s v="TX2-5S"/>
    <n v="90160"/>
    <s v="InTest"/>
  </r>
  <r>
    <s v="P26102301"/>
    <s v="1/13/2026 10:42:49 AM"/>
    <x v="1"/>
    <s v="SR020108264407"/>
    <s v="RK024"/>
    <m/>
    <s v="1/13/2026"/>
    <x v="0"/>
    <s v="CC_導致R-Burn_FAIL_已更換_PM1265"/>
    <s v="Cable Cartridge"/>
    <x v="3"/>
    <n v="1823925184924"/>
    <n v="1824025184891"/>
    <s v="Rack"/>
    <s v="TX2-5S"/>
    <n v="3908"/>
    <s v="InTest"/>
  </r>
  <r>
    <s v="P26102343"/>
    <s v="1/13/2026 4:42:41 PM"/>
    <x v="1"/>
    <s v="SR020108262194"/>
    <s v="RK202"/>
    <m/>
    <s v="1/13/2026"/>
    <x v="0"/>
    <s v="L11 Compute Node Information Consistent Check fail"/>
    <s v="GB300 L10"/>
    <x v="9"/>
    <s v="A964512X6101813"/>
    <s v="A964512X6106120"/>
    <s v="Rack"/>
    <s v="TX2-5S"/>
    <n v="90160"/>
    <s v="InTest"/>
  </r>
  <r>
    <s v="P26102347"/>
    <s v="1/13/2026 5:00:39 PM"/>
    <x v="1"/>
    <s v="SR020108268705"/>
    <s v="RK202"/>
    <m/>
    <s v="1/13/2026"/>
    <x v="0"/>
    <s v="L11 Compute Node Information Consistent Check fail"/>
    <s v="GB300 L10"/>
    <x v="9"/>
    <s v="A964512X5C11873"/>
    <s v="A964512X6106118"/>
    <s v="Rack"/>
    <s v="TX2-5S"/>
    <n v="90160"/>
    <s v="InTest"/>
  </r>
  <r>
    <s v="P26102406"/>
    <s v="1/13/2026 10:23:36 PM"/>
    <x v="1"/>
    <s v="SR020108264407"/>
    <s v="RK202"/>
    <m/>
    <s v="1/13/2026"/>
    <x v="0"/>
    <s v="L11 Compute Node Information Consistent Check fail"/>
    <s v="GB300 L10"/>
    <x v="9"/>
    <s v="A964512X6104586"/>
    <s v="A964512X6104961"/>
    <s v="Rack"/>
    <s v="TX2-5S"/>
    <n v="90160"/>
    <s v="InTest"/>
  </r>
  <r>
    <s v="P26102440"/>
    <s v="1/14/2026 12:15:56 PM"/>
    <x v="1"/>
    <s v="SR020108268872"/>
    <s v="RK022"/>
    <m/>
    <s v="1/14/2026"/>
    <x v="2"/>
    <s v="L11 TEST FAIL:powershelf#4,Inventory and LEDs :Power Supply 2 Health Critical 1/14 TW4520協助過帳"/>
    <s v="power shelf left input"/>
    <x v="11"/>
    <s v="613337RBX04X15412EH"/>
    <m/>
    <s v="Rack"/>
    <s v="TX2-5S"/>
    <n v="924"/>
    <s v="InTest"/>
  </r>
  <r>
    <s v="P26102487"/>
    <s v="1/15/2026 1:27:36 AM"/>
    <x v="1"/>
    <s v="SR020108264818"/>
    <s v="RK023"/>
    <m/>
    <s v="1/14/2026"/>
    <x v="0"/>
    <s v="nvlswitch 機箱刮傷"/>
    <s v="NVSwitch"/>
    <x v="2"/>
    <s v="MT2531600HH2"/>
    <s v="MT25336001MF"/>
    <s v="Rack"/>
    <s v="TX2-5S"/>
    <n v="1519"/>
    <s v="InTest"/>
  </r>
  <r>
    <s v="P26102518"/>
    <s v="1/14/2026 3:14:32 PM"/>
    <x v="1"/>
    <s v="SR020108261912"/>
    <s v="RK098"/>
    <m/>
    <s v="1/14/2026"/>
    <x v="0"/>
    <s v="單機導致R-Burn FAIL"/>
    <s v="GB300 L10"/>
    <x v="9"/>
    <s v="A964512X5C01550"/>
    <s v="A964512X6104948"/>
    <s v="Rack"/>
    <s v="TX2-5S"/>
    <n v="3908"/>
    <s v="InTest"/>
  </r>
  <r>
    <s v="P26102571"/>
    <s v="1/14/2026 10:32:29 PM"/>
    <x v="1"/>
    <s v="SR020108263414"/>
    <s v="RK202"/>
    <m/>
    <s v="1/14/2026"/>
    <x v="0"/>
    <s v="L11 Compute Node Information Consistent Check fail"/>
    <s v="GB300 L10"/>
    <x v="9"/>
    <s v="A964512X6104614"/>
    <s v="A964512X6106141"/>
    <s v="Rack"/>
    <s v="TX2-5S"/>
    <n v="90160"/>
    <s v="InTest"/>
  </r>
  <r>
    <s v="P26102612"/>
    <s v="1/15/2026 1:28:39 AM"/>
    <x v="1"/>
    <s v="SR020108264818"/>
    <s v="RK201"/>
    <m/>
    <s v="1/15/2026"/>
    <x v="0"/>
    <s v="L11 NVLink Switch Information Consistent Check fail"/>
    <s v="NVSwitch"/>
    <x v="2"/>
    <s v="MT25316020Z4"/>
    <s v="MT2532602RDK"/>
    <s v="Rack"/>
    <s v="TX2-5S"/>
    <n v="90160"/>
    <s v="InTest"/>
  </r>
  <r>
    <s v="P26102693"/>
    <s v="1/15/2026 3:55:27 PM"/>
    <x v="1"/>
    <s v="SR020108269283"/>
    <s v="RK202"/>
    <m/>
    <s v="1/15/2026"/>
    <x v="0"/>
    <s v="L11 Compute Node Information Consistent Check fail"/>
    <s v="GB300 L10"/>
    <x v="9"/>
    <s v="A964512X6105560"/>
    <s v="A964512X6103186"/>
    <s v="Rack"/>
    <s v="TX2-5S"/>
    <n v="90160"/>
    <s v="InTest"/>
  </r>
  <r>
    <s v="P26102750"/>
    <s v="1/15/2026 5:55:01 PM"/>
    <x v="1"/>
    <s v="SR020108269283"/>
    <s v="RK202"/>
    <m/>
    <s v="1/15/2026"/>
    <x v="0"/>
    <s v="L11 Compute Node Information Consistent Check fail"/>
    <s v="GB300 L10"/>
    <x v="9"/>
    <s v="A964512X6103170"/>
    <s v="A964512X5C11879"/>
    <s v="Rack"/>
    <s v="TX2-5S"/>
    <n v="90160"/>
    <s v="InTest"/>
  </r>
  <r>
    <s v="P26102774"/>
    <s v="1/15/2026 8:04:53 PM"/>
    <x v="1"/>
    <s v="SR020108269283"/>
    <s v="RK202"/>
    <m/>
    <s v="1/15/2026"/>
    <x v="0"/>
    <s v="L11 Compute Node Information Consistent Check fail"/>
    <s v="GB300 L10"/>
    <x v="9"/>
    <s v="A964512X5C01609"/>
    <s v="A964512X5C11675"/>
    <s v="Rack"/>
    <s v="TX2-5S"/>
    <n v="90160"/>
    <s v="InTest"/>
  </r>
  <r>
    <s v="P26102797"/>
    <s v="1/15/2026 10:46:36 PM"/>
    <x v="1"/>
    <s v="SR020108264927"/>
    <s v="RK202"/>
    <m/>
    <s v="1/15/2026"/>
    <x v="0"/>
    <s v="L11 Compute Node Information Consistent Check fail"/>
    <s v="GB300 L10"/>
    <x v="9"/>
    <s v="A964512X5C01560"/>
    <s v="A964512X5C11678"/>
    <s v="Rack"/>
    <s v="TX2-5S"/>
    <n v="90160"/>
    <s v="InTest"/>
  </r>
  <r>
    <s v="P26102859"/>
    <s v="1/16/2026 12:36:03 AM"/>
    <x v="1"/>
    <s v="SR020108268398"/>
    <s v="RK202"/>
    <m/>
    <s v="1/16/2026"/>
    <x v="0"/>
    <s v="L11 Compute Node Information Consistent Check fail"/>
    <s v="GB300 L10"/>
    <x v="9"/>
    <s v="A964512X6104631"/>
    <s v="A964512X6105417"/>
    <s v="Rack"/>
    <s v="TX2-5S"/>
    <n v="90160"/>
    <s v="InTest"/>
  </r>
  <r>
    <s v="P26103024"/>
    <s v="1/16/2026 7:52:57 PM"/>
    <x v="1"/>
    <s v="SR020108262845"/>
    <s v="RK202"/>
    <m/>
    <s v="1/16/2026"/>
    <x v="0"/>
    <s v="L11 Compute Node Information Consistent Check fail"/>
    <s v="GB300 L10"/>
    <x v="9"/>
    <s v="A964512X5C07725"/>
    <s v="A964512X6101728"/>
    <s v="Rack"/>
    <s v="TX2-5S"/>
    <n v="90160"/>
    <s v="InTest"/>
  </r>
  <r>
    <s v="P26103437"/>
    <s v="1/19/2026 9:49:30 PM"/>
    <x v="1"/>
    <s v="SR020108265182"/>
    <s v="RK205"/>
    <m/>
    <s v="1/19/2026"/>
    <x v="0"/>
    <s v="L11 Compute Tray Nvidia Field Diag Test fail"/>
    <s v="GB300 L10"/>
    <x v="9"/>
    <s v="A964512X5C03311"/>
    <s v="A964512X6105026"/>
    <s v="Rack"/>
    <s v="TX2-5S"/>
    <n v="90169"/>
    <s v="InTest"/>
  </r>
  <r>
    <s v="P26103625"/>
    <s v="1/20/2026 9:12:24 PM"/>
    <x v="1"/>
    <s v="SR020108265182"/>
    <s v="RK024"/>
    <m/>
    <s v="1/20/2026"/>
    <x v="0"/>
    <s v="L11 Cable cartridge Defect raw_lane_ber error(slot 26,slot 14)(Rack slot 14, CBC 2, 8x10 connector 3)"/>
    <s v="Cable Cartridge"/>
    <x v="3"/>
    <n v="1824025185942"/>
    <n v="1824025185376"/>
    <s v="Rack"/>
    <s v="TX2-5S"/>
    <n v="90169"/>
    <s v="InTest"/>
  </r>
  <r>
    <s v="P26103875"/>
    <s v="1/22/2026 1:05:50 AM"/>
    <x v="1"/>
    <s v="SR020108266291"/>
    <s v="RK202"/>
    <m/>
    <s v="1/22/2026"/>
    <x v="0"/>
    <s v="L11 Compute Node Information Consistent Check fail"/>
    <s v="GB300 L10"/>
    <x v="9"/>
    <s v="A964512X6105485"/>
    <s v="A964512X6115789"/>
    <s v="Rack"/>
    <s v="TX2-5S"/>
    <n v="90169"/>
    <s v="InTest"/>
  </r>
  <r>
    <s v="P26103877"/>
    <s v="1/22/2026 1:16:54 AM"/>
    <x v="1"/>
    <s v="SR020108266291"/>
    <s v="RK202"/>
    <m/>
    <s v="1/22/2026"/>
    <x v="0"/>
    <s v="L11 Compute Node Information Consistent Check fail UNAVAILABLE Version"/>
    <s v="GB300 L10"/>
    <x v="9"/>
    <s v="A964512X6114905"/>
    <s v="A964512X6115784"/>
    <s v="Rack"/>
    <s v="TX2-5S"/>
    <n v="90185"/>
    <s v="InTest"/>
  </r>
  <r>
    <s v="P26104636"/>
    <s v="1/26/2026 10:35:22 PM"/>
    <x v="2"/>
    <s v="SR020123266639"/>
    <s v="RK205"/>
    <m/>
    <s v="1/26/2026"/>
    <x v="0"/>
    <s v="http://10.160.100.12/logs/Firmus/2026/January/SR020123266639/26/R-BURN/A978250X6119492/905A08331ED8/"/>
    <s v="GB300 L10"/>
    <x v="12"/>
    <s v="A978250X6119492"/>
    <s v="A978250X6117586"/>
    <s v="Rack"/>
    <s v="TX2-5S"/>
    <n v="90131"/>
    <s v="InTest"/>
  </r>
  <r>
    <s v="P26104639"/>
    <s v="1/26/2026 10:53:15 PM"/>
    <x v="2"/>
    <s v="SR020123267359"/>
    <s v="RK022"/>
    <m/>
    <s v="1/26/2026"/>
    <x v="0"/>
    <s v="L11 PMB Fail (CMOS Battery Base broken)"/>
    <s v="Power Shelf Control Module"/>
    <x v="0"/>
    <s v="SV25491914"/>
    <s v="SV25383395"/>
    <s v="Rack"/>
    <s v="TX2-5S"/>
    <n v="90160"/>
    <s v="InTest"/>
  </r>
  <r>
    <s v="P26104645"/>
    <s v="1/26/2026 11:06:28 PM"/>
    <x v="2"/>
    <s v="SR020123264762"/>
    <s v="RK202"/>
    <m/>
    <s v="1/26/2026"/>
    <x v="0"/>
    <s v="L11 Compute Node Information Consistent Check fail"/>
    <s v="GB300 L10"/>
    <x v="12"/>
    <s v="A978250X6117581"/>
    <s v="A978250X6117644"/>
    <s v="Rack"/>
    <s v="TX2-5S"/>
    <n v="90160"/>
    <s v="InTest"/>
  </r>
  <r>
    <s v="P26104647"/>
    <s v="1/26/2026 11:07:34 PM"/>
    <x v="2"/>
    <s v="SR020123264762"/>
    <s v="RK202"/>
    <m/>
    <s v="1/26/2026"/>
    <x v="0"/>
    <s v="L11 Compute Node Information Consistent Check fail"/>
    <s v="GB300 L10"/>
    <x v="12"/>
    <s v="A978250X6117552"/>
    <s v="A978250X6119439"/>
    <s v="Rack"/>
    <s v="TX2-5S"/>
    <n v="90160"/>
    <s v="InTest"/>
  </r>
  <r>
    <s v="P26104648"/>
    <s v="1/26/2026 10:26:27 PM"/>
    <x v="2"/>
    <s v="SR020123265278"/>
    <s v="RK205"/>
    <m/>
    <s v="1/26/2026"/>
    <x v="0"/>
    <s v="http://10.160.100.12/logs/Firmus /2026/January/SR020123265278/26/R-BURN/A978250X6118259/905A0835414D/ gb300_cartridge_nvidia_L11_field_diag_summary.log"/>
    <s v="GB300 L10"/>
    <x v="12"/>
    <s v="A978250X6118261"/>
    <s v="A978250X6119651"/>
    <s v="Rack"/>
    <s v="TX2-5S"/>
    <n v="90131"/>
    <s v="InTest"/>
  </r>
  <r>
    <s v="P26104765"/>
    <s v="1/27/2026 8:21:24 PM"/>
    <x v="2"/>
    <s v="SR020123268083"/>
    <s v="RK202"/>
    <m/>
    <s v="1/27/2026"/>
    <x v="0"/>
    <s v="L11 Compute Node Information Consistent Check fail"/>
    <s v="GB300 L10"/>
    <x v="12"/>
    <s v="A978250X6119486"/>
    <s v="A978250X6117688"/>
    <s v="Rack"/>
    <s v="TX2-5S"/>
    <n v="90160"/>
    <s v="InTest"/>
  </r>
  <r>
    <s v="P26104802"/>
    <s v="1/27/2026 8:18:38 PM"/>
    <x v="2"/>
    <s v="SR020123268083"/>
    <s v="RK202"/>
    <m/>
    <s v="1/27/2026"/>
    <x v="0"/>
    <s v="L11 Compute Node Information Consistent Check fail"/>
    <s v="GB300 L10"/>
    <x v="12"/>
    <s v="A978250X6117693"/>
    <s v="A978250X6117683"/>
    <s v="Rack"/>
    <s v="TX2-5S"/>
    <n v="90160"/>
    <s v="InTest"/>
  </r>
  <r>
    <s v="P26104807"/>
    <s v="1/27/2026 8:00:25 PM"/>
    <x v="2"/>
    <s v="SR020123264762"/>
    <s v="RK197"/>
    <m/>
    <s v="1/27/2026"/>
    <x v="0"/>
    <s v="L11 Cable Cartridge fail"/>
    <s v="Cable Cartridge"/>
    <x v="3"/>
    <n v="1824025185557"/>
    <n v="1824825354329"/>
    <s v="Rack"/>
    <s v="TX2-5S"/>
    <n v="90160"/>
    <s v="InTest"/>
  </r>
  <r>
    <s v="P26104810"/>
    <s v="1/27/2026 3:47:36 PM"/>
    <x v="2"/>
    <s v="SR020123266432"/>
    <s v="HD023"/>
    <m/>
    <s v="1/27/2026"/>
    <x v="0"/>
    <s v="HD 燈號異常，拆裝無效 - http://10.160.100.12/logs/Firmus/2026/January/SR020123266432/27/R-BURN/A978250X6119468/905A08331BAF/Failure-Records-Full.txt"/>
    <s v="GB300 L10"/>
    <x v="12"/>
    <s v="A978250X6119468"/>
    <s v="A978250X6117675"/>
    <s v="Rack"/>
    <s v="TX2-5S"/>
    <n v="891265"/>
    <s v="InTest"/>
  </r>
  <r>
    <s v="P26104859"/>
    <s v="1/27/2026 10:20:57 PM"/>
    <x v="2"/>
    <s v="SR020123264762"/>
    <s v="RK202"/>
    <m/>
    <s v="1/27/2026"/>
    <x v="0"/>
    <s v="L11 Compute Node Information Consistent Check fail"/>
    <s v="GB300 L10"/>
    <x v="12"/>
    <s v="A978250X6119439"/>
    <s v="A978250X6117581"/>
    <s v="Rack"/>
    <s v="TX2-5S"/>
    <n v="90160"/>
    <s v="InTest"/>
  </r>
  <r>
    <s v="P26104863"/>
    <s v="1/27/2026 11:15:41 PM"/>
    <x v="2"/>
    <s v="SR020123264762"/>
    <s v="RK202"/>
    <m/>
    <s v="1/27/2026"/>
    <x v="0"/>
    <s v="L11 Compute Node Information Consistent Check fail"/>
    <s v="GB300 L10"/>
    <x v="12"/>
    <s v="A978250X6117581"/>
    <s v="A978250X6119434"/>
    <s v="Rack"/>
    <s v="TX2-5S"/>
    <n v="90160"/>
    <s v="InTest"/>
  </r>
  <r>
    <s v="P26104971"/>
    <s v="1/28/2026 4:20:32 PM"/>
    <x v="2"/>
    <s v="SR020123264417"/>
    <s v="RK023"/>
    <m/>
    <s v="1/28/2026"/>
    <x v="0"/>
    <s v="L11 FAIL SR020123264417 COMPUTE_NODE_9 ber error value PEER (Rack slot 9, CBC 4 SW0跟著NVL SW_TW1445_展維 更換Switch_協助過帳"/>
    <s v="NVSwitch"/>
    <x v="2"/>
    <s v="MT2532600M7X"/>
    <s v="MT2533600011"/>
    <s v="Rack"/>
    <s v="TX2-5S"/>
    <n v="924"/>
    <s v="InTest"/>
  </r>
  <r>
    <s v="P26105043"/>
    <s v="1/28/2026 5:00:30 PM"/>
    <x v="2"/>
    <s v="SR020123269521"/>
    <s v="RK024"/>
    <m/>
    <s v="1/28/2026"/>
    <x v="0"/>
    <s v="Cable cartridge Defect - http://10.160.100.12/logs/Firmus/2026/January/SR020123269521/28/R-BURN/A978250X6119643/905A08353ABF/Failure-Records-Full.txt"/>
    <s v="Cable Cartridge"/>
    <x v="3"/>
    <n v="2024325880474"/>
    <n v="1823025356713"/>
    <s v="Rack"/>
    <s v="TX2-5S"/>
    <n v="90185"/>
    <s v="InTest"/>
  </r>
  <r>
    <s v="P26105044"/>
    <s v="1/28/2026 5:13:19 PM"/>
    <x v="2"/>
    <s v="SR020123261361"/>
    <s v="RK202"/>
    <m/>
    <s v="1/28/2026"/>
    <x v="0"/>
    <s v="L11 Compute Node Information Consistent Check fail"/>
    <s v="GB300 L10"/>
    <x v="12"/>
    <s v="A978250X6118361"/>
    <s v="A978250X6118196"/>
    <s v="Rack"/>
    <s v="TX2-5S"/>
    <n v="90160"/>
    <s v="InTest"/>
  </r>
  <r>
    <s v="P26105081"/>
    <s v="1/28/2026 8:38:59 PM"/>
    <x v="2"/>
    <s v="SR020123268461"/>
    <s v="RK202"/>
    <m/>
    <s v="1/28/2026"/>
    <x v="0"/>
    <s v="L11 Compute Node Information Consistent Check fail"/>
    <s v="GB300 L10"/>
    <x v="12"/>
    <s v="A978250X6119485"/>
    <s v="A978250X6117700"/>
    <s v="Rack"/>
    <s v="TX2-5S"/>
    <n v="90160"/>
    <s v="InTest"/>
  </r>
  <r>
    <s v="P26105083"/>
    <s v="1/28/2026 9:29:40 PM"/>
    <x v="2"/>
    <s v="SR020123267273"/>
    <s v="RK024"/>
    <m/>
    <s v="1/28/2026"/>
    <x v="0"/>
    <s v="Rack0_SW4_acp73 CC0_C0_Lane_9 link_bad_quality_high_ber"/>
    <s v="Cable Cartridge"/>
    <x v="3"/>
    <n v="1823125354204"/>
    <n v="1823025357186"/>
    <s v="Rack"/>
    <s v="TX2-5S"/>
    <n v="90185"/>
    <s v="InTest"/>
  </r>
  <r>
    <s v="P26105129"/>
    <s v="1/29/2026 12:59:29 AM"/>
    <x v="2"/>
    <s v="SR020123263815"/>
    <s v="RK202"/>
    <s v="GB200 L11 Compute Node Information Consistent Check fail"/>
    <s v="1/29/2026"/>
    <x v="0"/>
    <s v="L11 Compute Node Information Consistent Check fail"/>
    <s v="GB300 L10"/>
    <x v="12"/>
    <s v="A978250X6118313"/>
    <s v="A978250X6118193"/>
    <s v="Rack"/>
    <s v="TX2-5S"/>
    <n v="90160"/>
    <s v="InTest"/>
  </r>
  <r>
    <s v="P26105293"/>
    <s v="1/29/2026 9:03:39 PM"/>
    <x v="2"/>
    <s v="SR020123263815"/>
    <s v="RK197"/>
    <s v="GB200 Cable Cartridge fail"/>
    <s v="1/29/2026"/>
    <x v="0"/>
    <s v="L11 Cable Cartridge fail"/>
    <s v="Cable Cartridge"/>
    <x v="3"/>
    <n v="2024125883155"/>
    <n v="1824825354388"/>
    <s v="Rack"/>
    <s v="TX2-5S"/>
    <n v="90160"/>
    <s v="InTest"/>
  </r>
  <r>
    <s v="P26105294"/>
    <s v="1/29/2026 9:23:46 PM"/>
    <x v="2"/>
    <s v="SR020123269538"/>
    <s v="RK202"/>
    <s v="GB200 L11 Compute Node Information Consistent Check fail"/>
    <s v="1/29/2026"/>
    <x v="0"/>
    <s v="L11 Compute Node Information Consistent Check fail"/>
    <s v="GB300 L10"/>
    <x v="12"/>
    <s v="A978250X6120229"/>
    <s v="A978250X6120500"/>
    <s v="Rack"/>
    <s v="TX2-5S"/>
    <n v="90160"/>
    <s v="InTest"/>
  </r>
  <r>
    <s v="P26105347"/>
    <s v="1/30/2026 11:55:47 AM"/>
    <x v="2"/>
    <s v="SR020123264271"/>
    <s v="RK198"/>
    <s v="GB200 Power Shelves fail"/>
    <s v="1/30/2026"/>
    <x v="0"/>
    <s v="RACK上電PSU原綠燈啟動中進行燒機程序時發生爆一聲後亮橘燈無法啟動,經QA判定需更換_TW2803_更換POWER SHELF"/>
    <s v="Delta power shelf right input"/>
    <x v="5"/>
    <s v="DGPSU25430253"/>
    <s v="DGPSU254301S8"/>
    <s v="Rack"/>
    <s v="TX2-5S"/>
    <n v="2803"/>
    <s v="InTest"/>
  </r>
  <r>
    <s v="P26105348"/>
    <s v="1/30/2026 11:55:47 AM"/>
    <x v="2"/>
    <s v="SR020123264271"/>
    <s v="RK198"/>
    <s v="GB200 Power Shelves fail"/>
    <s v="1/30/2026"/>
    <x v="0"/>
    <s v="RACK上電PSU原綠燈啟動中進行燒機程序時發生爆一聲後亮橘燈無法啟動,經QA判定需更換_TW2803_更換POWER SHELF"/>
    <s v="Delta Power Shelf Left Input"/>
    <x v="4"/>
    <s v="DGPST254400DR"/>
    <s v="DGPST2549065K"/>
    <s v="Rack"/>
    <s v="TX2-5S"/>
    <n v="2803"/>
    <s v="InTest"/>
  </r>
  <r>
    <s v="P26105349"/>
    <s v="1/30/2026 11:55:47 AM"/>
    <x v="2"/>
    <s v="SR020123264271"/>
    <s v="RK198"/>
    <s v="GB200 Power Shelves fail"/>
    <s v="1/30/2026"/>
    <x v="0"/>
    <s v="RACK上電PSU原綠燈啟動中進行燒機程序時發生爆一聲後亮橘燈無法啟動,經QA判定需更換_TW2803_更換POWER SHELF"/>
    <s v="Delta power shelf right input"/>
    <x v="5"/>
    <s v="DGPSU2543025T"/>
    <s v="DGPSU254301S6"/>
    <s v="Rack"/>
    <s v="TX2-5S"/>
    <n v="2803"/>
    <s v="InTest"/>
  </r>
  <r>
    <s v="P26105350"/>
    <s v="1/30/2026 11:55:47 AM"/>
    <x v="2"/>
    <s v="SR020123264271"/>
    <s v="RK198"/>
    <s v="GB200 Power Shelves fail"/>
    <s v="1/30/2026"/>
    <x v="0"/>
    <s v="RACK上電PSU原綠燈啟動中進行燒機程序時發生爆一聲後亮橘燈無法啟動,經QA判定需更換_TW2803_更換POWER SHELF"/>
    <s v="Delta Power Shelf Left Input"/>
    <x v="4"/>
    <s v="DGPST254400HF"/>
    <s v="DGPST2549065M"/>
    <s v="Rack"/>
    <s v="TX2-5S"/>
    <n v="2803"/>
    <s v="InTest"/>
  </r>
  <r>
    <s v="P26105351"/>
    <s v="1/30/2026 11:55:47 AM"/>
    <x v="2"/>
    <s v="SR020123264271"/>
    <s v="RK198"/>
    <s v="GB200 Power Shelves fail"/>
    <s v="1/30/2026"/>
    <x v="0"/>
    <s v="RACK上電PSU原綠燈啟動中進行燒機程序時發生爆一聲後亮橘燈無法啟動,經QA判定需更換_TW2803_更換POWER SHELF"/>
    <s v="Delta power shelf right input"/>
    <x v="5"/>
    <s v="DGPSU25430252"/>
    <s v="DGPSU254301S7"/>
    <s v="Rack"/>
    <s v="TX2-5S"/>
    <n v="2803"/>
    <s v="InTest"/>
  </r>
  <r>
    <s v="P26105352"/>
    <s v="1/30/2026 11:55:47 AM"/>
    <x v="2"/>
    <s v="SR020123264271"/>
    <s v="RK198"/>
    <s v="GB200 Power Shelves fail"/>
    <s v="1/30/2026"/>
    <x v="0"/>
    <s v="RACK上電PSU原綠燈啟動中進行燒機程序時發生爆一聲後亮橘燈無法啟動,經QA判定需更換_TW2803_更換POWER SHELF"/>
    <s v="Delta Power Shelf Left Input"/>
    <x v="4"/>
    <s v="DGPST254400DQ"/>
    <s v="DGPST2549065J"/>
    <s v="Rack"/>
    <s v="TX2-5S"/>
    <n v="2803"/>
    <s v="InTest"/>
  </r>
  <r>
    <s v="P26105353"/>
    <s v="1/30/2026 11:55:47 AM"/>
    <x v="2"/>
    <s v="SR020123264271"/>
    <s v="RK198"/>
    <s v="GB200 Power Shelves fail"/>
    <s v="1/30/2026"/>
    <x v="0"/>
    <s v="RACK上電PSU原綠燈啟動中進行燒機程序時發生爆一聲後亮橘燈無法啟動,經QA判定需更換_TW2803_更換POWER SHELF"/>
    <s v="Delta power shelf right input"/>
    <x v="5"/>
    <s v="DGPSU25430257"/>
    <s v="DGPSU254301S5"/>
    <s v="Rack"/>
    <s v="TX2-5S"/>
    <n v="2803"/>
    <s v="InTest"/>
  </r>
  <r>
    <s v="P26105354"/>
    <s v="1/30/2026 11:55:47 AM"/>
    <x v="2"/>
    <s v="SR020123264271"/>
    <s v="RK198"/>
    <s v="GB200 Power Shelves fail"/>
    <s v="1/30/2026"/>
    <x v="0"/>
    <s v="RACK上電PSU原綠燈啟動中進行燒機程序時發生爆一聲後亮橘燈無法啟動,經QA判定需更換_TW2803_更換POWER SHELF"/>
    <s v="Delta Power Shelf Left Input"/>
    <x v="4"/>
    <s v="DGPST254400DX"/>
    <s v="DGPST2549066R"/>
    <s v="Rack"/>
    <s v="TX2-5S"/>
    <n v="2803"/>
    <s v="InTest"/>
  </r>
  <r>
    <s v="P26105355"/>
    <s v="1/30/2026 9:19:43 AM"/>
    <x v="2"/>
    <s v="SR020123266692"/>
    <s v="RK098"/>
    <s v="Use to replace L10 servers that have failed Rburn test from the rack. (更換Rack Rburn test fail的 L10系統)"/>
    <s v="1/30/2026"/>
    <x v="0"/>
    <s v="L10導致燒機FAIL_已交換驗證_PM1265"/>
    <s v="GB300 L10"/>
    <x v="12"/>
    <s v="A978250X6119446"/>
    <s v="A978250X6118604"/>
    <s v="Rack"/>
    <s v="TX2-5S"/>
    <n v="891265"/>
    <s v="InTest"/>
  </r>
  <r>
    <s v="P26105365"/>
    <s v="1/30/2026 10:27:58 AM"/>
    <x v="2"/>
    <s v="SR020127263864"/>
    <s v="RK098"/>
    <s v="Use to replace L10 servers that have failed Rburn test from the rack. (更換Rack Rburn test fail的 L10系統)"/>
    <s v="1/30/2026"/>
    <x v="0"/>
    <s v="此櫃混單機_更換一台"/>
    <s v="GB300 L10"/>
    <x v="12"/>
    <s v="A978250X6121249"/>
    <s v="A978250X6118726"/>
    <s v="Rack"/>
    <s v="TX2-5S"/>
    <n v="640"/>
    <s v="InTest"/>
  </r>
  <r>
    <s v="P26105383"/>
    <s v="1/30/2026 1:57:11 PM"/>
    <x v="2"/>
    <s v="SR020123268565"/>
    <s v="RK024"/>
    <s v="Cable cartridge Defect"/>
    <s v="1/30/2026"/>
    <x v="0"/>
    <s v="CC_導致R-Burn Fail_已更換_PM1265"/>
    <s v="Cable Cartridge"/>
    <x v="3"/>
    <n v="2024125883058"/>
    <n v="1823025357185"/>
    <s v="Rack"/>
    <s v="TX2-5S"/>
    <n v="891265"/>
    <s v="InTest"/>
  </r>
  <r>
    <s v="P26105444"/>
    <s v="1/30/2026 4:21:24 PM"/>
    <x v="2"/>
    <s v="SR020123265883"/>
    <s v="RK205"/>
    <s v="GB200 L11 Compute Tray Nvidia Field Diag Test fail"/>
    <s v="1/30/2026"/>
    <x v="0"/>
    <s v="http://10.160.100.10/logs/ Firmus/2026/January/ SR020123265883/30 /R-BURN/A978250X6120530/ 905A083538C6/ gb300_compute_nvidia_L11_field_diag_summary.log"/>
    <s v="GB300 L10"/>
    <x v="12"/>
    <s v="A978250X6120537"/>
    <s v="A978250X6120306"/>
    <s v="Rack"/>
    <s v="TX2-5S"/>
    <n v="90131"/>
    <s v="InTest"/>
  </r>
  <r>
    <s v="P26105453"/>
    <s v="1/30/2026 5:03:29 PM"/>
    <x v="2"/>
    <s v="SR020127263864"/>
    <s v="RK205"/>
    <s v="GB200 L11 Compute Tray Nvidia Field Diag Test fail"/>
    <s v="1/30/2026"/>
    <x v="0"/>
    <s v="http://10.160.100.12/logs/Firmus/2026/January/SR020127263864/30/R-BURN/A978250X6118433/905A08353A0E/Failure-Records-Full.txt"/>
    <s v="GB300 L10"/>
    <x v="12"/>
    <s v="A978250X6118726"/>
    <s v="A978250X6120488"/>
    <s v="Rack"/>
    <s v="TX2-5S"/>
    <n v="90131"/>
    <s v="InTest"/>
  </r>
  <r>
    <s v="P26105455"/>
    <s v="1/30/2026 5:14:27 PM"/>
    <x v="2"/>
    <s v="SR020123265176"/>
    <s v="RK023"/>
    <s v="NVLINK Switch Functional Issue"/>
    <s v="1/30/2026"/>
    <x v="0"/>
    <s v="http://10.160.100.10 /logs/Firmus/2026/January /SR020123265176/30/R-BURN/ A978250X6118586/905A08331F52 /Failure-Records-Full.txt"/>
    <s v="NVSwitch"/>
    <x v="2"/>
    <s v="MT25346008KJ"/>
    <s v="MT2530601EHU"/>
    <s v="Rack"/>
    <s v="TX2-5S"/>
    <n v="90131"/>
    <s v="InTest"/>
  </r>
  <r>
    <s v="P26105470"/>
    <s v="1/30/2026 6:32:16 PM"/>
    <x v="2"/>
    <s v="SR020127265103"/>
    <s v="RK022"/>
    <s v="Power Shelf Defective"/>
    <s v="1/30/2026"/>
    <x v="0"/>
    <s v="L11 PMB Fail to Update (Cannot Connect Internet)"/>
    <s v="Power Shelf Control Module"/>
    <x v="0"/>
    <s v="T525480728"/>
    <s v="T525481044"/>
    <s v="Rack"/>
    <s v="TX2-5S"/>
    <n v="90160"/>
    <s v="InTest"/>
  </r>
  <r>
    <s v="P26105476"/>
    <s v="1/30/2026 7:39:20 PM"/>
    <x v="2"/>
    <s v="SR020123268461"/>
    <s v="RK202"/>
    <s v="GB200 L11 Compute Node Information Consistent Check fail"/>
    <s v="1/30/2026"/>
    <x v="0"/>
    <s v="L11 Compute Node Information Consistent Check fail"/>
    <s v="GB300 L10"/>
    <x v="12"/>
    <s v="A978250X6119450"/>
    <s v="A978250X6118685"/>
    <s v="Rack"/>
    <s v="TX2-5S"/>
    <n v="90160"/>
    <s v="InTest"/>
  </r>
  <r>
    <s v="P26105477"/>
    <s v="1/30/2026 7:40:10 PM"/>
    <x v="2"/>
    <s v="SR020123268461"/>
    <s v="RK202"/>
    <s v="GB200 L11 Compute Node Information Consistent Check fail"/>
    <s v="1/30/2026"/>
    <x v="0"/>
    <s v="L11 Compute Node Information Consistent Check fail"/>
    <s v="GB300 L10"/>
    <x v="12"/>
    <s v="A978250X6117700"/>
    <s v="A978250X6119422"/>
    <s v="Rack"/>
    <s v="TX2-5S"/>
    <n v="90160"/>
    <s v="InTest"/>
  </r>
  <r>
    <s v="P26105482"/>
    <s v="1/30/2026 7:45:29 PM"/>
    <x v="2"/>
    <s v="SR020123264971"/>
    <s v="RK202"/>
    <s v="GB200 L11 Compute Node Information Consistent Check fail"/>
    <s v="1/30/2026"/>
    <x v="0"/>
    <s v="L11 Compute Node Information Consistent Check fail"/>
    <s v="GB300 L10"/>
    <x v="12"/>
    <s v="A978250X6119443"/>
    <s v="A978250X6119442"/>
    <s v="Rack"/>
    <s v="TX2-5S"/>
    <n v="90160"/>
    <s v="InTest"/>
  </r>
  <r>
    <s v="P26105508"/>
    <s v="1/30/2026 8:18:55 PM"/>
    <x v="2"/>
    <s v="SR020123269593"/>
    <s v="RK205"/>
    <s v="GB200 L11 Compute Tray Nvidia Field Diag Test fail"/>
    <s v="1/30/2026"/>
    <x v="0"/>
    <s v="http://10.160.100.12/logs/Firmus/2026/January/SR020123269593/30/R-BURN/A978250X6118345/905A08354074/gb300_cartridge_nvidia_L11_field_diag_summary.log"/>
    <s v="GB300 L10"/>
    <x v="12"/>
    <s v="A978250X6118261"/>
    <s v="A978250X6118513"/>
    <s v="Rack"/>
    <s v="TX2-5S"/>
    <n v="90131"/>
    <s v="InTest"/>
  </r>
  <r>
    <s v="P26105567"/>
    <s v="1/31/2026 12:49:48 AM"/>
    <x v="2"/>
    <s v="SR020127267443"/>
    <s v="RK201"/>
    <s v="GB200 L11 NVLink Switch Information Consistent Check fail"/>
    <s v="1/31/2026"/>
    <x v="0"/>
    <s v="L11 NVLink Switch Information Consistent Check fail"/>
    <s v="NVSwitch"/>
    <x v="2"/>
    <s v="MT253460006T"/>
    <s v="MT2533600044"/>
    <s v="Rack"/>
    <s v="TX2-5S"/>
    <n v="90160"/>
    <s v="InTest"/>
  </r>
  <r>
    <s v="P26105573"/>
    <s v="1/31/2026 1:21:00 AM"/>
    <x v="2"/>
    <s v="SR020127264661"/>
    <s v="RK201"/>
    <s v="GB200 L11 NVLink Switch Information Consistent Check fail"/>
    <s v="1/31/2026"/>
    <x v="0"/>
    <s v="L11 NVLink Switch Information Consistent Check fail(Cannot Update)"/>
    <s v="NVSwitch"/>
    <x v="2"/>
    <s v="MT2532600PTA"/>
    <s v="MT2532602RVG"/>
    <s v="Rack"/>
    <s v="TX2-5S"/>
    <n v="90160"/>
    <s v="InTest"/>
  </r>
  <r>
    <s v="P26105631"/>
    <s v="1/31/2026 5:54:43 PM"/>
    <x v="2"/>
    <s v="SR020127261986"/>
    <s v="RK202"/>
    <s v="GB200 L11 Compute Node Information Consistent Check fail"/>
    <s v="1/31/2026"/>
    <x v="0"/>
    <s v="L11 Compute Node Information Consistent Check fail"/>
    <s v="GB300 L10"/>
    <x v="12"/>
    <s v="A978250X6120429"/>
    <s v="A978250X6118382"/>
    <s v="Rack"/>
    <s v="TX2-5S"/>
    <n v="90160"/>
    <s v="InTest"/>
  </r>
  <r>
    <s v="P26105633"/>
    <s v="1/31/2026 8:04:21 PM"/>
    <x v="2"/>
    <s v="SR020127264824"/>
    <s v="RK024"/>
    <s v="Cable cartridge Defect"/>
    <s v="1/31/2026"/>
    <x v="0"/>
    <s v="Cable cartridge Defect (BENT PIN)"/>
    <s v="Cable Cartridge"/>
    <x v="3"/>
    <n v="1824025185178"/>
    <n v="1824825354421"/>
    <s v="Rack"/>
    <s v="TX2-5S"/>
    <n v="90160"/>
    <s v="InTest"/>
  </r>
  <r>
    <s v="P26105635"/>
    <s v="1/31/2026 8:05:41 PM"/>
    <x v="2"/>
    <s v="SR020127264824"/>
    <s v="RK201"/>
    <s v="GB200 L11 NVLink Switch Information Consistent Check fail"/>
    <s v="1/31/2026"/>
    <x v="0"/>
    <s v="L11 NVLink Switch Information Consistent Check fail (CAUSED BENT PIN BACK PORT)"/>
    <s v="NVSwitch"/>
    <x v="2"/>
    <s v="MT25336016GY"/>
    <s v="MT2532602T1M"/>
    <s v="Rack"/>
    <s v="TX2-5S"/>
    <n v="90160"/>
    <s v="InTest"/>
  </r>
  <r>
    <s v="P26105637"/>
    <s v="1/31/2026 8:38:32 PM"/>
    <x v="2"/>
    <s v="SR020127267785"/>
    <s v="RK197"/>
    <s v="GB200 Cable Cartridge fail"/>
    <s v="1/31/2026"/>
    <x v="0"/>
    <s v="L11 Cable Cartridge fail"/>
    <s v="Cable Cartridge"/>
    <x v="3"/>
    <n v="2024125883061"/>
    <n v="1824825354161"/>
    <s v="Rack"/>
    <s v="TX2-5S"/>
    <n v="90160"/>
    <s v="InTest"/>
  </r>
  <r>
    <s v="P26105639"/>
    <s v="1/31/2026 8:56:04 PM"/>
    <x v="2"/>
    <s v="SR020127261038"/>
    <s v="RK022"/>
    <s v="Power Shelf Defective"/>
    <s v="1/31/2026"/>
    <x v="0"/>
    <s v="L11 Power Shelf Defective (Cannot Update)"/>
    <s v="Power Shelf Control Module"/>
    <x v="0"/>
    <s v="T525480934"/>
    <s v="T525480317"/>
    <s v="Rack"/>
    <s v="TX2-5S"/>
    <n v="90160"/>
    <s v="InTest"/>
  </r>
  <r>
    <s v="P26105641"/>
    <s v="1/31/2026 9:01:52 PM"/>
    <x v="2"/>
    <s v="SR020123265176"/>
    <s v="RK205"/>
    <s v="GB200 L11 Compute Tray Nvidia Field Diag Test fail"/>
    <s v="1/31/2026"/>
    <x v="0"/>
    <s v="http://10.160.100.10/ logs/Firmus/2026/ January/SR020123265176/ 31/R-BURN/ A978250X6118586/905A08331F52/ gb300_compute_nvidia_L11_field_diag_summary.log"/>
    <s v="GB300 L10"/>
    <x v="12"/>
    <s v="A978250X6117718"/>
    <s v="A978250X6118607"/>
    <s v="Rack"/>
    <s v="TX2-5S"/>
    <n v="3908"/>
    <s v="InTest"/>
  </r>
  <r>
    <s v="P26105642"/>
    <s v="1/31/2026 9:26:29 PM"/>
    <x v="2"/>
    <s v="SR020127269648"/>
    <s v="RK205"/>
    <s v="GB200 L11 Compute Tray Nvidia Field Diag Test fail"/>
    <s v="1/31/2026"/>
    <x v="0"/>
    <s v="http://10.160.100.12/logs/Firmus/2026/January/SR020127269648/31/R-BURN/A978250X6120743/905A08353CDD/gb300_cartridge_nvidia_L11_field_diag_summary.log"/>
    <s v="GB300 L10"/>
    <x v="12"/>
    <s v="A978250X6118520"/>
    <s v="A978250X6118518"/>
    <s v="Rack"/>
    <s v="TX2-5S"/>
    <n v="3908"/>
    <s v="InTest"/>
  </r>
  <r>
    <s v="P26105643"/>
    <s v="1/31/2026 10:08:29 PM"/>
    <x v="2"/>
    <s v="SR020127261141"/>
    <s v="RK202"/>
    <s v="GB200 L11 Compute Node Information Consistent Check fail"/>
    <s v="1/31/2026"/>
    <x v="1"/>
    <s v="L11 Compute Node Information Consistent Check fail"/>
    <s v="GB300 L10"/>
    <x v="12"/>
    <s v="A978250X6119577"/>
    <m/>
    <s v="Rack"/>
    <s v="TX2-5S"/>
    <n v="90160"/>
    <s v="InTest"/>
  </r>
  <r>
    <s v="P26105644"/>
    <s v="1/31/2026 10:09:10 PM"/>
    <x v="2"/>
    <s v="SR020127261141"/>
    <s v="RK202"/>
    <s v="GB200 L11 Compute Node Information Consistent Check fail"/>
    <s v="1/31/2026"/>
    <x v="0"/>
    <s v="L11 Compute Node Information Consistent Check fail"/>
    <s v="GB300 L10"/>
    <x v="12"/>
    <s v="A978250X6118479"/>
    <s v="A978250X6119577"/>
    <s v="Rack"/>
    <s v="TX2-5S"/>
    <n v="90160"/>
    <s v="InTest"/>
  </r>
  <r>
    <s v="P26200009"/>
    <s v="2/2/2026 7:27:32 AM"/>
    <x v="2"/>
    <s v="SR020127262767"/>
    <s v="RK023"/>
    <s v="NVLINK Switch Functional Issue"/>
    <s v="2/2/2026"/>
    <x v="0"/>
    <s v="L11 TEST FAIL:nvlswitch無法開機_TW4520_協助過帳"/>
    <s v="NVSwitch"/>
    <x v="2"/>
    <s v="MT2537600HZB"/>
    <s v="MT2529602A87"/>
    <s v="Rack"/>
    <s v="TX2-5S"/>
    <n v="1519"/>
    <s v="InTest"/>
  </r>
  <r>
    <s v="P26200009"/>
    <s v="2/2/2026 7:27:32 AM"/>
    <x v="2"/>
    <s v="SR020127262767"/>
    <s v="RK023"/>
    <s v="NVLINK Switch Functional Issue"/>
    <s v="2/2/2026"/>
    <x v="0"/>
    <s v="L11 TEST FAIL:nvlswitch無法開機_TW4520_協助過帳"/>
    <s v="NVSwitch"/>
    <x v="2"/>
    <s v="MT2537600HZB"/>
    <s v="MT2529602A87"/>
    <s v="Rack"/>
    <s v="TX2-5S"/>
    <n v="1519"/>
    <s v="InTest"/>
  </r>
  <r>
    <s v="P26200021"/>
    <s v="2/2/2026 8:12:27 AM"/>
    <x v="2"/>
    <s v="SR020127267785"/>
    <s v="RK022"/>
    <s v="Power Shelf Defective"/>
    <s v="2/2/2026"/>
    <x v="0"/>
    <s v="L11 TEST FAIL:PowerShelf 5 PMB LED 不亮_TW4520_2/2 協助過帳"/>
    <s v="Power Shelf Control Module"/>
    <x v="0"/>
    <s v="T525481067"/>
    <s v="T525482995"/>
    <s v="Rack"/>
    <s v="TX2-5S"/>
    <n v="1519"/>
    <s v="InTest"/>
  </r>
  <r>
    <s v="P26200055"/>
    <s v="2/2/2026 9:30:17 AM"/>
    <x v="2"/>
    <s v="SR020127264824"/>
    <s v="RK022"/>
    <s v="Power Shelf Defective"/>
    <s v="2/2/2026"/>
    <x v="0"/>
    <s v="SR020127264824 L11 TEST FAIL:PowerShelf 2 PMB LED 燈號異常_TW4520_2/2 協助過帳"/>
    <s v="Power Shelf Control Module"/>
    <x v="0"/>
    <s v="T525480860"/>
    <s v="T525480993"/>
    <s v="Rack"/>
    <s v="TX2-5S"/>
    <n v="1519"/>
    <s v="InTest"/>
  </r>
  <r>
    <s v="P26200173"/>
    <s v="2/2/2026 11:25:29 PM"/>
    <x v="2"/>
    <s v="SR020127265904"/>
    <s v="RK216"/>
    <s v="GB200 L11 Cable Cartridge Nvidia FD Test fail"/>
    <s v="2/2/2026"/>
    <x v="0"/>
    <s v="L11 Cable Cartridge Nvidia FD Test fail"/>
    <s v="GB300 L10"/>
    <x v="12"/>
    <s v="A978250X6118750"/>
    <s v="A978250X6121277"/>
    <s v="Rack"/>
    <s v="TX2-5S"/>
    <n v="90169"/>
    <s v="InTest"/>
  </r>
  <r>
    <s v="P26200201"/>
    <s v="2/3/2026 1:21:37 AM"/>
    <x v="2"/>
    <s v="SR020127267299"/>
    <s v="RK024"/>
    <s v="Cable cartridge Defect"/>
    <s v="2/3/2026"/>
    <x v="0"/>
    <s v="L11 Cable cartridge Defect CC2 BENT-PIN SR020127267299"/>
    <s v="Cable Cartridge"/>
    <x v="3"/>
    <n v="1824025186162"/>
    <n v="1823025357182"/>
    <s v="Rack"/>
    <s v="TX2-5S"/>
    <n v="90169"/>
    <s v="InTest"/>
  </r>
  <r>
    <s v="P26200202"/>
    <s v="2/3/2026 1:24:16 AM"/>
    <x v="2"/>
    <s v="SR020127268005"/>
    <s v="RK202"/>
    <s v="GB200 L11 Compute Node Information Consistent Check fail"/>
    <s v="2/3/2026"/>
    <x v="0"/>
    <s v="L11 Compute Node Information Consistent Check fail"/>
    <s v="GB300 L10"/>
    <x v="12"/>
    <s v="A978250X6119476"/>
    <s v="A978250X6116932"/>
    <s v="Rack"/>
    <s v="TX2-5S"/>
    <n v="90160"/>
    <s v="InTest"/>
  </r>
  <r>
    <s v="P26200203"/>
    <s v="2/3/2026 1:25:16 AM"/>
    <x v="2"/>
    <s v="SR020127268005"/>
    <s v="RK202"/>
    <s v="GB200 L11 Compute Node Information Consistent Check fail"/>
    <s v="2/3/2026"/>
    <x v="0"/>
    <s v="L11 Compute Node Information Consistent Check fail"/>
    <s v="GB300 L10"/>
    <x v="12"/>
    <s v="A978250X6119468"/>
    <s v="A978250X6118600"/>
    <s v="Rack"/>
    <s v="TX2-5S"/>
    <n v="90160"/>
    <s v="InTest"/>
  </r>
  <r>
    <s v="P26200229"/>
    <s v="2/3/2026 5:43:51 PM"/>
    <x v="2"/>
    <s v="SR020127263668"/>
    <s v="RK197"/>
    <s v="GB200 Cable Cartridge fail"/>
    <s v="2/3/2026"/>
    <x v="0"/>
    <s v="Rack0_SW5_acp123,CC2_C12_Lane_11, link_none 固定位置CC2 SR020127263668"/>
    <s v="Cable Cartridge"/>
    <x v="3"/>
    <n v="2024125883326"/>
    <n v="1824825354461"/>
    <s v="Rack"/>
    <s v="TX2-5S"/>
    <n v="924"/>
    <s v="InTest"/>
  </r>
  <r>
    <s v="P26200315"/>
    <s v="2/3/2026 5:22:40 PM"/>
    <x v="2"/>
    <s v="SR020130266039"/>
    <s v="RK214"/>
    <s v="GB200 L11 Unable to power on"/>
    <s v="2/3/2026"/>
    <x v="0"/>
    <s v="NO LED POWER LIGHT"/>
    <s v="GB300 L10"/>
    <x v="12"/>
    <s v="A978250X6118192"/>
    <s v="A978250X6118278"/>
    <s v="Rack"/>
    <s v="TX2-5S"/>
    <n v="90131"/>
    <s v="InTest"/>
  </r>
  <r>
    <s v="P26200373"/>
    <s v="2/3/2026 10:40:35 PM"/>
    <x v="2"/>
    <s v="SR020123264229"/>
    <s v="RK204"/>
    <s v="GB200 L11 Switch Tray Nvidia Field Diag Test fail"/>
    <s v="2/3/2026"/>
    <x v="0"/>
    <s v="http://10.160.100.12/ logs/Firmus/2026/ February/SR020123264229/03/R-BURN/A978250X6118456/905A08353E11 /gb300_cartridge_nvidia_L11_field_diag_summary.log"/>
    <s v="GB300 L10"/>
    <x v="12"/>
    <s v="A978250X6119626"/>
    <s v="A978250X6118726"/>
    <s v="Rack"/>
    <s v="TX2-5S"/>
    <n v="90131"/>
    <s v="InTest"/>
  </r>
  <r>
    <s v="P26200403"/>
    <s v="2/4/2026 12:59:20 AM"/>
    <x v="2"/>
    <s v="SR020123264229"/>
    <s v="RK205"/>
    <s v="GB200 L11 Compute Tray Nvidia Field Diag Test fail"/>
    <s v="2/4/2026"/>
    <x v="0"/>
    <s v="54 NVLink status"/>
    <s v="GB300 L10"/>
    <x v="12"/>
    <s v="A978250X6118726"/>
    <s v="A978250X6118474"/>
    <s v="Rack"/>
    <s v="TX2-5S"/>
    <n v="90131"/>
    <s v="InTest"/>
  </r>
  <r>
    <s v="P26200407"/>
    <s v="2/4/2026 1:39:48 AM"/>
    <x v="2"/>
    <s v="SR020127267299"/>
    <s v="RK205"/>
    <s v="GB200 L11 Compute Tray Nvidia Field Diag Test fail"/>
    <s v="2/4/2026"/>
    <x v="0"/>
    <s v="http://10.160.100.12/logs/Firmus/2026/February/SR020127267299/03/R-BURN/A978250X6121988/905A08350635/gb300_compute_nvidia_L11_field_diag_summary.log"/>
    <s v="GB300 L10"/>
    <x v="12"/>
    <s v="A978250X6121410"/>
    <s v="A978250X6121569"/>
    <s v="Rack"/>
    <s v="TX2-5S"/>
    <n v="90131"/>
    <s v="InTest"/>
  </r>
  <r>
    <s v="P26200559"/>
    <s v="2/4/2026 3:58:02 PM"/>
    <x v="2"/>
    <s v="SR020130264389"/>
    <s v="RK023"/>
    <s v="NVLINK Switch Functional Issue"/>
    <s v="2/4/2026"/>
    <x v="0"/>
    <s v="http://10.160.100.10/logs/Firmus /2026/February/ SR020130264389/04/R-BURN/A978250X6121264/905A08353F02 /gb300_compute_nvidia_L11_field_diag_summary.log"/>
    <s v="NVSwitch"/>
    <x v="2"/>
    <s v="MT2541603JNJ"/>
    <s v="MT2532602G9U"/>
    <s v="Rack"/>
    <s v="TX2-5S"/>
    <n v="90131"/>
    <s v="InTest"/>
  </r>
  <r>
    <s v="P26200567"/>
    <s v="2/4/2026 5:01:08 PM"/>
    <x v="2"/>
    <s v="SR020127269450"/>
    <s v="RK197"/>
    <s v="GB200 Cable Cartridge fail"/>
    <s v="2/4/2026"/>
    <x v="0"/>
    <s v="L11 Cable Cartridge fail Rack0_SW5_acp24 CC3_C5_Lane_10 SR020127269450"/>
    <s v="Cable Cartridge"/>
    <x v="3"/>
    <n v="1824025185825"/>
    <n v="1824825354155"/>
    <s v="Rack"/>
    <s v="TX2-5S"/>
    <n v="90160"/>
    <s v="InTest"/>
  </r>
  <r>
    <s v="P26200572"/>
    <s v="2/4/2026 5:02:37 PM"/>
    <x v="2"/>
    <s v="SR020130266739"/>
    <s v="RK197"/>
    <s v="GB200 Cable Cartridge fail"/>
    <s v="2/4/2026"/>
    <x v="0"/>
    <s v="L11 Cable Cartridge fail (bent pin) SR020130266739"/>
    <s v="Cable Cartridge"/>
    <x v="3"/>
    <n v="1824025185407"/>
    <n v="1824825354237"/>
    <s v="Rack"/>
    <s v="TX2-5S"/>
    <n v="90160"/>
    <s v="InTest"/>
  </r>
  <r>
    <s v="P26200594"/>
    <s v="2/4/2026 5:49:19 PM"/>
    <x v="2"/>
    <s v="SR020130263086"/>
    <s v="RK202"/>
    <s v="GB200 L11 Compute Node Information Consistent Check fail"/>
    <s v="2/4/2026"/>
    <x v="0"/>
    <s v="L11 Compute Node Information Consistent Check fail"/>
    <s v="GB300 L10"/>
    <x v="12"/>
    <s v="A978250X6120795"/>
    <s v="A978250X6123239"/>
    <s v="Rack"/>
    <s v="TX2-5S"/>
    <n v="90160"/>
    <s v="InTest"/>
  </r>
  <r>
    <s v="P26200597"/>
    <s v="2/4/2026 5:52:47 PM"/>
    <x v="2"/>
    <s v="SR020130268399"/>
    <s v="RK024"/>
    <s v="Cable cartridge Defect"/>
    <s v="2/4/2026"/>
    <x v="0"/>
    <s v="bent pin http://10.160.100.10 /logs/Firmus/2026/February /SR020130268399/04/R- BURN/A978250X6123337/ 905A08353C39/Failure-Records-Full.txt"/>
    <s v="Cable Cartridge"/>
    <x v="3"/>
    <n v="2024325808230"/>
    <n v="2024225881220"/>
    <s v="Rack"/>
    <s v="TX2-5S"/>
    <n v="90131"/>
    <s v="InTest"/>
  </r>
  <r>
    <s v="P26200598"/>
    <s v="2/4/2026 5:54:27 PM"/>
    <x v="2"/>
    <s v="SR020127267911"/>
    <s v="RK024"/>
    <s v="Cable cartridge Defect"/>
    <s v="2/4/2026"/>
    <x v="0"/>
    <s v="http://10.160.100.10 /logs/Firmus/2026 /February/SR020127267911/ 04/R-BURN/A978250X6122187 /905A08353CB2/ gb300_compute_nvidia_L11_field_diag_summary.log"/>
    <s v="Cable Cartridge"/>
    <x v="3"/>
    <n v="2201425883003"/>
    <n v="1823025357153"/>
    <s v="Rack"/>
    <s v="TX2-5S"/>
    <n v="90131"/>
    <s v="InTest"/>
  </r>
  <r>
    <s v="P26200643"/>
    <s v="2/4/2026 9:27:53 PM"/>
    <x v="2"/>
    <s v="SR021127257873"/>
    <s v="RK214"/>
    <s v="GB200 L11 Unable to power on"/>
    <s v="2/4/2026"/>
    <x v="0"/>
    <s v="POWER LED LIGHT WEAK"/>
    <s v="GB300 L10"/>
    <x v="12"/>
    <s v="A978250X6118554"/>
    <s v="A978250X6124730"/>
    <s v="Rack"/>
    <s v="TX2-5S"/>
    <n v="90131"/>
    <s v="InTest"/>
  </r>
  <r>
    <s v="P26200648"/>
    <s v="2/4/2026 10:03:51 PM"/>
    <x v="2"/>
    <s v="SR021127256912"/>
    <s v="RK205"/>
    <s v="GB200 L11 Compute Tray Nvidia Field Diag Test fail"/>
    <s v="2/4/2026"/>
    <x v="0"/>
    <s v="http://10.160.100.12/logs /Firmus/2026/February/ SR021127256912/04/R-BURN/ A978250X6120458/905A08353C68/ gb300_cartridge_nvidia_L11_field_diag_summary.log"/>
    <s v="GB300 L10"/>
    <x v="12"/>
    <s v="A978250X6121245"/>
    <s v="A978250X6120798"/>
    <s v="Rack"/>
    <s v="TX2-5S"/>
    <n v="90131"/>
    <s v="InTest"/>
  </r>
  <r>
    <s v="P26200719"/>
    <s v="2/5/2026 8:21:17 AM"/>
    <x v="2"/>
    <s v="SR020130267087"/>
    <s v="RK024"/>
    <s v="Cable cartridge Defect"/>
    <s v="2/5/2026"/>
    <x v="0"/>
    <s v="CC_導致R-Burn Fail_已更換_PM1265"/>
    <s v="Cable Cartridge"/>
    <x v="3"/>
    <n v="2024325880310"/>
    <n v="1823025357221"/>
    <s v="Rack"/>
    <s v="TX2-5S"/>
    <n v="1237"/>
    <s v="InTest"/>
  </r>
  <r>
    <s v="P26200719"/>
    <s v="2/5/2026 8:21:17 AM"/>
    <x v="2"/>
    <s v="SR020130267087"/>
    <s v="RK024"/>
    <s v="Cable cartridge Defect"/>
    <s v="2/5/2026"/>
    <x v="0"/>
    <s v="CC_導致R-Burn Fail_已更換_PM1265"/>
    <s v="Cable Cartridge"/>
    <x v="3"/>
    <n v="2024325880310"/>
    <n v="1823025357221"/>
    <s v="Rack"/>
    <s v="TX2-5S"/>
    <n v="1237"/>
    <s v="InTest"/>
  </r>
  <r>
    <s v="P26200724"/>
    <s v="2/5/2026 11:52:50 AM"/>
    <x v="2"/>
    <s v="SR020203262773"/>
    <s v="RK203"/>
    <s v="GB200 L11 Power Shelf Information Check fail"/>
    <s v="2/5/2026"/>
    <x v="0"/>
    <s v="SR020203262773 Powershelf#4 偵測不到PWS;TW4520;2/5協助過帳"/>
    <s v="Delta Power Shelf Left Input"/>
    <x v="4"/>
    <s v="DGPST254401MY"/>
    <s v="THAS92547007P"/>
    <s v="Rack"/>
    <s v="TX2-5S"/>
    <n v="924"/>
    <s v="InTest"/>
  </r>
  <r>
    <s v="P26200724"/>
    <s v="2/5/2026 11:52:50 AM"/>
    <x v="2"/>
    <s v="SR020203262773"/>
    <s v="RK203"/>
    <s v="GB200 L11 Power Shelf Information Check fail"/>
    <s v="2/5/2026"/>
    <x v="0"/>
    <s v="SR020203262773 Powershelf#4 偵測不到PWS;TW4520;2/5協助過帳"/>
    <s v="Delta Power Shelf Left Input"/>
    <x v="4"/>
    <s v="DGPST254401MY"/>
    <s v="THAS92547007P"/>
    <s v="Rack"/>
    <s v="TX2-5S"/>
    <n v="924"/>
    <s v="InTest"/>
  </r>
  <r>
    <s v="P26200727"/>
    <s v="2/5/2026 9:28:37 AM"/>
    <x v="2"/>
    <s v="SR020203261184"/>
    <s v="RK098"/>
    <s v="Use to replace L10 servers that have failed Rburn test from the rack. (更換Rack Rburn test fail的 L10系統)"/>
    <s v="2/5/2026"/>
    <x v="0"/>
    <s v="自動關機"/>
    <s v="GB300 L10"/>
    <x v="12"/>
    <s v="A978250X6120299"/>
    <s v="A978250X6124762"/>
    <s v="Rack"/>
    <s v="TX2-5S"/>
    <n v="640"/>
    <s v="InTest"/>
  </r>
  <r>
    <s v="P26200760"/>
    <s v="2/6/2026 9:05:36 AM"/>
    <x v="2"/>
    <s v="SR020130261073"/>
    <s v="RK024"/>
    <s v="Cable cartridge Defect"/>
    <s v="2/5/2026"/>
    <x v="0"/>
    <s v="SR020130261073 SW0位置 CC2 BENT PIN(SLOT9)"/>
    <s v="Cable Cartridge"/>
    <x v="3"/>
    <n v="2024325880236"/>
    <n v="1824025185495"/>
    <s v="Rack"/>
    <s v="TX2-5S"/>
    <n v="924"/>
    <s v="InTest"/>
  </r>
  <r>
    <s v="P26200762"/>
    <s v="2/6/2026 1:23:35 AM"/>
    <x v="2"/>
    <s v="SR020127268261"/>
    <s v="RK197"/>
    <s v="GB200 Cable Cartridge fail"/>
    <s v="2/5/2026"/>
    <x v="0"/>
    <s v="Compute Tray L11 FD Test [FAIL] COMPUTE_NODE_3 0008:06:00.0_SN_1653625055888 ber error value @(Rack slot 4-C3. PEER (Rack slot 11, CBC 2 固定位置-SW2 CC1"/>
    <s v="Cable Cartridge"/>
    <x v="3"/>
    <n v="2024125883098"/>
    <n v="1824025185519"/>
    <s v="Rack"/>
    <s v="TX2-5S"/>
    <n v="924"/>
    <s v="InTest"/>
  </r>
  <r>
    <s v="P26200800"/>
    <s v="2/5/2026 3:10:18 PM"/>
    <x v="2"/>
    <s v="SR020130268399"/>
    <s v="RK108"/>
    <s v="GB200 DMI/FRU settings fail"/>
    <s v="2/5/2026"/>
    <x v="0"/>
    <s v="FRU settings fail"/>
    <s v="GB300 L10"/>
    <x v="12"/>
    <s v="A978250X6124613"/>
    <s v="A978250X6123369"/>
    <s v="Rack"/>
    <s v="TX2-5S"/>
    <n v="90131"/>
    <s v="InTest"/>
  </r>
  <r>
    <s v="P26200801"/>
    <s v="2/5/2026 3:30:34 PM"/>
    <x v="2"/>
    <s v="SR020130263509"/>
    <s v="RK202"/>
    <s v="GB200 L11 Compute Node Information Consistent Check fail"/>
    <s v="2/5/2026"/>
    <x v="0"/>
    <s v="L11 Compute Node Information Consistent Check fail"/>
    <s v="GB300 L10"/>
    <x v="12"/>
    <s v="A978250X6119485"/>
    <s v="A978250X6119459"/>
    <s v="Rack"/>
    <s v="TX2-5S"/>
    <n v="90160"/>
    <s v="InTest"/>
  </r>
  <r>
    <s v="P26200807"/>
    <s v="2/5/2026 4:48:42 PM"/>
    <x v="2"/>
    <s v="SR020127267911"/>
    <s v="RK207"/>
    <s v="GB200 L11 18 Node NCCL Test fail"/>
    <s v="2/5/2026"/>
    <x v="0"/>
    <s v="NCCL LOG STOP"/>
    <s v="GB300 L10"/>
    <x v="12"/>
    <s v="A978250X6122187"/>
    <s v="A978250X6122281"/>
    <s v="Rack"/>
    <s v="TX2-5S"/>
    <n v="90131"/>
    <s v="InTest"/>
  </r>
  <r>
    <s v="P26200870"/>
    <s v="2/5/2026 8:16:48 PM"/>
    <x v="2"/>
    <s v="SR020130267087"/>
    <s v="RK098"/>
    <s v="Use to replace L10 servers that have failed Rburn test from the rack. (更換Rack Rburn test fail的 L10系統)"/>
    <s v="2/5/2026"/>
    <x v="0"/>
    <s v="BMC NO LED LIGHT"/>
    <s v="GB300 L10"/>
    <x v="12"/>
    <s v="A978250X6123334"/>
    <s v="A978250X6122187"/>
    <s v="Rack"/>
    <s v="TX2-5S"/>
    <n v="90131"/>
    <s v="InTest"/>
  </r>
  <r>
    <s v="P26200915"/>
    <s v="2/5/2026 9:20:54 PM"/>
    <x v="2"/>
    <s v="SR020203261220"/>
    <s v="RK202"/>
    <s v="GB200 L11 Compute Node Information Consistent Check fail"/>
    <s v="2/5/2026"/>
    <x v="0"/>
    <s v="L11 Compute Node Information Consistent Check fail"/>
    <s v="GB300 L10"/>
    <x v="12"/>
    <s v="A978250X6124614"/>
    <s v="A978250X6121636"/>
    <s v="Rack"/>
    <s v="TX2-5S"/>
    <n v="90160"/>
    <s v="InTest"/>
  </r>
  <r>
    <s v="P26200922"/>
    <s v="2/5/2026 10:22:41 PM"/>
    <x v="2"/>
    <s v="SR020203266407"/>
    <s v="RK201"/>
    <s v="GB200 L11 NVLink Switch Information Consistent Check fail"/>
    <s v="2/5/2026"/>
    <x v="0"/>
    <s v="L11 NVLink Switch(NO POWER CANNOT UPDATE)"/>
    <s v="Rack Frame"/>
    <x v="13"/>
    <s v="MT2546601MQR"/>
    <s v="MT2532602R9V"/>
    <s v="Rack"/>
    <s v="TX2-5S"/>
    <n v="90160"/>
    <s v="InTest"/>
  </r>
  <r>
    <s v="P26200938"/>
    <s v="2/6/2026 12:47:32 AM"/>
    <x v="2"/>
    <s v="SR020203266887"/>
    <s v="RK024"/>
    <s v="Cable cartridge Defect"/>
    <s v="2/6/2026"/>
    <x v="0"/>
    <s v="L11 Cable cartridge Defect Rack0_SW5_acp58 CC1_C14 / SR020203266887"/>
    <s v="Cable Cartridge"/>
    <x v="3"/>
    <n v="2024325880589"/>
    <n v="1824825354180"/>
    <s v="Rack"/>
    <s v="TX2-5S"/>
    <n v="90160"/>
    <s v="InTest"/>
  </r>
  <r>
    <s v="P26200945"/>
    <s v="2/6/2026 1:24:18 AM"/>
    <x v="2"/>
    <s v="SR020127268261"/>
    <s v="RK202"/>
    <s v="GB200 L11 Compute Node Information Consistent Check fail"/>
    <s v="2/6/2026"/>
    <x v="0"/>
    <s v="L11 Compute Node Information Consistent Check fail"/>
    <s v="GB300 L10"/>
    <x v="12"/>
    <s v="A978250X6119605"/>
    <s v="A978250X6202209"/>
    <s v="Rack"/>
    <s v="TX2-5S"/>
    <n v="90160"/>
    <s v="InTest"/>
  </r>
  <r>
    <s v="P26200948"/>
    <s v="2/6/2026 1:59:13 AM"/>
    <x v="2"/>
    <s v="SR020203264649"/>
    <s v="RK201"/>
    <s v="GB200 L11 NVLink Switch Information Consistent Check fail"/>
    <s v="2/6/2026"/>
    <x v="0"/>
    <s v="L11 NVLink Switch Information Consistent Check fail (CANNOT UPDATE)"/>
    <s v="NVSwitch"/>
    <x v="2"/>
    <s v="MT2541601TN4"/>
    <s v="MT2532602RVH"/>
    <s v="Rack"/>
    <s v="TX2-5S"/>
    <n v="90160"/>
    <s v="InTest"/>
  </r>
  <r>
    <s v="P26201011"/>
    <s v="2/6/2026 10:12:42 AM"/>
    <x v="2"/>
    <s v="SR021127257873"/>
    <s v="RK098"/>
    <s v="Use to replace L10 servers that have failed Rburn test from the rack. (更換Rack Rburn test fail的 L10系統)"/>
    <s v="2/6/2026"/>
    <x v="0"/>
    <s v="Use to replace L10 servers that have failed Rburn test from the rack. (更換Rack Rburn test fail的 L10系統)"/>
    <s v="GB300 L10"/>
    <x v="12"/>
    <s v="A978250X6118243"/>
    <s v="AAAAAAAAAAAA"/>
    <s v="Rack"/>
    <s v="TX2-5S"/>
    <n v="640"/>
    <s v="InTest"/>
  </r>
  <r>
    <s v="P26201035"/>
    <s v="2/6/2026 1:00:46 PM"/>
    <x v="2"/>
    <s v="SR020130262396"/>
    <s v="RK203"/>
    <s v="GB200 L11 Power Shelf Information Check fail"/>
    <s v="2/6/2026"/>
    <x v="0"/>
    <s v="SR020130262396 偵測不到POWER資訊"/>
    <s v="Delta Power Shelf Left Input"/>
    <x v="4"/>
    <s v="DGPSR2548064S"/>
    <s v="DGPSR25440R4G"/>
    <s v="Rack"/>
    <s v="TX2-5S"/>
    <n v="924"/>
    <s v="InTest"/>
  </r>
  <r>
    <s v="P26201038"/>
    <s v="2/6/2026 2:40:50 PM"/>
    <x v="2"/>
    <s v="SR020203264930"/>
    <s v="RK024"/>
    <s v="Cable cartridge Defect"/>
    <s v="2/6/2026"/>
    <x v="0"/>
    <s v="SR020203264930 CC2 BENT PIN @(Rack slot 11"/>
    <s v="Cable Cartridge"/>
    <x v="3"/>
    <n v="2024225881187"/>
    <n v="1824025185512"/>
    <s v="Rack"/>
    <s v="TX2-5S"/>
    <n v="924"/>
    <s v="InTest"/>
  </r>
  <r>
    <s v="P26201135"/>
    <s v="2/6/2026 3:34:20 PM"/>
    <x v="2"/>
    <s v="SR020130261073"/>
    <s v="RK024"/>
    <s v="Cable cartridge Defect"/>
    <s v="2/6/2026"/>
    <x v="0"/>
    <s v="L11 Cable Cartridge fail / Rack0_SW5_acp75 CC2_C0_Lane_11"/>
    <s v="Cable Cartridge"/>
    <x v="3"/>
    <n v="1824025185495"/>
    <n v="1824025185531"/>
    <s v="Rack"/>
    <s v="TX2-5S"/>
    <n v="90160"/>
    <s v="InTest"/>
  </r>
  <r>
    <s v="P26201137"/>
    <s v="2/6/2026 3:51:38 PM"/>
    <x v="2"/>
    <s v="SR020130267087"/>
    <s v="RK212"/>
    <s v="GB200 L11 GPU Missing"/>
    <s v="2/6/2026"/>
    <x v="0"/>
    <s v="Single Node NCCL failed on GPU 0008:06:00 and 0008:06:00"/>
    <s v="GB300 L10"/>
    <x v="12"/>
    <s v="A978250X6122187"/>
    <s v="A978250X6124613"/>
    <s v="Rack"/>
    <s v="TX2-5S"/>
    <n v="90131"/>
    <s v="InTest"/>
  </r>
  <r>
    <s v="P26201140"/>
    <s v="2/6/2026 4:46:14 PM"/>
    <x v="2"/>
    <s v="SR020203261509"/>
    <s v="RK024"/>
    <s v="Cable cartridge Defect"/>
    <s v="2/6/2026"/>
    <x v="0"/>
    <s v="L11 Cable Cartridge fail / Rack0_SW0_acp4 CC3_C0_Lane_0"/>
    <s v="Cable Cartridge"/>
    <x v="3"/>
    <n v="2024325881126"/>
    <n v="1824025185500"/>
    <s v="Rack"/>
    <s v="TX2-5S"/>
    <n v="90160"/>
    <s v="InTest"/>
  </r>
  <r>
    <s v="P26201154"/>
    <s v="2/6/2026 5:32:26 PM"/>
    <x v="2"/>
    <s v="SR020130268193"/>
    <s v="RK023"/>
    <s v="NVLINK Switch Functional Issue"/>
    <s v="2/6/2026"/>
    <x v="0"/>
    <s v="Unable to update"/>
    <s v="NVSwitch"/>
    <x v="2"/>
    <s v="MT25286001B2"/>
    <s v="MT2532602JFX"/>
    <s v="Rack"/>
    <s v="TX2-5S"/>
    <n v="90131"/>
    <s v="InTest"/>
  </r>
  <r>
    <s v="P26201155"/>
    <s v="2/6/2026 5:48:34 PM"/>
    <x v="2"/>
    <s v="SR021127257873"/>
    <s v="RK002"/>
    <s v="DOA - Switch no function/power (Switch無作用/無電源)"/>
    <s v="2/6/2026"/>
    <x v="0"/>
    <s v="unable to power on"/>
    <s v="GB300 L10"/>
    <x v="12"/>
    <s v="A978250X6118558"/>
    <s v="A978250X6201848"/>
    <s v="Rack"/>
    <s v="TX2-5S"/>
    <n v="90131"/>
    <s v="InTest"/>
  </r>
  <r>
    <s v="P26201156"/>
    <s v="2/6/2026 5:56:25 PM"/>
    <x v="2"/>
    <s v="SR020130265920"/>
    <s v="RK202"/>
    <s v="GB200 L11 Compute Node Information Consistent Check fail"/>
    <s v="2/6/2026"/>
    <x v="0"/>
    <s v="L11 Compute Node Information Consistent Check fail"/>
    <s v="GB300 L10"/>
    <x v="12"/>
    <s v="A978250X6123418"/>
    <s v="A978250X6123318"/>
    <s v="Rack"/>
    <s v="TX2-5S"/>
    <n v="90160"/>
    <s v="InTest"/>
  </r>
  <r>
    <s v="P26201186"/>
    <s v="2/6/2026 10:07:12 PM"/>
    <x v="2"/>
    <s v="SR020130266079"/>
    <s v="RK024"/>
    <s v="Cable cartridge Defect"/>
    <s v="2/6/2026"/>
    <x v="0"/>
    <s v="Cable cartridge Defect BENT PIN"/>
    <s v="Cable Cartridge"/>
    <x v="3"/>
    <n v="2024225880987"/>
    <n v="2024225880976"/>
    <s v="Rack"/>
    <s v="TX2-5S"/>
    <n v="90131"/>
    <s v="InTest"/>
  </r>
  <r>
    <s v="P26201237"/>
    <s v="2/7/2026 9:14:51 AM"/>
    <x v="2"/>
    <s v="SR020130267180"/>
    <s v="RK024"/>
    <s v="Cable cartridge Defect"/>
    <s v="2/7/2026"/>
    <x v="0"/>
    <s v="CC_導致R-Burn Fail_已更換_PM1265"/>
    <s v="Cable Cartridge"/>
    <x v="3"/>
    <n v="1824025185069"/>
    <n v="2024225880882"/>
    <s v="Rack"/>
    <s v="TX2-5S"/>
    <n v="1237"/>
    <s v="InTest"/>
  </r>
  <r>
    <s v="P26201321"/>
    <s v="2/7/2026 9:03:33 PM"/>
    <x v="2"/>
    <s v="SR020203261482"/>
    <s v="RK102"/>
    <s v="GB200 SCM BMC flash fail"/>
    <s v="2/7/2026"/>
    <x v="0"/>
    <s v="L11 SCM BMC flash fail _BMC LED Light orange color"/>
    <s v="GB300 L10"/>
    <x v="12"/>
    <s v="A978250X6201816"/>
    <s v="A978250X6118520"/>
    <s v="Rack"/>
    <s v="TX2-5S"/>
    <n v="90131"/>
    <s v="InTest"/>
  </r>
  <r>
    <s v="P26201332"/>
    <s v="2/7/2026 10:25:09 PM"/>
    <x v="2"/>
    <s v="SR020203266407"/>
    <s v="RK024"/>
    <s v="Cable cartridge Defect"/>
    <s v="2/7/2026"/>
    <x v="0"/>
    <s v="L11 Cable cartridge Defect SR020203266407"/>
    <s v="Cable Cartridge"/>
    <x v="3"/>
    <n v="2024325881119"/>
    <n v="1824025185484"/>
    <s v="Rack"/>
    <s v="TX2-5S"/>
    <n v="90169"/>
    <s v="InTest"/>
  </r>
  <r>
    <s v="P26201395"/>
    <s v="2/9/2026 10:03:25 PM"/>
    <x v="2"/>
    <s v="SR020203265801"/>
    <s v="RK204"/>
    <s v="GB200 L11 Switch Tray Nvidia Field Diag Test fail"/>
    <s v="2/9/2026"/>
    <x v="0"/>
    <s v="L11 TEST FAIL:SW2_CC2_C11, link_none,已交換過compute與nvl switch,固定位置"/>
    <s v="Cable Cartridge"/>
    <x v="3"/>
    <n v="2024325881068"/>
    <n v="1824025185476"/>
    <s v="Rack"/>
    <s v="TX2-5S"/>
    <n v="1519"/>
    <s v="InTest"/>
  </r>
  <r>
    <s v="P26201401"/>
    <s v="2/9/2026 10:26:29 AM"/>
    <x v="2"/>
    <s v="SR020130267180"/>
    <s v="RK023"/>
    <s v="NVLINK Switch Functional Issue"/>
    <s v="2/9/2026"/>
    <x v="0"/>
    <s v="NV SWITCH 燈號異常_更換TW640"/>
    <s v="NVSwitch"/>
    <x v="2"/>
    <s v="MT2546602TPY"/>
    <s v="MT2532602G9W"/>
    <s v="Rack"/>
    <s v="TX2-5S"/>
    <n v="640"/>
    <s v="InTest"/>
  </r>
  <r>
    <s v="P26201428"/>
    <s v="2/9/2026 2:12:15 PM"/>
    <x v="2"/>
    <s v="SR020130267180"/>
    <s v="RK023"/>
    <s v="NVLINK Switch Functional Issue"/>
    <s v="2/9/2026"/>
    <x v="0"/>
    <s v="nvswitch 燈號只有3顆"/>
    <s v="NVSwitch"/>
    <x v="2"/>
    <s v="MT2546602KW4"/>
    <s v="MT253060130E"/>
    <s v="Rack"/>
    <s v="TX2-5S"/>
    <n v="718"/>
    <s v="InTest"/>
  </r>
  <r>
    <s v="P26201435"/>
    <s v="2/9/2026 10:03:51 PM"/>
    <x v="2"/>
    <s v="SR020203265952"/>
    <s v="RK024"/>
    <s v="Cable cartridge Defect"/>
    <s v="2/9/2026"/>
    <x v="0"/>
    <s v="CC1(1824025185183) BENT PIN SLOT11(SW2)"/>
    <s v="Cable Cartridge"/>
    <x v="3"/>
    <n v="1824025185183"/>
    <n v="1824025185502"/>
    <s v="Rack"/>
    <s v="TX2-5S"/>
    <n v="924"/>
    <s v="InTest"/>
  </r>
  <r>
    <s v="P26201515"/>
    <s v="2/9/2026 8:12:23 PM"/>
    <x v="2"/>
    <s v="SR020203261282"/>
    <s v="RK206"/>
    <s v="GB200 L11 Single Node NCCL Test fail"/>
    <s v="2/9/2026"/>
    <x v="0"/>
    <s v="http://10.160.100.12/logs/ Firmus/2026/February/ SR020203261282/09/R-BURN/A978250X6124787/905A08351A61/ Failure-Records-Full.txt Single Node NCCL failed on GPU 0008:06:00 and 0009:06:00"/>
    <s v="GB300 L10"/>
    <x v="12"/>
    <s v="A978250X6202220"/>
    <s v="A978250X6202030"/>
    <s v="Rack"/>
    <s v="TX2-5S"/>
    <n v="90131"/>
    <s v="InTest"/>
  </r>
  <r>
    <s v="P26201517"/>
    <s v="2/9/2026 8:43:06 PM"/>
    <x v="2"/>
    <s v="SR020203261482"/>
    <s v="RK205"/>
    <s v="GB200 L11 Compute Tray Nvidia Field Diag Test fail"/>
    <s v="2/9/2026"/>
    <x v="0"/>
    <s v="http://10.160.100.10/logs/ Firmus/2026/February/ SR020203261482/09/R-BURN/A978250X6201862/905A08351DD2/ gb300_cartridge_nvidia_L11_field_diag_summary.log"/>
    <s v="GB300 L10"/>
    <x v="12"/>
    <s v="A978250X6118520"/>
    <s v="A978250X6202005"/>
    <s v="Rack"/>
    <s v="TX2-5S"/>
    <n v="90131"/>
    <s v="InTest"/>
  </r>
  <r>
    <s v="P26201524"/>
    <s v="2/9/2026 10:09:28 PM"/>
    <x v="2"/>
    <s v="SR020130267180"/>
    <s v="RK205"/>
    <s v="GB200 L11 Compute Tray Nvidia Field Diag Test fail"/>
    <s v="2/9/2026"/>
    <x v="0"/>
    <s v="Error while invoking api /redfish/v1/Chassis/CBC_3. Error message =&gt; The requested resource of type Chassis named 'CBC_3' was not found http://10.160.100.10/logs/Firmus/2026/February/SR020130267180/09/R-BURN/A978250X6116889/905A08354F54/gb300_cartridge_nvidia_L11_field_diag_summary.log"/>
    <s v="GB300 L10"/>
    <x v="12"/>
    <s v="A978250X6119439"/>
    <s v="A978250X6118588"/>
    <s v="Rack"/>
    <s v="TX2-5S"/>
    <n v="90131"/>
    <s v="InTest"/>
  </r>
  <r>
    <s v="P26201525"/>
    <s v="2/9/2026 10:09:55 PM"/>
    <x v="2"/>
    <s v="SR020203263749"/>
    <s v="RK197"/>
    <s v="GB200 Cable Cartridge fail"/>
    <s v="2/9/2026"/>
    <x v="0"/>
    <s v="L11 Cable Cartridge fail (BENT PIN SLOT 16)"/>
    <s v="Cable Cartridge"/>
    <x v="3"/>
    <n v="2024225880842"/>
    <n v="1824025185486"/>
    <s v="Rack"/>
    <s v="TX2-5S"/>
    <n v="90160"/>
    <s v="InTest"/>
  </r>
  <r>
    <s v="P26201547"/>
    <s v="2/10/2026 7:51:08 AM"/>
    <x v="2"/>
    <s v="SR020206262034"/>
    <s v="RK022"/>
    <s v="Power Shelf Defective"/>
    <s v="2/10/2026"/>
    <x v="2"/>
    <s v="SR020206262034 L11 TEST FAIL:powershelf #4 PSU device 4(DGPSR26020SSL) has missing information,跟著power走;2/10 TW4520 協助過帳"/>
    <s v="Delta Power Shelf Left Input"/>
    <x v="4"/>
    <s v="DGPSR26020SSL"/>
    <s v="DGPSR25440R4L"/>
    <s v="Rack"/>
    <s v="TX2-5S"/>
    <n v="1519"/>
    <s v="InTest"/>
  </r>
  <r>
    <s v="P26201549"/>
    <s v="2/10/2026 7:44:59 AM"/>
    <x v="2"/>
    <s v="SR020203261282"/>
    <s v="RK024"/>
    <s v="Cable cartridge Defect"/>
    <s v="2/10/2026"/>
    <x v="0"/>
    <s v="Cable cartridge Defect"/>
    <s v="Cable Cartridge"/>
    <x v="3"/>
    <n v="2024225880780"/>
    <n v="1823025356967"/>
    <s v="Rack"/>
    <s v="TX2-5S"/>
    <n v="640"/>
    <s v="InTest"/>
  </r>
  <r>
    <s v="P26201555"/>
    <s v="2/10/2026 12:23:21 PM"/>
    <x v="2"/>
    <s v="SR020203264754"/>
    <s v="RK024"/>
    <s v="Cable cartridge Defect"/>
    <s v="2/10/2026"/>
    <x v="0"/>
    <s v="SR020203264754 CC2 Bent Pin (Slot 9);TW4520;協助過帳"/>
    <s v="Cable Cartridge"/>
    <x v="3"/>
    <n v="1824025184143"/>
    <n v="1824825354799"/>
    <s v="Rack"/>
    <s v="TX2-5S"/>
    <n v="924"/>
    <s v="InTest"/>
  </r>
  <r>
    <s v="P26201556"/>
    <s v="2/10/2026 12:23:56 PM"/>
    <x v="2"/>
    <s v="SR020203269589"/>
    <s v="RK216"/>
    <s v="GB200 L11 Cable Cartridge Nvidia FD Test fail"/>
    <s v="2/10/2026"/>
    <x v="0"/>
    <s v="SR020203269589 NVL Switch L11 FD Test [FAIL];TW4520;協助過帳"/>
    <s v="Cable Cartridge"/>
    <x v="3"/>
    <n v="1824025186175"/>
    <n v="1824825354798"/>
    <s v="Rack"/>
    <s v="TX2-5S"/>
    <n v="924"/>
    <s v="InTest"/>
  </r>
  <r>
    <s v="P26201582"/>
    <s v="2/10/2026 10:36:43 AM"/>
    <x v="2"/>
    <s v="SR020203266491"/>
    <s v="RK022"/>
    <s v="Power Shelf Defective"/>
    <s v="2/10/2026"/>
    <x v="0"/>
    <s v="PowerShelf 燈號異常100M_更換_TW640"/>
    <s v="Power Shelf Control Module"/>
    <x v="0"/>
    <s v="T525480734"/>
    <s v="T525481029"/>
    <s v="Rack"/>
    <s v="TX2-5S"/>
    <n v="640"/>
    <s v="InTest"/>
  </r>
  <r>
    <s v="P26201583"/>
    <s v="2/10/2026 10:42:22 AM"/>
    <x v="2"/>
    <s v="SR020203266191"/>
    <s v="RK022"/>
    <s v="Power Shelf Defective"/>
    <s v="2/10/2026"/>
    <x v="0"/>
    <s v="Power Shelf 網速燈號異常只跑100M_更換_TW718"/>
    <s v="Power Shelf Control Module"/>
    <x v="0"/>
    <s v="T525480736"/>
    <s v="T525480979"/>
    <s v="Rack"/>
    <s v="TX2-5S"/>
    <n v="718"/>
    <s v="InTest"/>
  </r>
  <r>
    <s v="P26201599"/>
    <s v="2/10/2026 1:26:30 PM"/>
    <x v="2"/>
    <s v="SR020203264772"/>
    <s v="RK023"/>
    <s v="NVLINK Switch Functional Issue"/>
    <s v="2/10/2026"/>
    <x v="0"/>
    <s v="SR020203264772 L11 TEST FAIL:SW1(MT25486052Y5) 抓不到IP;TW4520;協助過帳"/>
    <s v="NVSwitch"/>
    <x v="2"/>
    <s v="MT25486052Y5"/>
    <s v="MT2541602TT1"/>
    <s v="Rack"/>
    <s v="TX2-5S"/>
    <n v="1519"/>
    <s v="InTest"/>
  </r>
  <r>
    <s v="P26201610"/>
    <s v="2/10/2026 2:15:26 PM"/>
    <x v="2"/>
    <s v="SR020203261343"/>
    <s v="RK022"/>
    <s v="Power Shelf Defective"/>
    <s v="2/10/2026"/>
    <x v="0"/>
    <s v="Power Shelf Defective 100m_更換_TW640"/>
    <s v="Power Shelf Control Module"/>
    <x v="0"/>
    <s v="T525480710"/>
    <s v="T525480715"/>
    <s v="Rack"/>
    <s v="TX2-5S"/>
    <n v="640"/>
    <s v="InTest"/>
  </r>
  <r>
    <s v="P26201620"/>
    <s v="2/10/2026 3:09:51 PM"/>
    <x v="2"/>
    <s v="SR020203261343"/>
    <s v="RK114"/>
    <s v="GB200 M.2 / E1.S Check fail"/>
    <s v="2/10/2026"/>
    <x v="0"/>
    <s v="GB300 E1.S Check fail 數量少偵測1顆HDD_已更換_PM1265"/>
    <s v="GB300 L10"/>
    <x v="12"/>
    <s v="A978250X6202079"/>
    <s v="A978250X6124909"/>
    <s v="Rack"/>
    <s v="TX2-5S"/>
    <n v="640"/>
    <s v="InTest"/>
  </r>
  <r>
    <s v="P26201642"/>
    <s v="2/10/2026 5:36:11 PM"/>
    <x v="2"/>
    <s v="SR020130267180"/>
    <s v="RK205"/>
    <s v="GB200 L11 Compute Tray Nvidia Field Diag Test fail"/>
    <s v="2/10/2026"/>
    <x v="0"/>
    <s v="http://10.160.100.10/l ogs/Firmus/2026/February /SR020130267180/10/R-BURN /A978250X6116889/905A08354F54/gb300_compute_nvidia_L11_field_diag_summary.log"/>
    <s v="GB300 L10"/>
    <x v="12"/>
    <s v="A978250X6119446"/>
    <s v="A978250X6119460"/>
    <s v="Rack"/>
    <s v="TX2-5S"/>
    <n v="90131"/>
    <s v="InTest"/>
  </r>
  <r>
    <s v="P26201649"/>
    <s v="2/10/2026 6:23:50 PM"/>
    <x v="2"/>
    <s v="SR020203268544"/>
    <s v="RK024"/>
    <s v="Cable cartridge Defect"/>
    <s v="2/10/2026"/>
    <x v="0"/>
    <s v="L11 Bent pin slot 10"/>
    <s v="Cable Cartridge"/>
    <x v="3"/>
    <n v="2024225880744"/>
    <n v="1824825354969"/>
    <s v="Rack"/>
    <s v="TX2-5S"/>
    <n v="90185"/>
    <s v="InTest"/>
  </r>
  <r>
    <s v="P26201664"/>
    <s v="2/10/2026 9:30:14 PM"/>
    <x v="2"/>
    <s v="SR020203264561"/>
    <s v="RK024"/>
    <s v="Cable cartridge Defect"/>
    <s v="2/10/2026"/>
    <x v="0"/>
    <s v="L11 Cable cartridge Defect BENT-PIN SR020203264561"/>
    <s v="Cable Cartridge"/>
    <x v="3"/>
    <n v="1824125184092"/>
    <n v="1824825354961"/>
    <s v="Rack"/>
    <s v="TX2-5S"/>
    <n v="90169"/>
    <s v="InTest"/>
  </r>
  <r>
    <s v="P26201666"/>
    <s v="2/10/2026 9:56:42 PM"/>
    <x v="2"/>
    <s v="SR020203267366"/>
    <s v="RK202"/>
    <s v="GB200 L11 Compute Node Information Consistent Check fail"/>
    <s v="2/10/2026"/>
    <x v="0"/>
    <s v="L11 Compute Node Information Consistent Check fail"/>
    <s v="GB300 L10"/>
    <x v="12"/>
    <s v="A978250X6201828"/>
    <s v="A978250X6122297"/>
    <s v="Rack"/>
    <s v="TX2-5S"/>
    <n v="90169"/>
    <s v="InTest"/>
  </r>
  <r>
    <s v="P26201668"/>
    <s v="2/10/2026 10:17:36 PM"/>
    <x v="2"/>
    <s v="SR020203268371"/>
    <s v="RK024"/>
    <s v="Cable cartridge Defect"/>
    <s v="2/10/2026"/>
    <x v="0"/>
    <s v="L11 BENT PIN SLOT 12 - Rack0_SW3_acp38 CC1_C9_Lane_6 link_none"/>
    <s v="Cable Cartridge"/>
    <x v="3"/>
    <n v="2024225880922"/>
    <n v="1824825354612"/>
    <s v="Rack"/>
    <s v="TX2-5S"/>
    <n v="90185"/>
    <s v="InTest"/>
  </r>
  <r>
    <s v="P26201674"/>
    <s v="2/10/2026 10:31:03 PM"/>
    <x v="2"/>
    <s v="SR020203266141"/>
    <s v="RK002"/>
    <s v="DOA - Switch no function/power (Switch無作用/無電源)"/>
    <s v="2/10/2026"/>
    <x v="0"/>
    <s v="unable to power on"/>
    <s v="GB300 L10"/>
    <x v="12"/>
    <s v="A978250X6203082"/>
    <s v="A978250X6124015"/>
    <s v="Rack"/>
    <s v="TX2-5S"/>
    <n v="3908"/>
    <s v="InTest"/>
  </r>
  <r>
    <s v="P26201676"/>
    <s v="2/10/2026 10:38:57 PM"/>
    <x v="2"/>
    <s v="SR020203264754"/>
    <s v="RK201"/>
    <s v="GB200 L11 NVLink Switch Information Consistent Check fail"/>
    <s v="2/10/2026"/>
    <x v="0"/>
    <s v="L11 Raw_lane_ber error value of 3e-06 exceeded threshold on (switch 1 dev 1 topo 0, nvlink 2)] @(Rack slot 17, CBC 3"/>
    <s v="NVSwitch"/>
    <x v="2"/>
    <s v="MT2546602VA4"/>
    <s v="MT254560240J"/>
    <s v="Rack"/>
    <s v="TX2-5S"/>
    <n v="90160"/>
    <s v="InTest"/>
  </r>
  <r>
    <s v="P26201682"/>
    <s v="2/10/2026 11:18:47 PM"/>
    <x v="2"/>
    <s v="SR020203264591"/>
    <s v="RK024"/>
    <s v="Cable cartridge Defect"/>
    <s v="2/10/2026"/>
    <x v="0"/>
    <s v="L11 Cable cartridge Defect - Rack0_SW7_acp112 CC3_C9_Lane_15 link_bad_quality_high_ber"/>
    <s v="Cable Cartridge"/>
    <x v="3"/>
    <n v="1823125354929"/>
    <n v="1824825354596"/>
    <s v="Rack"/>
    <s v="TX2-5S"/>
    <n v="90185"/>
    <s v="InTest"/>
  </r>
  <r>
    <s v="P26201749"/>
    <s v="2/11/2026 1:01:42 PM"/>
    <x v="2"/>
    <s v="SR020203264772"/>
    <s v="RK022"/>
    <s v="Power Shelf Defective"/>
    <s v="2/11/2026"/>
    <x v="0"/>
    <s v="SR020203264772 L11 TEST FAIL:PowerShelf#4 PMB(T525480336) Updating PMC Backup timeout,MRB"/>
    <s v="Power Shelf Control Module"/>
    <x v="0"/>
    <s v="T525480336"/>
    <s v="SV25383360"/>
    <s v="Rack"/>
    <s v="TX2-5S"/>
    <n v="1519"/>
    <s v="InTest"/>
  </r>
  <r>
    <s v="P26201751"/>
    <s v="2/11/2026 9:44:49 AM"/>
    <x v="2"/>
    <s v="SR020206264897"/>
    <s v="RK024"/>
    <s v="Cable cartridge Defect"/>
    <s v="2/11/2026"/>
    <x v="0"/>
    <s v="Cable cartridge Defect"/>
    <s v="Cable Cartridge"/>
    <x v="3"/>
    <n v="1824025184720"/>
    <n v="1823025357024"/>
    <s v="Rack"/>
    <s v="TX2-5S"/>
    <n v="1237"/>
    <s v="InTest"/>
  </r>
  <r>
    <s v="P26201826"/>
    <s v="2/11/2026 4:09:04 PM"/>
    <x v="2"/>
    <s v="SR020206264897"/>
    <s v="RK023"/>
    <s v="NVLINK Switch Functional Issue"/>
    <s v="2/11/2026"/>
    <x v="0"/>
    <s v="http://10.160.100.12/logs/Firmus/2026/ February/ SR020206264897/11/ R-BURN/A978250X6201247/ 905A0832F8B8/gb300_compute_nvidia_L11_field_diag_summary.log"/>
    <s v="NVSwitch"/>
    <x v="2"/>
    <s v="MT2550601LED"/>
    <s v="MT2545600E9Q"/>
    <s v="Rack"/>
    <s v="TX2-5S"/>
    <n v="90131"/>
    <s v="InTest"/>
  </r>
  <r>
    <s v="P26201828"/>
    <s v="2/11/2026 5:54:32 PM"/>
    <x v="2"/>
    <s v="SR020203268544"/>
    <s v="RK024"/>
    <s v="Cable cartridge Defect"/>
    <s v="2/11/2026"/>
    <x v="0"/>
    <s v="L11 Cable cartridge Defect / Rack0_SW2_acp96 CC3_C5_Lane_5"/>
    <s v="Cable Cartridge"/>
    <x v="3"/>
    <n v="2024225881087"/>
    <n v="1824825354962"/>
    <s v="Rack"/>
    <s v="TX2-5S"/>
    <n v="90160"/>
    <s v="InTest"/>
  </r>
  <r>
    <s v="P26201836"/>
    <s v="2/11/2026 8:19:56 PM"/>
    <x v="2"/>
    <s v="SR020206261733"/>
    <s v="RK023"/>
    <s v="NVLINK Switch Functional Issue"/>
    <s v="2/11/2026"/>
    <x v="0"/>
    <s v="NVLINK Switch Functional Issue / Rack0_SW8_acp112 CC3_C9_Lane_17 link_none"/>
    <s v="NVSwitch"/>
    <x v="2"/>
    <s v="MT2550601TQ3"/>
    <s v="MT2532602JFZ"/>
    <s v="Rack"/>
    <s v="TX2-5S"/>
    <n v="90185"/>
    <s v="InTest"/>
  </r>
  <r>
    <s v="P26201859"/>
    <s v="2/11/2026 11:35:12 PM"/>
    <x v="2"/>
    <s v="SR020206268197"/>
    <s v="RK132"/>
    <s v="GB200 Dmesg NVRM issue"/>
    <s v="2/11/2026"/>
    <x v="0"/>
    <s v="L11 Acceptable temperature limits exceeded or the thermal sensor is broken. http://10.181.56.71 /logs /Firmus /2026 /February /SR020206268197 /11 /R-BURN /A978250X6203590 /905A0832F9FA"/>
    <s v="GB300 L10"/>
    <x v="12"/>
    <s v="A978250X6202148"/>
    <s v="A978250X6204332"/>
    <s v="Rack"/>
    <s v="TX2-5S"/>
    <n v="90185"/>
    <s v="InTest"/>
  </r>
  <r>
    <s v="P26201894"/>
    <s v="2/12/2026 9:21:27 AM"/>
    <x v="2"/>
    <s v="SR020206268093"/>
    <s v="RK203"/>
    <s v="GB200 L11 Power Shelf Information Check fail"/>
    <s v="2/12/2026"/>
    <x v="0"/>
    <s v="SR020206268093 Power Shelf #7 PMB 更新FAIL;TW4520;2/12 協助過帳"/>
    <s v="Power Shelf Control Module"/>
    <x v="0"/>
    <s v="T525482695"/>
    <s v="T525480937"/>
    <s v="Rack"/>
    <s v="TX2-5S"/>
    <n v="924"/>
    <s v="InTest"/>
  </r>
  <r>
    <s v="P26201936"/>
    <s v="2/12/2026 7:59:18 PM"/>
    <x v="2"/>
    <s v="SR020206267528"/>
    <s v="RK022"/>
    <s v="Power Shelf Defective"/>
    <s v="2/12/2026"/>
    <x v="1"/>
    <s v="L11 TEST FAIL:POWER LED不亮"/>
    <s v="Delta power shelf right input"/>
    <x v="5"/>
    <s v="THASP254700Q5"/>
    <m/>
    <s v="Rack"/>
    <s v="TX2-5S"/>
    <n v="1519"/>
    <s v="InTest"/>
  </r>
  <r>
    <s v="P26201964"/>
    <s v="2/12/2026 4:56:30 PM"/>
    <x v="2"/>
    <s v="SR020206264897"/>
    <s v="RK214"/>
    <s v="GB200 L11 Unable to power on"/>
    <s v="2/12/2026"/>
    <x v="0"/>
    <s v="Shutdown unexpectedly when GPU Burn test. And critical log of Sensor 'Chassis_0_Front_IO_Temp_0' in BMC SEL. Sensor 'Chassis_0_Front_IO_Temp_0' reading of 40.000000"/>
    <s v="GB300 L10"/>
    <x v="12"/>
    <s v="A978250X6202269"/>
    <s v="A978250X6204298"/>
    <s v="Rack"/>
    <s v="TX2-5S"/>
    <n v="90131"/>
    <s v="InTest"/>
  </r>
  <r>
    <s v="P26201986"/>
    <s v="2/12/2026 10:57:03 PM"/>
    <x v="2"/>
    <s v="SR020206267528"/>
    <s v="RK202"/>
    <s v="GB200 L11 Compute Node Information Consistent Check fail"/>
    <s v="2/12/2026"/>
    <x v="0"/>
    <s v="GB200 L11 Compute Node Information Consistent Check fail"/>
    <s v="GB300 L10"/>
    <x v="12"/>
    <s v="A978250X6124977"/>
    <s v="A978250X6122196"/>
    <s v="Rack"/>
    <s v="TX2-5S"/>
    <n v="90185"/>
    <s v="InTest"/>
  </r>
  <r>
    <s v="P26202046"/>
    <s v="2/13/2026 10:12:56 AM"/>
    <x v="2"/>
    <s v="SR020206261296"/>
    <s v="RK204"/>
    <s v="GB200 L11 Switch Tray Nvidia Field Diag Test fail"/>
    <s v="2/13/2026"/>
    <x v="0"/>
    <s v="L11 TEST FAIL:SW7,CC0_C7, link_none"/>
    <s v="Cable Cartridge"/>
    <x v="3"/>
    <n v="2024925350657"/>
    <n v="1824825354718"/>
    <s v="Rack"/>
    <s v="TX2-5S"/>
    <n v="1519"/>
    <s v="InTest"/>
  </r>
  <r>
    <s v="P26202047"/>
    <s v="2/13/2026 10:12:56 AM"/>
    <x v="2"/>
    <s v="SR020206261296"/>
    <s v="RK204"/>
    <s v="GB200 L11 Switch Tray Nvidia Field Diag Test fail"/>
    <s v="2/13/2026"/>
    <x v="0"/>
    <s v="L11 TEST FAIL:SW7,CC2_C7, link_none"/>
    <s v="Cable Cartridge"/>
    <x v="3"/>
    <n v="2024425880133"/>
    <n v="1824825354527"/>
    <s v="Rack"/>
    <s v="TX2-5S"/>
    <n v="1519"/>
    <s v="InTest"/>
  </r>
  <r>
    <s v="P26202054"/>
    <s v="2/13/2026 9:54:13 AM"/>
    <x v="2"/>
    <s v="SR020206263786"/>
    <s v="RK098"/>
    <s v="Use to replace L10 servers that have failed Rburn test from the rack. (更換Rack Rburn test fail的 L10系統)"/>
    <s v="2/13/2026"/>
    <x v="0"/>
    <s v="L10 Both HIGH FEC and RAW BER found (連線不穩定)導致R-burn 燒機FAIL _已更換_PM1265"/>
    <s v="GB300 L10"/>
    <x v="12"/>
    <s v="A978250X6118401"/>
    <s v="A978250X6202012"/>
    <s v="Rack"/>
    <s v="TX2-5S"/>
    <n v="1237"/>
    <s v="InTest"/>
  </r>
  <r>
    <s v="P26202062"/>
    <s v="2/13/2026 7:48:55 PM"/>
    <x v="2"/>
    <s v="SR020206266573"/>
    <s v="RK024"/>
    <s v="Cable cartridge Defect"/>
    <s v="2/13/2026"/>
    <x v="0"/>
    <s v="CC2_C10_Lane_8, link_none,0, 0跟CC2_C12_Lane_8, link_none,0, 0 (BENT PIN SLOT 13)"/>
    <s v="Cable Cartridge"/>
    <x v="3"/>
    <n v="1824725354335"/>
    <n v="1824825354346"/>
    <s v="Rack"/>
    <s v="TX2-5S"/>
    <n v="2984"/>
    <s v="InTest"/>
  </r>
  <r>
    <s v="P26202122"/>
    <s v="2/13/2026 8:57:29 PM"/>
    <x v="2"/>
    <s v="SR020206266171"/>
    <s v="RK201"/>
    <s v="GB200 L11 NVLink Switch Information Consistent Check fail"/>
    <s v="2/13/2026"/>
    <x v="0"/>
    <s v="L11 NVLink Switch Information Consistent Check fail(Cannot Update)"/>
    <s v="NVSwitch"/>
    <x v="2"/>
    <s v="MT2550602FQJ"/>
    <s v="MT2532602G8F"/>
    <s v="Rack"/>
    <s v="TX2-5S"/>
    <n v="90160"/>
    <s v="InTest"/>
  </r>
  <r>
    <s v="P26202130"/>
    <s v="2/13/2026 10:01:45 PM"/>
    <x v="2"/>
    <s v="SR020206261207"/>
    <s v="RK214"/>
    <s v="GB200 L11 Unable to power on"/>
    <s v="2/13/2026"/>
    <x v="0"/>
    <s v="L11 Unable to power on"/>
    <s v="GB300 L10"/>
    <x v="12"/>
    <s v="A978250X6124002"/>
    <s v="A978250X6204157"/>
    <s v="Rack"/>
    <s v="TX2-5S"/>
    <n v="90184"/>
    <s v="InTest"/>
  </r>
  <r>
    <s v="P26202134"/>
    <s v="2/13/2026 10:14:50 PM"/>
    <x v="2"/>
    <s v="SR020206261207"/>
    <s v="RK202"/>
    <s v="GB200 L11 Compute Node Information Consistent Check fail"/>
    <s v="2/13/2026"/>
    <x v="0"/>
    <s v="L11 Compute Node Information Consistent Check fail"/>
    <s v="GB300 L10"/>
    <x v="12"/>
    <s v="A978250X6124002"/>
    <s v="A978250X6204157"/>
    <s v="Rack"/>
    <s v="TX2-5S"/>
    <n v="90160"/>
    <s v="InTest"/>
  </r>
  <r>
    <s v="P26202151"/>
    <s v="2/14/2026 12:32:21 AM"/>
    <x v="2"/>
    <s v="SR020206263238"/>
    <s v="RK024"/>
    <s v="Cable cartridge Defect"/>
    <s v="2/14/2026"/>
    <x v="0"/>
    <s v="L11 Cable cartridge defect. Slot 11 bent pin."/>
    <s v="Cable Cartridge"/>
    <x v="3"/>
    <n v="1824825354425"/>
    <n v="1824825354322"/>
    <s v="Rack"/>
    <s v="TX2-5S"/>
    <n v="90185"/>
    <s v="InTest"/>
  </r>
  <r>
    <s v="P26202160"/>
    <s v="2/14/2026 1:41:09 AM"/>
    <x v="2"/>
    <s v="SR020206264897"/>
    <s v="RK214"/>
    <s v="GB200 L11 Unable to power on"/>
    <s v="2/14/2026"/>
    <x v="0"/>
    <s v="auto Shutdown"/>
    <s v="GB300 L10"/>
    <x v="12"/>
    <s v="A978250X6202054"/>
    <s v="A978250X6204285"/>
    <s v="Rack"/>
    <s v="TX2-5S"/>
    <n v="90131"/>
    <s v="InTest"/>
  </r>
  <r>
    <s v="P26202225"/>
    <s v="2/14/2026 5:56:44 PM"/>
    <x v="2"/>
    <s v="SR020206266097"/>
    <s v="RK024"/>
    <s v="Cable cartridge Defect"/>
    <s v="2/14/2026"/>
    <x v="0"/>
    <s v="L11 Cable Cartridge fail (BENT PIN SLOT 12)"/>
    <s v="Cable Cartridge"/>
    <x v="3"/>
    <n v="2024925350395"/>
    <n v="1824825354199"/>
    <s v="Rack"/>
    <s v="TX2-5S"/>
    <n v="90160"/>
    <s v="InTest"/>
  </r>
  <r>
    <s v="P26202273"/>
    <s v="2/19/2026 5:04:46 PM"/>
    <x v="2"/>
    <s v="SR020206266171"/>
    <s v="RK024"/>
    <s v="Cable cartridge Defect"/>
    <s v="2/19/2026"/>
    <x v="0"/>
    <s v="L11 Cable catridge defect - Rack0_SW8_acp83 CC2_C2_Lane_17 link_none"/>
    <s v="Cable Cartridge"/>
    <x v="3"/>
    <n v="2024925351115"/>
    <n v="1824725355234"/>
    <s v="Rack"/>
    <s v="TX2-5S"/>
    <n v="90185"/>
    <s v="InTest"/>
  </r>
  <r>
    <s v="P26202275"/>
    <s v="2/19/2026 5:37:44 PM"/>
    <x v="2"/>
    <s v="SR020206267809"/>
    <s v="RK024"/>
    <s v="Cable cartridge Defect"/>
    <s v="2/19/2026"/>
    <x v="0"/>
    <s v="Cable cartridge Defect - Rack0_SW8_acp83 CC2_C2_Lane_17 link_none"/>
    <s v="Cable Cartridge"/>
    <x v="3"/>
    <n v="1824825356517"/>
    <n v="1824825354344"/>
    <s v="Rack"/>
    <s v="TX2-5S"/>
    <n v="90185"/>
    <s v="InTest"/>
  </r>
  <r>
    <s v="P26202285"/>
    <s v="2/19/2026 6:09:31 PM"/>
    <x v="2"/>
    <s v="SR020206267940"/>
    <s v="RK202"/>
    <s v="GB200 L11 Compute Node Information Consistent Check fail"/>
    <s v="2/19/2026"/>
    <x v="0"/>
    <s v="L11 Compute Node Information Consistent Check fail"/>
    <s v="GB300 L10"/>
    <x v="12"/>
    <s v="A978250X6119468"/>
    <s v="A978250X6118626"/>
    <s v="Rack"/>
    <s v="TX2-5S"/>
    <n v="90160"/>
    <s v="InTest"/>
  </r>
  <r>
    <s v="P26202287"/>
    <s v="2/19/2026 6:24:01 PM"/>
    <x v="2"/>
    <s v="SR020206263238"/>
    <s v="RK202"/>
    <s v="GB200 L11 Compute Node Information Consistent Check fail"/>
    <s v="2/19/2026"/>
    <x v="0"/>
    <s v="L11 Compute Node Information Consistent Check fail"/>
    <s v="GB300 L10"/>
    <x v="12"/>
    <s v="A978250X6118432"/>
    <s v="A978250X6202028"/>
    <s v="Rack"/>
    <s v="TX2-5S"/>
    <n v="90160"/>
    <s v="InTest"/>
  </r>
  <r>
    <s v="P26202309"/>
    <s v="2/19/2026 7:59:44 PM"/>
    <x v="2"/>
    <s v="SR020206263238"/>
    <s v="RK202"/>
    <s v="GB200 L11 Compute Node Information Consistent Check fail"/>
    <s v="2/19/2026"/>
    <x v="0"/>
    <s v="L11 Compute Node Information Consistent Check fail"/>
    <s v="GB300 L10"/>
    <x v="12"/>
    <s v="A978250X6118520"/>
    <s v="A978250X6201540"/>
    <s v="Rack"/>
    <s v="TX2-5S"/>
    <n v="90160"/>
    <s v="InTest"/>
  </r>
  <r>
    <s v="P26202310"/>
    <s v="2/19/2026 8:00:58 PM"/>
    <x v="3"/>
    <s v="SR020206269093"/>
    <s v="RK024"/>
    <s v="Cable cartridge Defect"/>
    <s v="2/19/2026"/>
    <x v="0"/>
    <s v="L11 Cable catridge defect _ Rack0_SW8_acp129 CC0_C14_Lane_17 link_none"/>
    <s v="Cable Cartridge"/>
    <x v="3"/>
    <n v="2024925350749"/>
    <n v="1824825354575"/>
    <s v="Rack"/>
    <s v="TX2-5S"/>
    <n v="90185"/>
    <s v="InTest"/>
  </r>
  <r>
    <s v="P26202316"/>
    <s v="2/19/2026 9:12:27 PM"/>
    <x v="2"/>
    <s v="SR020206261296"/>
    <s v="RK202"/>
    <s v="GB200 L11 Compute Node Information Consistent Check fail"/>
    <s v="2/19/2026"/>
    <x v="0"/>
    <s v="GB200 L11 Compute Node Information Consistent Check fail"/>
    <s v="GB300 L10"/>
    <x v="12"/>
    <s v="A978250X6124988"/>
    <s v="A978250X6201798"/>
    <s v="Rack"/>
    <s v="TX2-5S"/>
    <n v="90185"/>
    <s v="InTest"/>
  </r>
  <r>
    <s v="P26202341"/>
    <s v="2/19/2026 10:18:07 PM"/>
    <x v="3"/>
    <s v="SR020206269093"/>
    <s v="RK202"/>
    <s v="GB200 L11 Compute Node Information Consistent Check fail"/>
    <s v="2/19/2026"/>
    <x v="0"/>
    <s v="L11 Compute Node Information Consistent Check fail"/>
    <s v="GB300 L10"/>
    <x v="14"/>
    <s v="A979646X6209243"/>
    <s v="A979646X6209144"/>
    <s v="Rack"/>
    <s v="TX2-5S"/>
    <n v="90160"/>
    <s v="InTest"/>
  </r>
  <r>
    <s v="P26202344"/>
    <s v="2/19/2026 10:32:31 PM"/>
    <x v="2"/>
    <s v="SR020206264526"/>
    <s v="RK202"/>
    <s v="GB200 L11 Compute Node Information Consistent Check fail"/>
    <s v="2/19/2026"/>
    <x v="0"/>
    <s v="L11 Compute Node Information Consistent Check fail"/>
    <s v="GB300 L10"/>
    <x v="12"/>
    <s v="A978250X6118261"/>
    <s v="A978250X6202219"/>
    <s v="Rack"/>
    <s v="TX2-5S"/>
    <n v="90160"/>
    <s v="InTest"/>
  </r>
  <r>
    <s v="P26202543"/>
    <s v="2/21/2026 9:17:59 PM"/>
    <x v="2"/>
    <s v="SR020206266171"/>
    <s v="RK024"/>
    <s v="Cable cartridge Defect"/>
    <s v="2/21/2026"/>
    <x v="0"/>
    <s v="L11 Cable Cartridge fail"/>
    <s v="Cable Cartridge"/>
    <x v="3"/>
    <n v="2024425880215"/>
    <n v="1824825356517"/>
    <s v="Rack"/>
    <s v="TX2-5S"/>
    <n v="90160"/>
    <s v="InTest"/>
  </r>
  <r>
    <s v="P26202657"/>
    <s v="2/23/2026 10:42:10 PM"/>
    <x v="2"/>
    <s v="SR020214269305"/>
    <s v="PS013"/>
    <s v="Mistakes from Vendors (CM問題)"/>
    <s v="2/23/2026"/>
    <x v="1"/>
    <s v="PSU device 2 has missing information or could not be fully detected"/>
    <s v="Delta power shelf right input"/>
    <x v="5"/>
    <s v="THASP254700ER"/>
    <m/>
    <s v="Rack"/>
    <s v="TX2-5S"/>
    <n v="924"/>
    <s v="InTest"/>
  </r>
  <r>
    <s v="P26202715"/>
    <s v="2/23/2026 5:18:56 PM"/>
    <x v="2"/>
    <s v="SR020206266171"/>
    <s v="RK024"/>
    <s v="Cable cartridge Defect"/>
    <s v="2/23/2026"/>
    <x v="0"/>
    <s v="L11 Cable Cartridge fail / Rack0_SW0_acp1 CC0_C0_Lane_0"/>
    <s v="Cable Cartridge"/>
    <x v="3"/>
    <n v="2024425880215"/>
    <n v="1824825356517"/>
    <s v="Rack"/>
    <s v="TX2-5S"/>
    <n v="90160"/>
    <s v="InTest"/>
  </r>
  <r>
    <s v="P26202755"/>
    <s v="2/23/2026 10:30:24 PM"/>
    <x v="2"/>
    <s v="SR020206267940"/>
    <s v="RK202"/>
    <s v="GB200 L11 Compute Node Information Consistent Check fail"/>
    <s v="2/23/2026"/>
    <x v="0"/>
    <s v="L11 Compute Node Information Consistent Check fail"/>
    <s v="GB300 L10"/>
    <x v="12"/>
    <s v="A978250X6119439"/>
    <s v="A978250X6119468"/>
    <s v="Rack"/>
    <s v="TX2-5S"/>
    <n v="90160"/>
    <s v="InTest"/>
  </r>
  <r>
    <s v="P26202759"/>
    <s v="2/23/2026 10:34:38 PM"/>
    <x v="2"/>
    <s v="SR020206267940"/>
    <s v="RK202"/>
    <s v="GB200 L11 Compute Node Information Consistent Check fail"/>
    <s v="2/23/2026"/>
    <x v="0"/>
    <s v="L11 Compute Node Information Consistent Check fail"/>
    <s v="GB300 L10"/>
    <x v="12"/>
    <s v="A978250X6119468"/>
    <s v="A978250X6119475"/>
    <s v="Rack"/>
    <s v="TX2-5S"/>
    <n v="90160"/>
    <s v="InTest"/>
  </r>
  <r>
    <s v="P26202774"/>
    <s v="2/23/2026 10:42:46 PM"/>
    <x v="2"/>
    <s v="SR020214269305"/>
    <s v="RK202"/>
    <s v="GB200 L11 Compute Node Information Consistent Check fail"/>
    <s v="2/23/2026"/>
    <x v="0"/>
    <s v="L11 Compute Node Information Consistent Check fail"/>
    <s v="GB300 L10"/>
    <x v="12"/>
    <s v="A978250X6202566"/>
    <s v="A978250X6121625"/>
    <s v="Rack"/>
    <s v="TX2-5S"/>
    <n v="90160"/>
    <s v="InTest"/>
  </r>
  <r>
    <s v="P26202779"/>
    <s v="2/23/2026 10:54:32 PM"/>
    <x v="2"/>
    <s v="SR020214269305"/>
    <s v="RK202"/>
    <s v="GB200 L11 Compute Node Information Consistent Check fail"/>
    <s v="2/23/2026"/>
    <x v="0"/>
    <s v="L11 Compute Node Information Consistent Check fail"/>
    <s v="GB300 L10"/>
    <x v="12"/>
    <s v="A978250X6204081"/>
    <s v="A978250X6123993"/>
    <s v="Rack"/>
    <s v="TX2-5S"/>
    <n v="90160"/>
    <s v="InTest"/>
  </r>
  <r>
    <s v="P26202782"/>
    <s v="2/23/2026 10:58:24 PM"/>
    <x v="2"/>
    <s v="SR020214269305"/>
    <s v="RK202"/>
    <s v="GB200 L11 Compute Node Information Consistent Check fail"/>
    <s v="2/23/2026"/>
    <x v="0"/>
    <s v="L11 Compute Node Information Consistent Check fail"/>
    <s v="GB300 L10"/>
    <x v="12"/>
    <s v="A978250X6124020"/>
    <s v="A978250X6202269"/>
    <s v="Rack"/>
    <s v="TX2-5S"/>
    <n v="90160"/>
    <s v="InTest"/>
  </r>
  <r>
    <s v="P26202789"/>
    <s v="2/23/2026 11:09:13 PM"/>
    <x v="2"/>
    <s v="SR020214261249"/>
    <s v="RK202"/>
    <s v="GB200 L11 Compute Node Information Consistent Check fail"/>
    <s v="2/23/2026"/>
    <x v="0"/>
    <s v="L11 Compute Node Information Consistent Check fail"/>
    <s v="GB300 L10"/>
    <x v="12"/>
    <s v="A978250X6119605"/>
    <s v="A978250X6211588"/>
    <s v="Rack"/>
    <s v="TX2-5S"/>
    <n v="90160"/>
    <s v="InTest"/>
  </r>
  <r>
    <s v="P26202840"/>
    <s v="2/24/2026 9:42:02 AM"/>
    <x v="2"/>
    <s v="SR020214266307"/>
    <s v="RK023"/>
    <s v="NVLINK Switch Functional Issue"/>
    <s v="2/24/2026"/>
    <x v="0"/>
    <s v="SR020214266307 L11 TEST FAIL:SW0 update Timeout or EOF reached TW4520 2/24協助過帳"/>
    <s v="NVSwitch"/>
    <x v="2"/>
    <s v="MT25506019Q3"/>
    <s v="MT2532602G8J"/>
    <s v="Rack"/>
    <s v="TX2-5S"/>
    <n v="1519"/>
    <s v="InTest"/>
  </r>
  <r>
    <s v="P26202857"/>
    <s v="2/24/2026 12:52:33 PM"/>
    <x v="2"/>
    <s v="SR020214269683"/>
    <s v="RK024"/>
    <s v="Cable cartridge Defect"/>
    <s v="2/24/2026"/>
    <x v="0"/>
    <s v="SR020214269683 witch_tray,Rack0_SW1_acp83,CC2_C2_Lane_3 TW4520 2/24 協助過帳"/>
    <s v="Cable Cartridge"/>
    <x v="3"/>
    <n v="2024925350644"/>
    <n v="1824825354312"/>
    <s v="Rack"/>
    <s v="TX2-5S"/>
    <n v="1519"/>
    <s v="InTest"/>
  </r>
  <r>
    <s v="P26202858"/>
    <s v="2/24/2026 12:53:09 PM"/>
    <x v="2"/>
    <s v="SR020214262332"/>
    <s v="RK024"/>
    <s v="Cable cartridge Defect"/>
    <s v="2/24/2026"/>
    <x v="0"/>
    <s v="SR020214262332 witch_tray,Rack0_SW1_acp83,CC2_C2_Lane_3 TW4520 2/24 協助過帳"/>
    <s v="Cable Cartridge"/>
    <x v="3"/>
    <n v="2024925350782"/>
    <n v="1824825354192"/>
    <s v="Rack"/>
    <s v="TX2-5S"/>
    <n v="1519"/>
    <s v="InTest"/>
  </r>
  <r>
    <s v="P26202922"/>
    <s v="2/24/2026 5:56:37 PM"/>
    <x v="2"/>
    <s v="SR020214266307"/>
    <s v="RK202"/>
    <s v="GB200 L11 Compute Node Information Consistent Check fail"/>
    <s v="2/24/2026"/>
    <x v="0"/>
    <s v="L11 Compute Node Information Consistent Check fail"/>
    <s v="GB300 L10"/>
    <x v="12"/>
    <s v="A978250X6210868"/>
    <s v="A978250X6212242"/>
    <s v="Rack"/>
    <s v="TX2-5S"/>
    <n v="90160"/>
    <s v="InTest"/>
  </r>
  <r>
    <s v="P26202928"/>
    <s v="2/24/2026 6:08:39 PM"/>
    <x v="2"/>
    <s v="SR020214263961"/>
    <s v="RK202"/>
    <s v="GB200 L11 Compute Node Information Consistent Check fail"/>
    <s v="2/24/2026"/>
    <x v="0"/>
    <s v="L11 Compute Node Information Consistent Check fail"/>
    <s v="GB300 L10"/>
    <x v="12"/>
    <s v="A978250X6211611"/>
    <s v="A978250X6211834"/>
    <s v="Rack"/>
    <s v="TX2-5S"/>
    <n v="90160"/>
    <s v="InTest"/>
  </r>
  <r>
    <s v="P26202958"/>
    <s v="2/24/2026 8:16:33 PM"/>
    <x v="2"/>
    <s v="SR020214263961"/>
    <s v="RK098"/>
    <s v="Use to replace L10 servers that have failed Rburn test from the rack. (更換Rack Rburn test fail的 L10系統)"/>
    <s v="2/24/2026"/>
    <x v="0"/>
    <s v="L11 Use to replace L10 servers that have failed Rburn test from the rack"/>
    <s v="GB300 L10"/>
    <x v="12"/>
    <s v="A978250X6118760"/>
    <s v="A978250X6211833"/>
    <s v="Rack"/>
    <s v="TX2-5S"/>
    <n v="90160"/>
    <s v="InTest"/>
  </r>
  <r>
    <s v="P26202984"/>
    <s v="2/24/2026 9:13:03 PM"/>
    <x v="2"/>
    <s v="SR020214263961"/>
    <s v="RK202"/>
    <s v="GB200 L11 Compute Node Information Consistent Check fail"/>
    <s v="2/24/2026"/>
    <x v="0"/>
    <s v="L11 Compute Node Information Consistent Check fail"/>
    <s v="GB300 L10"/>
    <x v="12"/>
    <s v="A978250X6211833"/>
    <s v="A978250X6213422"/>
    <s v="Rack"/>
    <s v="TX2-5S"/>
    <n v="90160"/>
    <s v="InTest"/>
  </r>
  <r>
    <s v="P26203024"/>
    <s v="2/25/2026 7:07:44 AM"/>
    <x v="2"/>
    <s v="SR020223262980"/>
    <s v="RK022"/>
    <s v="Power Shelf Defective"/>
    <s v="2/25/2026"/>
    <x v="0"/>
    <s v="SR020223262980 PowerSupplyUnit 3、4 status :Disabled,固定位置@TW4520 2/25 協助過帳"/>
    <s v="Delta Power Shelf Left Input"/>
    <x v="4"/>
    <s v="THAS9254700RP"/>
    <s v="THAS92547009H"/>
    <s v="Rack"/>
    <s v="TX2-5S"/>
    <n v="1519"/>
    <s v="InTest"/>
  </r>
  <r>
    <s v="P26203065"/>
    <s v="2/25/2026 10:16:13 AM"/>
    <x v="2"/>
    <s v="SR020223262980"/>
    <s v="PS013"/>
    <s v="Mistakes from Vendors (CM問題)"/>
    <s v="2/25/2026"/>
    <x v="2"/>
    <s v="SR020223262980 Power Supply SN(DGPSR26021P4B)實體與讀取(DGPSR26021B73)不符 更換SRK-01DTPW-5KB1-01@TW4520 2/25協助過帳"/>
    <s v="Delta power shelf right input"/>
    <x v="5"/>
    <s v="DGPSR26021P4B"/>
    <s v="DGPSR2602193G"/>
    <s v="Rack"/>
    <s v="TX2-5S"/>
    <n v="1519"/>
    <s v="InTest"/>
  </r>
  <r>
    <s v="P26203066"/>
    <s v="2/25/2026 10:16:13 AM"/>
    <x v="2"/>
    <s v="SR020223262980"/>
    <s v="PS013"/>
    <s v="Mistakes from Vendors (CM問題)"/>
    <s v="2/25/2026"/>
    <x v="2"/>
    <s v="SR020223262980 Power Supply SN(DGPSR26021P88)實體與讀取(DGPSR26021B73)不符 更換SRK-01DTPW-5KB1-01@TW4520 2/25協助過帳"/>
    <s v="Delta power shelf right input"/>
    <x v="5"/>
    <s v="DGPSR26021P88"/>
    <s v="DGPSR26021935"/>
    <s v="Rack"/>
    <s v="TX2-5S"/>
    <n v="1519"/>
    <s v="InTest"/>
  </r>
  <r>
    <s v="P26203067"/>
    <s v="2/25/2026 10:16:13 AM"/>
    <x v="2"/>
    <s v="SR020223262980"/>
    <s v="PS013"/>
    <s v="Mistakes from Vendors (CM問題)"/>
    <s v="2/25/2026"/>
    <x v="2"/>
    <s v="SR020223262980 Power Supply SN(DGPSR26021P3L)實體與讀取(DGPSR26021B73)不符 更換SRK-01DTPW-5KB1-01@TW4520 2/25協助過帳"/>
    <s v="Delta power shelf right input"/>
    <x v="5"/>
    <s v="DGPSR26021P3L"/>
    <s v="DGPSR26021933"/>
    <s v="Rack"/>
    <s v="TX2-5S"/>
    <n v="1519"/>
    <s v="InTest"/>
  </r>
  <r>
    <s v="P26203206"/>
    <s v="2/25/2026 10:24:01 PM"/>
    <x v="2"/>
    <s v="SR020223265345"/>
    <s v="RK202"/>
    <s v="GB200 L11 Compute Node Information Consistent Check fail"/>
    <s v="2/25/2026"/>
    <x v="0"/>
    <s v="L11 Compute Node Information Consistent Check fail"/>
    <s v="Delta power shelf right input"/>
    <x v="5"/>
    <s v="A978250X6212504"/>
    <s v="A978250X6210299"/>
    <s v="Rack"/>
    <s v="TX2-5S"/>
    <n v="90160"/>
    <s v="InTest"/>
  </r>
  <r>
    <s v="P26203209"/>
    <s v="2/25/2026 10:41:23 PM"/>
    <x v="2"/>
    <s v="SR020223265345"/>
    <s v="RK202"/>
    <s v="GB200 L11 Compute Node Information Consistent Check fail"/>
    <s v="2/25/2026"/>
    <x v="0"/>
    <s v="L11 Compute Node Information Consistent Check fail"/>
    <s v="GB300 L10"/>
    <x v="12"/>
    <s v="A978250X6213448"/>
    <s v="A978250X6213402"/>
    <s v="Rack"/>
    <s v="TX2-5S"/>
    <n v="90160"/>
    <s v="InTest"/>
  </r>
  <r>
    <s v="P26203211"/>
    <s v="2/25/2026 10:49:13 PM"/>
    <x v="2"/>
    <s v="SR020223265345"/>
    <s v="RK202"/>
    <s v="GB200 L11 Compute Node Information Consistent Check fail"/>
    <s v="2/25/2026"/>
    <x v="0"/>
    <s v="L11 Compute Node Information Consistent Check fail"/>
    <s v="Delta power shelf right input"/>
    <x v="5"/>
    <s v="A978250X6210356"/>
    <s v="A978250X6210290"/>
    <s v="Rack"/>
    <s v="TX2-5S"/>
    <n v="90160"/>
    <s v="InTest"/>
  </r>
  <r>
    <s v="P26203214"/>
    <s v="2/25/2026 11:11:13 PM"/>
    <x v="2"/>
    <s v="SR020223263653"/>
    <s v="RK202"/>
    <s v="GB200 L11 Compute Node Information Consistent Check fail"/>
    <s v="2/25/2026"/>
    <x v="0"/>
    <s v="L11 Compute Node Information Consistent Check fail"/>
    <s v="GB300 L10"/>
    <x v="12"/>
    <s v="A978250X6210356"/>
    <s v="A978250X6210290"/>
    <s v="Rack"/>
    <s v="TX2-5S"/>
    <n v="90160"/>
    <s v="InTest"/>
  </r>
  <r>
    <s v="P26203225"/>
    <s v="2/26/2026 10:19:18 PM"/>
    <x v="2"/>
    <s v="SR020223265998"/>
    <s v="RK024"/>
    <s v="Cable cartridge Defect"/>
    <s v="2/26/2026"/>
    <x v="0"/>
    <s v="CC3 SLOT 18 BENT PIN"/>
    <s v="Cable Cartridge"/>
    <x v="3"/>
    <n v="1824725354510"/>
    <s v="CC32025125351653"/>
    <s v="Rack"/>
    <s v="TX2-5S"/>
    <n v="1519"/>
    <s v="InTest"/>
  </r>
  <r>
    <s v="P26203226"/>
    <s v="2/26/2026 11:08:11 PM"/>
    <x v="2"/>
    <s v="SR020214268082"/>
    <s v="RK024"/>
    <s v="Cable cartridge Defect"/>
    <s v="2/26/2026"/>
    <x v="0"/>
    <s v="L11 CC1 Bent pin Slot 16"/>
    <s v="Cable Cartridge"/>
    <x v="3"/>
    <n v="1824825354581"/>
    <n v="2025125351859"/>
    <s v="Rack"/>
    <s v="TX2-5S"/>
    <n v="1519"/>
    <s v="InTest"/>
  </r>
  <r>
    <s v="P26203227"/>
    <s v="2/26/2026 11:08:11 PM"/>
    <x v="2"/>
    <s v="SR020214268082"/>
    <s v="RK023"/>
    <s v="NVLINK Switch Functional Issue"/>
    <s v="2/26/2026"/>
    <x v="0"/>
    <s v="Bent pin"/>
    <s v="NVSwitch"/>
    <x v="2"/>
    <s v="MT2550602FN5"/>
    <s v="MT26066046XB"/>
    <s v="Rack"/>
    <s v="TX2-5S"/>
    <n v="1519"/>
    <s v="InTest"/>
  </r>
  <r>
    <s v="P26203228"/>
    <s v="2/26/2026 10:32:27 PM"/>
    <x v="2"/>
    <s v="SR020206266171"/>
    <s v="RK205"/>
    <s v="GB200 L11 Compute Tray Nvidia Field Diag Test fail"/>
    <s v="2/26/2026"/>
    <x v="0"/>
    <s v="L11 TEST FAIL:link_downed error,(Rack slot 25,slot 17, CBC 2)"/>
    <s v="Cable Cartridge"/>
    <x v="3"/>
    <n v="2024925350485"/>
    <n v="2025125351877"/>
    <s v="Rack"/>
    <s v="TX2-5S"/>
    <n v="1519"/>
    <s v="InTest"/>
  </r>
  <r>
    <s v="P26203229"/>
    <s v="2/26/2026 10:18:14 PM"/>
    <x v="2"/>
    <s v="SR020214263769"/>
    <s v="RK204"/>
    <s v="GB200 L11 Switch Tray Nvidia Field Diag Test fail"/>
    <s v="2/26/2026"/>
    <x v="0"/>
    <s v="L11 TEST FAIL:SW6,CC3,C9,link_none"/>
    <s v="Cable Cartridge"/>
    <x v="3"/>
    <n v="2024925350772"/>
    <n v="2025125351632"/>
    <s v="Rack"/>
    <s v="TX2-5S"/>
    <n v="1519"/>
    <s v="InTest"/>
  </r>
  <r>
    <s v="P26203455"/>
    <s v="2/27/2026 2:30:49 PM"/>
    <x v="2"/>
    <s v="SR020223265998"/>
    <s v="AS006"/>
    <s v="OTHERS 其他(未定義)"/>
    <s v="2/27/2026"/>
    <x v="0"/>
    <s v="SR020223265998 RJ45_U45 P6(353835CM1283) no link"/>
    <s v="GB300 L10"/>
    <x v="12"/>
    <s v="A978250X6213436"/>
    <s v="A978250X6210368"/>
    <s v="Rack"/>
    <s v="TX2-5S"/>
    <n v="1519"/>
    <s v="InTest"/>
  </r>
  <r>
    <s v="P26203552"/>
    <s v="2/27/2026 9:59:04 PM"/>
    <x v="2"/>
    <s v="SR020223264638"/>
    <s v="RK202"/>
    <s v="GB200 L11 Compute Node Information Consistent Check fail"/>
    <s v="2/27/2026"/>
    <x v="0"/>
    <s v="L11 Compute Node Information Consistent Check fail"/>
    <s v="GB300 L10"/>
    <x v="12"/>
    <s v="A978250X6211819"/>
    <s v="A978250X6210388"/>
    <s v="Rack"/>
    <s v="TX2-5S"/>
    <n v="90160"/>
    <s v="InTest"/>
  </r>
  <r>
    <s v="P26203555"/>
    <s v="2/27/2026 10:06:21 PM"/>
    <x v="2"/>
    <s v="SR020223264638"/>
    <s v="RK202"/>
    <s v="GB200 L11 Compute Node Information Consistent Check fail"/>
    <s v="2/27/2026"/>
    <x v="0"/>
    <s v="L11 Compute Node Information Consistent Check fail"/>
    <s v="GB300 L10"/>
    <x v="12"/>
    <s v="A978250X6212251"/>
    <s v="A978250X6211611"/>
    <s v="Rack"/>
    <s v="TX2-5S"/>
    <n v="90160"/>
    <s v="InTest"/>
  </r>
  <r>
    <s v="P26203558"/>
    <s v="2/27/2026 10:16:26 PM"/>
    <x v="2"/>
    <s v="SR020223264638"/>
    <s v="RK202"/>
    <s v="GB200 L11 Compute Node Information Consistent Check fail"/>
    <s v="2/27/2026"/>
    <x v="0"/>
    <s v="L11 Compute Node Information Consistent Check fail"/>
    <s v="GB300 L10"/>
    <x v="12"/>
    <s v="A978250X6210359"/>
    <s v="A978250X6210319"/>
    <s v="Rack"/>
    <s v="TX2-5S"/>
    <n v="90160"/>
    <s v="InTest"/>
  </r>
  <r>
    <s v="P26300009"/>
    <s v="3/3/2026 1:28:02 PM"/>
    <x v="2"/>
    <s v="SR020223269867"/>
    <s v="RK024"/>
    <s v="Cable cartridge Defect"/>
    <s v="3/2/2026"/>
    <x v="0"/>
    <s v="SW2_CC1_C9_link_none@TW4520@3/3協助過帳"/>
    <s v="Cable Cartridge"/>
    <x v="3"/>
    <n v="1823025357593"/>
    <n v="1823225351004"/>
    <s v="Rack"/>
    <s v="TX2-5S"/>
    <n v="1519"/>
    <s v="InTest"/>
  </r>
  <r>
    <s v="P26300010"/>
    <s v="3/3/2026 1:28:02 PM"/>
    <x v="2"/>
    <s v="SR020223269867"/>
    <s v="RK024"/>
    <s v="Cable cartridge Defect"/>
    <s v="3/2/2026"/>
    <x v="0"/>
    <s v="SW7_CC2_C7_link_none@TW4520@3/3協助過帳"/>
    <s v="Cable Cartridge"/>
    <x v="3"/>
    <n v="1823125354422"/>
    <n v="2025125351344"/>
    <s v="Rack"/>
    <s v="TX2-5S"/>
    <n v="1519"/>
    <s v="InTest"/>
  </r>
  <r>
    <s v="P26300116"/>
    <s v="3/2/2026 5:11:04 PM"/>
    <x v="3"/>
    <s v="SR020223268841"/>
    <s v="RK201"/>
    <s v="GB200 L11 NVLink Switch Information Consistent Check fail"/>
    <s v="3/2/2026"/>
    <x v="0"/>
    <s v="L11 NVLink Switch Information Consistent Check fail (UPDATE TIMEOUT)"/>
    <s v="NVSwitch"/>
    <x v="2"/>
    <s v="MT2607603HTZ"/>
    <s v="MT26076019EM"/>
    <s v="Rack"/>
    <s v="TX2-5S"/>
    <n v="90160"/>
    <s v="InTest"/>
  </r>
  <r>
    <s v="P26300203"/>
    <s v="3/3/2026 3:54:53 AM"/>
    <x v="2"/>
    <s v="SR020223263155"/>
    <s v="RK212"/>
    <s v="GB200 L11 GPU Missing"/>
    <s v="3/3/2026"/>
    <x v="0"/>
    <s v="L11 GPU Missing"/>
    <s v="GB300 L10"/>
    <x v="12"/>
    <s v="A978250X6202566"/>
    <s v="A978250X6202082"/>
    <s v="Rack"/>
    <s v="TX2-5S"/>
    <n v="90185"/>
    <s v="InTest"/>
  </r>
  <r>
    <s v="P26300225"/>
    <s v="3/3/2026 8:50:59 PM"/>
    <x v="2"/>
    <s v="SR020223263515"/>
    <s v="RK024"/>
    <s v="Cable cartridge Defect"/>
    <s v="3/3/2026"/>
    <x v="0"/>
    <s v="SW3_CC2_C1, link_none,SW7_CC2_C1, link_none"/>
    <s v="Cable Cartridge"/>
    <x v="3"/>
    <n v="2025125351568"/>
    <n v="1823525354024"/>
    <s v="Rack"/>
    <s v="TX2-5S"/>
    <n v="2984"/>
    <s v="InTest"/>
  </r>
  <r>
    <s v="P26300411"/>
    <s v="3/3/2026 10:06:24 PM"/>
    <x v="2"/>
    <s v="SR020223263667"/>
    <s v="RK202"/>
    <s v="GB200 L11 Compute Node Information Consistent Check fail"/>
    <s v="3/3/2026"/>
    <x v="0"/>
    <s v="L11 Compute Node Information Consistent Check fail"/>
    <s v="GB300 L10"/>
    <x v="12"/>
    <s v="A978250X6210980"/>
    <s v="A978250X6210993"/>
    <s v="Rack"/>
    <s v="TX2-5S"/>
    <n v="90160"/>
    <s v="InTest"/>
  </r>
  <r>
    <s v="P26300416"/>
    <s v="3/3/2026 10:19:44 PM"/>
    <x v="2"/>
    <s v="SR020223263667"/>
    <s v="RK024"/>
    <s v="Cable cartridge Defect"/>
    <s v="3/3/2026"/>
    <x v="0"/>
    <s v="L11 Cable Cartridge fail BENT PIN SLOT 14 Rack0_SW5_acp38 CC1_C9_Lane_10 link_none Rack0_SW5_acp142 CC1_C17_Lane_11 link_none"/>
    <s v="Cable Cartridge"/>
    <x v="3"/>
    <n v="2025125351579"/>
    <n v="2025125351863"/>
    <s v="Rack"/>
    <s v="TX2-5S"/>
    <n v="90160"/>
    <s v="InTest"/>
  </r>
  <r>
    <s v="P26300615"/>
    <s v="3/4/2026 10:11:53 PM"/>
    <x v="2"/>
    <s v="SR020223263667"/>
    <s v="RK202"/>
    <s v="GB200 L11 Compute Node Information Consistent Check fail"/>
    <s v="3/4/2026"/>
    <x v="0"/>
    <s v="L11 Compute Node Information Consistent Check fail"/>
    <s v="GB300 L10"/>
    <x v="12"/>
    <s v="A978250X6212251"/>
    <s v="A978250X6212488"/>
    <s v="Rack"/>
    <s v="TX2-5S"/>
    <n v="90160"/>
    <s v="InTest"/>
  </r>
  <r>
    <s v="P26300618"/>
    <s v="3/4/2026 10:53:09 PM"/>
    <x v="2"/>
    <s v="SR020223263667"/>
    <s v="RK202"/>
    <s v="GB200 L11 Compute Node Information Consistent Check fail"/>
    <s v="3/4/2026"/>
    <x v="0"/>
    <s v="L11 Compute Node Information Consistent Check fail"/>
    <s v="GB300 L10"/>
    <x v="12"/>
    <s v="A978250X6212488"/>
    <s v="A978250X6212207"/>
    <s v="Rack"/>
    <s v="TX2-5S"/>
    <n v="90160"/>
    <s v="InTest"/>
  </r>
  <r>
    <s v="P26300622"/>
    <s v="3/4/2026 11:21:02 PM"/>
    <x v="2"/>
    <s v="SR020223263155"/>
    <s v="RK202"/>
    <s v="GB200 L11 Compute Node Information Consistent Check fail"/>
    <s v="3/4/2026"/>
    <x v="0"/>
    <s v="L11 Compute Node Information Consistent Check fail"/>
    <s v="GB300 L10"/>
    <x v="12"/>
    <s v="A978250X6202566"/>
    <s v="A978250X6204331"/>
    <s v="Rack"/>
    <s v="TX2-5S"/>
    <n v="90160"/>
    <s v="InTest"/>
  </r>
  <r>
    <s v="P26300649"/>
    <s v="3/5/2026 1:27:02 AM"/>
    <x v="2"/>
    <s v="SR020223263667"/>
    <s v="RK202"/>
    <s v="GB200 L11 Compute Node Information Consistent Check fail"/>
    <s v="3/5/2026"/>
    <x v="0"/>
    <s v="L11 Compute Node Information Consistent Check fail"/>
    <s v="GB300 L10"/>
    <x v="12"/>
    <s v="A978250X6210877"/>
    <s v="A978250X6210349"/>
    <s v="Rack"/>
    <s v="TX2-5S"/>
    <n v="90160"/>
    <s v="InTest"/>
  </r>
  <r>
    <s v="P26300744"/>
    <s v="3/5/2026 12:41:02 PM"/>
    <x v="3"/>
    <s v="SR020302266577"/>
    <s v="RK023"/>
    <s v="NVLINK Switch Functional Issue"/>
    <s v="3/5/2026"/>
    <x v="0"/>
    <s v="SR020302266577 1號燈號不亮@TW4520@3/5協助過帳"/>
    <s v="NVSwitch"/>
    <x v="2"/>
    <s v="MT26076016J0"/>
    <s v="MT26076019EK"/>
    <s v="Rack"/>
    <s v="TX2-5S"/>
    <n v="2984"/>
    <s v="InTest"/>
  </r>
  <r>
    <s v="P26300873"/>
    <s v="3/5/2026 11:08:09 PM"/>
    <x v="2"/>
    <s v="SR020223263667"/>
    <s v="RK202"/>
    <s v="GB200 L11 Compute Node Information Consistent Check fail"/>
    <s v="3/5/2026"/>
    <x v="0"/>
    <s v="L11 Compute Node Information Consistent Check fail"/>
    <s v="GB300 L10"/>
    <x v="12"/>
    <s v="A978250X6120429"/>
    <s v="A978250X6210359"/>
    <s v="Rack"/>
    <s v="TX2-5S"/>
    <n v="90160"/>
    <s v="InTest"/>
  </r>
  <r>
    <s v="P26300923"/>
    <s v="3/6/2026 1:05:33 AM"/>
    <x v="4"/>
    <s v="SR020227269788"/>
    <s v="RK022"/>
    <s v="Power Shelf Defective"/>
    <s v="3/6/2026"/>
    <x v="0"/>
    <s v="L11 Power Shelf Defective (Cannot Power On)"/>
    <s v="Power Shelf Control Module"/>
    <x v="0"/>
    <s v="T726024697"/>
    <s v="T726023502"/>
    <s v="Rack"/>
    <s v="TX2-5S"/>
    <n v="90160"/>
    <s v="InTest"/>
  </r>
  <r>
    <s v="P26300924"/>
    <s v="3/6/2026 1:10:09 AM"/>
    <x v="2"/>
    <s v="SR020223263552"/>
    <s v="RK024"/>
    <s v="Cable cartridge Defect"/>
    <s v="3/6/2026"/>
    <x v="0"/>
    <s v="L11 Cable Cartridge fail (BENT PIN SLOT 13)"/>
    <s v="Cable Cartridge"/>
    <x v="3"/>
    <n v="2025125351582"/>
    <n v="2025125351872"/>
    <s v="Rack"/>
    <s v="TX2-5S"/>
    <n v="90160"/>
    <s v="InTest"/>
  </r>
  <r>
    <s v="P26300936"/>
    <s v="3/6/2026 5:31:18 AM"/>
    <x v="3"/>
    <s v="SR020302267153"/>
    <s v="RK217"/>
    <s v="GB200 L11 Leakage sensor issue"/>
    <s v="3/6/2026"/>
    <x v="0"/>
    <s v="L11 Leakage sensor issue"/>
    <s v="GB300 L10"/>
    <x v="14"/>
    <s v="A979646X6215114"/>
    <s v="A979646X6302975"/>
    <s v="Rack"/>
    <s v="TX2-5S"/>
    <n v="90160"/>
    <s v="InTest"/>
  </r>
  <r>
    <s v="P26301057"/>
    <s v="3/8/2026 11:54:16 PM"/>
    <x v="4"/>
    <s v="SR020227268814"/>
    <s v="RK202"/>
    <s v="GB200 L11 Compute Node Information Consistent Check fail"/>
    <s v="3/6/2026"/>
    <x v="0"/>
    <s v="L11 Compute Node Information Consistent Check fail"/>
    <s v="GB300 L10"/>
    <x v="12"/>
    <s v="A978250X6202566"/>
    <s v="A978250X6210877"/>
    <s v="Rack"/>
    <s v="TX2-5S"/>
    <n v="90160"/>
    <s v="InTest"/>
  </r>
  <r>
    <s v="P26301102"/>
    <s v="3/7/2026 12:33:00 AM"/>
    <x v="3"/>
    <s v="SR020302267380"/>
    <s v="RK024"/>
    <s v="Cable cartridge Defect"/>
    <s v="3/7/2026"/>
    <x v="0"/>
    <s v="L11 Cable Cartridge fail (BENT PIN SLOT 10) Rack0_SW1_acp54 CC1_C13_Lane_2 / SR020302267380"/>
    <s v="Cable Cartridge"/>
    <x v="3"/>
    <n v="2025125351658"/>
    <n v="2025125351714"/>
    <s v="Rack"/>
    <s v="TX2-5S"/>
    <n v="90160"/>
    <s v="InTest"/>
  </r>
  <r>
    <s v="P26301103"/>
    <s v="3/7/2026 12:36:24 AM"/>
    <x v="3"/>
    <s v="SR020302265451"/>
    <s v="RK002"/>
    <s v="DOA - Switch no function/power (Switch無作用/無電源)"/>
    <s v="3/7/2026"/>
    <x v="0"/>
    <s v="unable to power on"/>
    <s v="GB300 L10"/>
    <x v="14"/>
    <s v="A979646X6216591"/>
    <s v="A979646X6217539"/>
    <s v="Rack"/>
    <s v="TX2-5S"/>
    <n v="90131"/>
    <s v="InTest"/>
  </r>
  <r>
    <s v="P26301115"/>
    <s v="3/7/2026 1:13:01 AM"/>
    <x v="3"/>
    <s v="SR020302266378"/>
    <s v="RK202"/>
    <s v="GB200 L11 Compute Node Information Consistent Check fail"/>
    <s v="3/7/2026"/>
    <x v="0"/>
    <s v="10.10.42.198 only 0 Fabric state shows OK, expected 4"/>
    <s v="GB300 L10"/>
    <x v="14"/>
    <s v="A979646X6301787"/>
    <s v="A979646X6216976"/>
    <s v="Rack"/>
    <s v="TX2-5S"/>
    <n v="90131"/>
    <s v="InTest"/>
  </r>
  <r>
    <s v="P26301127"/>
    <s v="3/7/2026 1:21:21 AM"/>
    <x v="2"/>
    <s v="SR020223267066"/>
    <s v="RK202"/>
    <s v="GB200 L11 Compute Node Information Consistent Check fail"/>
    <s v="3/7/2026"/>
    <x v="0"/>
    <s v="L11 Compute Node Information Consistent Check fail"/>
    <s v="GB300 L10"/>
    <x v="12"/>
    <s v="A978250X6120820"/>
    <s v="A978250X6301862"/>
    <s v="Rack"/>
    <s v="TX2-5S"/>
    <n v="90160"/>
    <s v="InTest"/>
  </r>
  <r>
    <s v="P26301140"/>
    <s v="3/7/2026 6:25:29 AM"/>
    <x v="3"/>
    <s v="SR020302264202"/>
    <s v="RK204"/>
    <s v="GB200 L11 Switch Tray Nvidia Field Diag Test fail"/>
    <s v="3/7/2026"/>
    <x v="0"/>
    <s v="L11 Switch Tray Nvidia Field Diag Test fail"/>
    <s v="GB300 L10"/>
    <x v="14"/>
    <s v="A979646X6216631"/>
    <s v="A979646X6217554"/>
    <s v="Rack"/>
    <s v="TX2-5S"/>
    <n v="924"/>
    <s v="InTest"/>
  </r>
  <r>
    <s v="P26301160"/>
    <s v="3/7/2026 9:31:53 AM"/>
    <x v="3"/>
    <s v="SR020302266378"/>
    <s v="RK098"/>
    <s v="Use to replace L10 servers that have failed Rburn test from the rack. (更換Rack Rburn test fail的 L10系統)"/>
    <s v="3/7/2026"/>
    <x v="0"/>
    <s v="Use to replace L10 servers that have failed Rburn test from the rack. (更換Rack Rburn test fail的 L10系統)"/>
    <s v="GB300 L10"/>
    <x v="14"/>
    <s v="A979646X6216976"/>
    <s v="A979646X6300310"/>
    <s v="Rack"/>
    <s v="TX2-5S"/>
    <n v="640"/>
    <s v="InTest"/>
  </r>
  <r>
    <s v="P26301218"/>
    <s v="3/7/2026 8:56:23 PM"/>
    <x v="3"/>
    <s v="SR020302263241"/>
    <s v="RK024"/>
    <s v="Cable cartridge Defect"/>
    <s v="3/7/2026"/>
    <x v="0"/>
    <s v="BENT PIN COMP TRAY #16 SLOT 25 CC0"/>
    <s v="Cable Cartridge"/>
    <x v="3"/>
    <n v="1820626356948"/>
    <n v="1820626356459"/>
    <s v="Rack"/>
    <s v="TX2-5S"/>
    <n v="90131"/>
    <s v="InTest"/>
  </r>
  <r>
    <s v="P26301219"/>
    <s v="3/7/2026 9:00:55 PM"/>
    <x v="3"/>
    <s v="SR020302263241"/>
    <s v="RK024"/>
    <s v="Cable cartridge Defect"/>
    <s v="3/7/2026"/>
    <x v="0"/>
    <s v="BENT PIN COMP TRAY #17 SLOT 26 CC1"/>
    <s v="Cable Cartridge"/>
    <x v="3"/>
    <n v="1820626356512"/>
    <n v="1820626357042"/>
    <s v="Rack"/>
    <s v="TX2-5S"/>
    <n v="90131"/>
    <s v="InTest"/>
  </r>
  <r>
    <s v="P26301223"/>
    <s v="3/7/2026 9:21:00 PM"/>
    <x v="3"/>
    <s v="SR020306262819"/>
    <s v="RK131"/>
    <s v="GB200 GPU Missing"/>
    <s v="3/7/2026"/>
    <x v="0"/>
    <s v="NVIDIA SMI tool only detected 3 GPU and it does not match the requesed 4"/>
    <s v="GB300 L10"/>
    <x v="14"/>
    <s v="A979646X6303120"/>
    <s v="A979646X6301557"/>
    <s v="Rack"/>
    <s v="TX2-5S"/>
    <n v="90131"/>
    <s v="InTest"/>
  </r>
  <r>
    <s v="P26301287"/>
    <s v="3/8/2026 4:12:34 PM"/>
    <x v="3"/>
    <s v="SR020306261762"/>
    <s v="RK202"/>
    <s v="GB200 L11 Compute Node Information Consistent Check fail"/>
    <s v="3/8/2026"/>
    <x v="0"/>
    <s v="Error while invoking api /redfish/v1/Chassis/CBC_3. Error message =&gt; The requested resource of type Chassis named 'CBC_3' was not found."/>
    <s v="GB300 L10"/>
    <x v="14"/>
    <s v="A979646X6217481"/>
    <s v="A979646X6216509"/>
    <s v="Rack"/>
    <s v="TX2-5S"/>
    <n v="90131"/>
    <s v="InTest"/>
  </r>
  <r>
    <s v="P26301289"/>
    <s v="3/8/2026 6:29:14 PM"/>
    <x v="3"/>
    <s v="SR020306263095"/>
    <s v="RK214"/>
    <s v="GB200 L11 Unable to power on"/>
    <s v="3/8/2026"/>
    <x v="0"/>
    <s v="GB200 L11 Unable to power on"/>
    <s v="GB300 L10"/>
    <x v="14"/>
    <s v="A979646X6217327"/>
    <s v="A979646X6215578"/>
    <s v="Rack"/>
    <s v="TX2-5S"/>
    <n v="90185"/>
    <s v="InTest"/>
  </r>
  <r>
    <s v="P26301291"/>
    <s v="3/8/2026 6:40:29 PM"/>
    <x v="3"/>
    <s v="SR020306263192"/>
    <s v="RK214"/>
    <s v="GB200 L11 Unable to power on"/>
    <s v="3/8/2026"/>
    <x v="0"/>
    <s v="GB200 L11 Unable to power on"/>
    <s v="GB300 L10"/>
    <x v="14"/>
    <s v="A979646X6216637"/>
    <s v="A979646X6215578"/>
    <s v="Rack"/>
    <s v="TX2-5S"/>
    <n v="90185"/>
    <s v="InTest"/>
  </r>
  <r>
    <s v="P26301293"/>
    <s v="3/8/2026 7:37:11 PM"/>
    <x v="3"/>
    <s v="SR020306263581"/>
    <s v="RK202"/>
    <s v="GB200 L11 Compute Node Information Consistent Check fail"/>
    <s v="3/8/2026"/>
    <x v="0"/>
    <s v="GB200 L11 Compute Node Information Consistent Check fail"/>
    <s v="GB300 L10"/>
    <x v="14"/>
    <s v="A979646X6215018"/>
    <s v="A979646X6301048"/>
    <s v="Rack"/>
    <s v="TX2-5S"/>
    <n v="90185"/>
    <s v="InTest"/>
  </r>
  <r>
    <s v="P26301295"/>
    <s v="3/8/2026 9:14:04 PM"/>
    <x v="3"/>
    <s v="SR020224266767"/>
    <s v="RK202"/>
    <s v="GB200 L11 Compute Node Information Consistent Check fail"/>
    <s v="3/8/2026"/>
    <x v="0"/>
    <s v="GB200 L11 Compute Node Information Consistent Check fail"/>
    <s v="GB300 L10"/>
    <x v="14"/>
    <s v="A979646X6301571"/>
    <s v="A979646X6302522"/>
    <s v="Rack"/>
    <s v="TX2-5S"/>
    <n v="3908"/>
    <s v="InTest"/>
  </r>
  <r>
    <s v="P26301297"/>
    <s v="3/8/2026 10:04:58 PM"/>
    <x v="3"/>
    <s v="SR020306262819"/>
    <s v="RK202"/>
    <s v="GB200 L11 Compute Node Information Consistent Check fail"/>
    <s v="3/8/2026"/>
    <x v="0"/>
    <s v="10.10.63.155 only 0 Fabric state shows OK, expected 4"/>
    <s v="GB300 L10"/>
    <x v="14"/>
    <s v="A979646X6301557"/>
    <s v="A979646X6215573"/>
    <s v="Rack"/>
    <s v="TX2-5S"/>
    <n v="1519"/>
    <s v="InTest"/>
  </r>
  <r>
    <s v="P26301298"/>
    <s v="3/8/2026 10:08:09 PM"/>
    <x v="3"/>
    <s v="SR020306261954"/>
    <s v="RK132"/>
    <s v="GB200 Dmesg NVRM issue"/>
    <s v="3/8/2026"/>
    <x v="0"/>
    <s v="NVRM invalid state or config @(Rack slot 18, CBC 2, 4x19 connector 2)"/>
    <s v="GB300 L10"/>
    <x v="14"/>
    <s v="A979646X6303008"/>
    <s v="A979646X6215572"/>
    <s v="Rack"/>
    <s v="TX2-5S"/>
    <n v="1519"/>
    <s v="InTest"/>
  </r>
  <r>
    <s v="P26301299"/>
    <s v="3/8/2026 10:11:42 PM"/>
    <x v="3"/>
    <s v="SR020306264272"/>
    <s v="RK120"/>
    <s v="GB200 IPMI no response/ no IP detected"/>
    <s v="3/8/2026"/>
    <x v="0"/>
    <s v="no IP detected"/>
    <s v="GB300 L10"/>
    <x v="14"/>
    <s v="A979646X6215593"/>
    <s v="A979646X6301557"/>
    <s v="Rack"/>
    <s v="TX2-5S"/>
    <n v="1519"/>
    <s v="InTest"/>
  </r>
  <r>
    <s v="P26301301"/>
    <s v="3/8/2026 10:21:08 PM"/>
    <x v="2"/>
    <s v="SR020223263900"/>
    <s v="RK202"/>
    <s v="GB200 L11 Compute Node Information Consistent Check fail"/>
    <s v="3/8/2026"/>
    <x v="0"/>
    <s v="GB200 L11 Compute Node Information Consistent Check fail"/>
    <s v="GB300 L10"/>
    <x v="12"/>
    <s v="A978250X6119446"/>
    <s v="A978250X6200307"/>
    <s v="Rack"/>
    <s v="TX2-5S"/>
    <n v="3908"/>
    <s v="InTest"/>
  </r>
  <r>
    <s v="P26301302"/>
    <s v="3/8/2026 10:27:50 PM"/>
    <x v="3"/>
    <s v="SR020306264272"/>
    <s v="RK120"/>
    <s v="GB200 IPMI no response/ no IP detected"/>
    <s v="3/8/2026"/>
    <x v="0"/>
    <s v="GB200 IPMI no response/ no IP detected"/>
    <s v="GB300 L10"/>
    <x v="14"/>
    <s v="A979646X6301563"/>
    <s v="A979646X6215593"/>
    <s v="Rack"/>
    <s v="TX2-5S"/>
    <n v="1519"/>
    <s v="InTest"/>
  </r>
  <r>
    <s v="P26301305"/>
    <s v="3/8/2026 10:39:11 PM"/>
    <x v="3"/>
    <s v="SR020306261954"/>
    <s v="RK132"/>
    <s v="GB200 Dmesg NVRM issue"/>
    <s v="3/8/2026"/>
    <x v="0"/>
    <s v="GB200 Dmesg NVRM issue"/>
    <s v="GB300 L10"/>
    <x v="14"/>
    <s v="A979646X6303008"/>
    <s v="A979646X6215572"/>
    <s v="Rack"/>
    <s v="TX2-5S"/>
    <n v="1519"/>
    <s v="InTest"/>
  </r>
  <r>
    <s v="P26301307"/>
    <s v="3/8/2026 11:34:32 PM"/>
    <x v="2"/>
    <s v="SR020223263900"/>
    <s v="RK202"/>
    <s v="GB200 L11 Compute Node Information Consistent Check fail"/>
    <s v="3/8/2026"/>
    <x v="0"/>
    <s v="L11 Compute Node Information Consistent Check fail"/>
    <s v="GB300 L10"/>
    <x v="14"/>
    <s v="A978250X6120820"/>
    <s v="A978250X6301883"/>
    <s v="Rack"/>
    <s v="TX2-5S"/>
    <n v="3908"/>
    <s v="InTest"/>
  </r>
  <r>
    <s v="P26301310"/>
    <s v="3/9/2026 12:02:31 AM"/>
    <x v="2"/>
    <s v="SR020223263900"/>
    <s v="RK213"/>
    <s v="GB200 L11 No BMC IP"/>
    <s v="3/9/2026"/>
    <x v="0"/>
    <s v="L11 No BMC IP"/>
    <s v="GB300 L10"/>
    <x v="12"/>
    <s v="A978250X6119443"/>
    <s v="A978250X6204082"/>
    <s v="Rack"/>
    <s v="TX2-5S"/>
    <n v="90185"/>
    <s v="InTest"/>
  </r>
  <r>
    <s v="P26301312"/>
    <s v="3/9/2026 12:21:11 AM"/>
    <x v="2"/>
    <s v="SR020223263900"/>
    <s v="RK024"/>
    <s v="Cable cartridge Defect"/>
    <s v="3/9/2026"/>
    <x v="0"/>
    <s v="L11 Cable cartridge Defect"/>
    <s v="GB300 L10"/>
    <x v="12"/>
    <s v="A978250X6301876"/>
    <s v="A978250X6119446"/>
    <s v="Rack"/>
    <s v="TX2-5S"/>
    <n v="90185"/>
    <s v="InTest"/>
  </r>
  <r>
    <s v="P26301314"/>
    <s v="3/9/2026 3:35:19 AM"/>
    <x v="4"/>
    <s v="SR020227268814"/>
    <s v="RK213"/>
    <s v="GB200 L11 No BMC IP"/>
    <s v="3/9/2026"/>
    <x v="0"/>
    <s v="RK213 GB200 L11 No BMC IP"/>
    <s v="GB300 L10"/>
    <x v="12"/>
    <s v="A978250X6213398"/>
    <s v="A978250X6119468"/>
    <s v="Rack"/>
    <s v="TX2-5S"/>
    <n v="90185"/>
    <s v="InTest"/>
  </r>
  <r>
    <s v="P26301316"/>
    <s v="3/9/2026 3:48:41 AM"/>
    <x v="2"/>
    <s v="SR020223263900"/>
    <s v="RK111"/>
    <s v="GB200 Ethernet/infiniband SelfTest fail"/>
    <s v="3/9/2026"/>
    <x v="0"/>
    <s v="L11 Ethernet/infiniband SelfTest fail"/>
    <s v="GB300 L10"/>
    <x v="12"/>
    <s v="A978250X6117558"/>
    <s v="A978250X6211648"/>
    <s v="Rack"/>
    <s v="TX2-5S"/>
    <n v="90185"/>
    <s v="InTest"/>
  </r>
  <r>
    <s v="P26301318"/>
    <s v="3/9/2026 3:54:32 AM"/>
    <x v="2"/>
    <s v="SR020223263900"/>
    <s v="RK213"/>
    <s v="GB200 L11 No BMC IP"/>
    <s v="3/9/2026"/>
    <x v="0"/>
    <s v="L11 No BMC IP"/>
    <s v="GB300 L10"/>
    <x v="12"/>
    <s v="A978250X6212488"/>
    <s v="A978250X6120820"/>
    <s v="Rack"/>
    <s v="TX2-5S"/>
    <n v="90185"/>
    <s v="InTest"/>
  </r>
  <r>
    <s v="P26301354"/>
    <s v="3/9/2026 7:16:18 AM"/>
    <x v="2"/>
    <s v="SR020223263900"/>
    <s v="RK121"/>
    <s v="GB200 Dmesg report error"/>
    <s v="3/9/2026"/>
    <x v="0"/>
    <s v="L11 Dmesg report error"/>
    <s v="GB300 L10"/>
    <x v="12"/>
    <s v="A978250X6119605"/>
    <s v="A978250X6200313"/>
    <s v="Rack"/>
    <s v="TX2-5S"/>
    <n v="90185"/>
    <s v="InTest"/>
  </r>
  <r>
    <s v="P26301468"/>
    <s v="3/9/2026 9:21:50 PM"/>
    <x v="3"/>
    <s v="SR020306264272"/>
    <s v="RK024"/>
    <s v="Cable cartridge Defect"/>
    <s v="3/9/2026"/>
    <x v="0"/>
    <s v="Bent Pin NVL switch Tray Slot 11"/>
    <s v="Cable Cartridge"/>
    <x v="3"/>
    <n v="1820626355913"/>
    <n v="1820626356406"/>
    <s v="Rack"/>
    <s v="TX2-5S"/>
    <n v="90131"/>
    <s v="InTest"/>
  </r>
  <r>
    <s v="P26301493"/>
    <s v="3/9/2026 11:38:18 PM"/>
    <x v="3"/>
    <s v="SR020224267540"/>
    <s v="RK202"/>
    <s v="GB200 L11 Compute Node Information Consistent Check fail"/>
    <s v="3/9/2026"/>
    <x v="0"/>
    <s v="L11 Compute Node Information Consistent Check fail"/>
    <s v="GB300 L10"/>
    <x v="14"/>
    <s v="A979646X6301854"/>
    <s v="A979646X6301810"/>
    <s v="Rack"/>
    <s v="TX2-5S"/>
    <n v="90160"/>
    <s v="InTest"/>
  </r>
  <r>
    <s v="P26301522"/>
    <s v="3/10/2026 4:38:24 AM"/>
    <x v="3"/>
    <s v="SR020306263835"/>
    <s v="RK111"/>
    <s v="GB200 Ethernet/infiniband SelfTest fail"/>
    <s v="3/10/2026"/>
    <x v="0"/>
    <s v="L11 Ethernet/infiniband SelfTest fail"/>
    <s v="GB300 L10"/>
    <x v="14"/>
    <s v="A979646X6216564"/>
    <s v="A979646X6302284"/>
    <s v="Rack"/>
    <s v="TX2-5S"/>
    <n v="924"/>
    <s v="InTest"/>
  </r>
  <r>
    <s v="P26301524"/>
    <s v="3/10/2026 4:53:54 AM"/>
    <x v="3"/>
    <s v="SR020224267400"/>
    <s v="RK007"/>
    <s v="Rack chassis defect (Rack櫃不良)"/>
    <s v="3/10/2026"/>
    <x v="0"/>
    <s v="L11 Rack chassis defect (Rack櫃不良)"/>
    <s v="GB300 L10"/>
    <x v="14"/>
    <s v="A979646X6217069"/>
    <s v="A979646X6300583"/>
    <s v="Rack"/>
    <s v="TX2-5S"/>
    <n v="924"/>
    <s v="InTest"/>
  </r>
  <r>
    <s v="P26301590"/>
    <s v="3/10/2026 9:50:25 AM"/>
    <x v="3"/>
    <s v="SR020306264439"/>
    <s v="RK218"/>
    <s v="GB200 L11 Sensor missing"/>
    <s v="3/10/2026"/>
    <x v="0"/>
    <s v="Sensor only 0 Fabric state shows OK"/>
    <s v="GB300 L10"/>
    <x v="14"/>
    <s v="A979646X6303176"/>
    <s v="A979646X6217397"/>
    <s v="Rack"/>
    <s v="TX2-5S"/>
    <n v="718"/>
    <s v="InTest"/>
  </r>
  <r>
    <s v="P26301597"/>
    <s v="3/10/2026 12:30:55 PM"/>
    <x v="3"/>
    <s v="SR020306262819"/>
    <s v="RK218"/>
    <s v="GB200 L11 Sensor missing"/>
    <s v="3/10/2026"/>
    <x v="0"/>
    <s v="Sensor only 0 Fabric state shows OK"/>
    <s v="GB300 L10"/>
    <x v="14"/>
    <s v="A979646X6214959"/>
    <s v="A979646X6303163"/>
    <s v="Rack"/>
    <s v="TX2-5S"/>
    <n v="718"/>
    <s v="InTest"/>
  </r>
  <r>
    <s v="P26301622"/>
    <s v="3/10/2026 3:11:12 PM"/>
    <x v="3"/>
    <s v="SR020302265624"/>
    <s v="RK024"/>
    <s v="Cable cartridge Defect"/>
    <s v="3/10/2026"/>
    <x v="0"/>
    <s v="SR020302265624 Failed to executed command sudo python import base64 cable cartridge3 eeprom@TW4520@協助過帳"/>
    <s v="NVSwitch"/>
    <x v="2"/>
    <s v="MT26076016BA"/>
    <s v="MT2607600WGA"/>
    <s v="Rack"/>
    <s v="TX2-5S"/>
    <n v="2984"/>
    <s v="InTest"/>
  </r>
  <r>
    <s v="P26301659"/>
    <s v="3/10/2026 8:05:25 PM"/>
    <x v="3"/>
    <s v="SR020306267553"/>
    <s v="RK105"/>
    <s v="GB200 Leakage sensor issue"/>
    <s v="3/10/2026"/>
    <x v="0"/>
    <s v="The leak sensor Ch0LeaDet0ColPla reading 0V shows a shorted sensor (short pins at connector)"/>
    <s v="GB300 L10"/>
    <x v="14"/>
    <s v="A979646X6301092"/>
    <s v="A979646X6303694"/>
    <s v="Rack"/>
    <s v="TX2-5S"/>
    <n v="90131"/>
    <s v="InTest"/>
  </r>
  <r>
    <s v="P26301664"/>
    <s v="3/10/2026 8:33:02 PM"/>
    <x v="3"/>
    <s v="SR020306268919"/>
    <s v="RK022"/>
    <s v="Power Shelf Defective"/>
    <s v="3/10/2026"/>
    <x v="0"/>
    <s v="DEFECTIVE POWER SHELF CHASSIS UNABLE TO POWER PMC"/>
    <s v="power shelf left input"/>
    <x v="11"/>
    <s v="613337RBX04X15452CS"/>
    <s v="613337RBX04X154226U"/>
    <s v="Rack"/>
    <s v="TX2-5S"/>
    <n v="90185"/>
    <s v="InTest"/>
  </r>
  <r>
    <s v="P26301665"/>
    <s v="3/10/2026 8:45:26 PM"/>
    <x v="3"/>
    <s v="SR020306267214"/>
    <s v="RK202"/>
    <s v="GB200 L11 Compute Node Information Consistent Check fail"/>
    <s v="3/10/2026"/>
    <x v="0"/>
    <s v="GB200 L11 Compute Node Information Consistent Check fail"/>
    <s v="GB300 L10"/>
    <x v="14"/>
    <s v="A979646X6217688"/>
    <s v="A979646X6304703"/>
    <s v="Rack"/>
    <s v="TX2-5S"/>
    <n v="90185"/>
    <s v="InTest"/>
  </r>
  <r>
    <s v="P26301669"/>
    <s v="3/10/2026 9:04:35 PM"/>
    <x v="3"/>
    <s v="SR020306266075"/>
    <s v="RK202"/>
    <s v="GB200 L11 Compute Node Information Consistent Check fail"/>
    <s v="3/10/2026"/>
    <x v="0"/>
    <s v="GB200 L11 Compute Node Information Consistent Check fail"/>
    <s v="GB300 L10"/>
    <x v="14"/>
    <s v="A979646X6215537"/>
    <s v="A979646X6305516"/>
    <s v="Rack"/>
    <s v="TX2-5S"/>
    <n v="90185"/>
    <s v="InTest"/>
  </r>
  <r>
    <s v="P26301672"/>
    <s v="3/10/2026 9:16:21 PM"/>
    <x v="3"/>
    <s v="SR020306266031"/>
    <s v="RK202"/>
    <s v="GB200 L11 Compute Node Information Consistent Check fail"/>
    <s v="3/10/2026"/>
    <x v="0"/>
    <s v="GB200 L11 Compute Node Information Consistent Check fail"/>
    <s v="GB300 L10"/>
    <x v="14"/>
    <s v="A979646X6301828"/>
    <s v="A979646X6303712"/>
    <s v="Rack"/>
    <s v="TX2-5S"/>
    <n v="90185"/>
    <s v="InTest"/>
  </r>
  <r>
    <s v="P26301692"/>
    <s v="3/11/2026 12:18:09 AM"/>
    <x v="3"/>
    <s v="SR020309261294"/>
    <s v="RK022"/>
    <s v="Power Shelf Defective"/>
    <s v="3/11/2026"/>
    <x v="0"/>
    <s v="L11 Power Shelf Defective"/>
    <s v="power shelf left input"/>
    <x v="11"/>
    <s v="613337RBX04X15452CU"/>
    <s v="613337RBX04X154226S"/>
    <s v="Rack"/>
    <s v="TX2-5S"/>
    <n v="90185"/>
    <s v="InTest"/>
  </r>
  <r>
    <s v="P26301694"/>
    <s v="3/11/2026 12:50:21 AM"/>
    <x v="3"/>
    <s v="SR020309261294"/>
    <s v="RK022"/>
    <s v="Power Shelf Defective"/>
    <s v="3/11/2026"/>
    <x v="0"/>
    <s v="L11 Power Shelf Defective(PMC)"/>
    <s v="Power Shelf Control Module"/>
    <x v="15"/>
    <s v="614MP1RBX03X1550118"/>
    <s v="614MP1RBX03X15401E4"/>
    <s v="Rack"/>
    <s v="TX2-5S"/>
    <n v="90185"/>
    <s v="InTest"/>
  </r>
  <r>
    <s v="P26301713"/>
    <s v="3/11/2026 1:35:52 AM"/>
    <x v="3"/>
    <s v="SR020306267553"/>
    <s v="RK024"/>
    <s v="Cable cartridge Defect"/>
    <s v="3/11/2026"/>
    <x v="0"/>
    <s v="bent pin comp tray rack slot 2"/>
    <s v="Cable Cartridge"/>
    <x v="3"/>
    <n v="1820626356106"/>
    <n v="1820626356999"/>
    <s v="Rack"/>
    <s v="TX2-5S"/>
    <n v="1519"/>
    <s v="InTest"/>
  </r>
  <r>
    <s v="P26301715"/>
    <s v="3/11/2026 1:43:00 AM"/>
    <x v="3"/>
    <s v="SR020306268381"/>
    <s v="RK024"/>
    <s v="Cable cartridge Defect"/>
    <s v="3/11/2026"/>
    <x v="0"/>
    <s v="BENT PIN COMP TRAY #7 SLOT 6 C2"/>
    <s v="Cable Cartridge"/>
    <x v="3"/>
    <n v="1820626356613"/>
    <n v="1820626356415"/>
    <s v="Rack"/>
    <s v="TX2-5S"/>
    <n v="1519"/>
    <s v="InTest"/>
  </r>
  <r>
    <s v="P26301733"/>
    <s v="3/11/2026 5:06:30 AM"/>
    <x v="3"/>
    <s v="SR020306266075"/>
    <s v="RK111"/>
    <s v="GB200 Ethernet/infiniband SelfTest fail"/>
    <s v="3/11/2026"/>
    <x v="0"/>
    <s v="L11 Ethernet/infiniband SelfTest fail"/>
    <s v="GB300 L10"/>
    <x v="14"/>
    <s v="A979646X6215536"/>
    <s v="A979646X6302609"/>
    <s v="Rack"/>
    <s v="TX2-5S"/>
    <n v="924"/>
    <s v="InTest"/>
  </r>
  <r>
    <s v="P26301736"/>
    <s v="3/11/2026 5:22:32 AM"/>
    <x v="3"/>
    <s v="SR020306266795"/>
    <s v="RK205"/>
    <s v="GB200 L11 Compute Tray Nvidia Field Diag Test fail"/>
    <s v="3/11/2026"/>
    <x v="0"/>
    <s v="L11 Compute Tray Nvidia Field Diag Test fail"/>
    <s v="GB300 L10"/>
    <x v="14"/>
    <s v="A979646X6217064"/>
    <s v="A979646X6304939"/>
    <s v="Rack"/>
    <s v="TX2-5S"/>
    <n v="924"/>
    <s v="InTest"/>
  </r>
  <r>
    <s v="P26301794"/>
    <s v="3/11/2026 10:18:18 AM"/>
    <x v="3"/>
    <s v="SR020306265777"/>
    <s v="RK099"/>
    <s v="L10 server parts failed in Rack level, record only. (Rack內的L10系統不良, 記錄用)"/>
    <s v="3/11/2026"/>
    <x v="0"/>
    <s v="L10 server parts failed in Rack level, record only. (Rack內的L10系統不良, 記錄用)"/>
    <s v="GB300 L10"/>
    <x v="14"/>
    <s v="A979646X6303189"/>
    <s v="A979646X6303780"/>
    <s v="Rack"/>
    <s v="TX2-5S"/>
    <n v="640"/>
    <s v="InTest"/>
  </r>
  <r>
    <s v="P26301837"/>
    <s v="3/11/2026 4:23:59 PM"/>
    <x v="3"/>
    <s v="SR020306268934"/>
    <s v="RK022"/>
    <s v="Power Shelf Defective"/>
    <s v="3/11/2026"/>
    <x v="0"/>
    <s v="Power Shelf Defective - Unable to power PMB"/>
    <s v="power shelf left input"/>
    <x v="11"/>
    <s v="613337RBX04X15452CX"/>
    <s v="613337RBX04X154329Y"/>
    <s v="Rack"/>
    <s v="TX2-5S"/>
    <n v="90185"/>
    <s v="InTest"/>
  </r>
  <r>
    <s v="P26301852"/>
    <s v="3/11/2026 6:03:05 PM"/>
    <x v="3"/>
    <s v="SR020306267553"/>
    <s v="RK202"/>
    <s v="GB200 L11 Compute Node Information Consistent Check fail"/>
    <s v="3/11/2026"/>
    <x v="0"/>
    <s v="GB200 L11 Compute Node Information Consistent Check fail"/>
    <s v="GB300 L10"/>
    <x v="14"/>
    <s v="A979646X6300459"/>
    <s v="A979646X6306090"/>
    <s v="Rack"/>
    <s v="TX2-5S"/>
    <n v="90185"/>
    <s v="InTest"/>
  </r>
  <r>
    <s v="P26301853"/>
    <s v="3/11/2026 6:04:47 PM"/>
    <x v="3"/>
    <s v="SR020306267553"/>
    <s v="RK202"/>
    <s v="GB200 L11 Compute Node Information Consistent Check fail"/>
    <s v="3/11/2026"/>
    <x v="0"/>
    <s v="GB200 L11 Compute Node Information Consistent Check fail"/>
    <s v="GB300 L10"/>
    <x v="14"/>
    <s v="A979646X6215528"/>
    <s v="A979646X6306082"/>
    <s v="Rack"/>
    <s v="TX2-5S"/>
    <n v="90185"/>
    <s v="InTest"/>
  </r>
  <r>
    <s v="P26301856"/>
    <s v="3/11/2026 6:29:30 PM"/>
    <x v="3"/>
    <s v="SR020306268934"/>
    <s v="RK024"/>
    <s v="Cable cartridge Defect"/>
    <s v="3/11/2026"/>
    <x v="0"/>
    <s v="Bent pin rack slot #12 switch tray"/>
    <s v="Cable Cartridge"/>
    <x v="3"/>
    <n v="1820626356259"/>
    <n v="1820626356097"/>
    <s v="Rack"/>
    <s v="TX2-5S"/>
    <n v="90185"/>
    <s v="InTest"/>
  </r>
  <r>
    <s v="P26301908"/>
    <s v="3/11/2026 8:57:30 PM"/>
    <x v="3"/>
    <s v="SR020306268397"/>
    <s v="RK024"/>
    <s v="Cable cartridge Defect"/>
    <s v="3/11/2026"/>
    <x v="0"/>
    <s v="http://10.160.100.12 /logs /Tesla /2026 /March /SR020306268397 /11 /R-BURN /A979646X6303745 /905A0834F0FF /gb300_ compute_ nvidia_ L11_ field_ diag_ summary.log"/>
    <s v="Cable Cartridge"/>
    <x v="3"/>
    <n v="1820626356664"/>
    <n v="2025125351511"/>
    <s v="Rack"/>
    <s v="TX2-5S"/>
    <n v="90185"/>
    <s v="InTest"/>
  </r>
  <r>
    <s v="P26301911"/>
    <s v="3/11/2026 9:21:37 PM"/>
    <x v="3"/>
    <s v="SR020309264908"/>
    <s v="RK202"/>
    <s v="GB200 L11 Compute Node Information Consistent Check fail"/>
    <s v="3/11/2026"/>
    <x v="0"/>
    <s v="L11 Compute Node Information Consistent Check fail"/>
    <s v="GB300 L10"/>
    <x v="14"/>
    <s v="A979646X6305518"/>
    <s v="A979646X6304755"/>
    <s v="Rack"/>
    <s v="TX2-5S"/>
    <n v="90160"/>
    <s v="InTest"/>
  </r>
  <r>
    <s v="P26301913"/>
    <s v="3/11/2026 9:28:33 PM"/>
    <x v="3"/>
    <s v="SR020306268919"/>
    <s v="RK202"/>
    <s v="GB200 L11 Compute Node Information Consistent Check fail"/>
    <s v="3/11/2026"/>
    <x v="0"/>
    <s v="L11 Compute Node Information Consistent Check fail"/>
    <s v="GB300 L10"/>
    <x v="14"/>
    <s v="A979646X6305157"/>
    <s v="A979646X6217456"/>
    <s v="Rack"/>
    <s v="TX2-5S"/>
    <n v="90160"/>
    <s v="InTest"/>
  </r>
  <r>
    <s v="P26301914"/>
    <s v="3/11/2026 9:29:27 PM"/>
    <x v="3"/>
    <s v="SR020306268919"/>
    <s v="RK202"/>
    <s v="GB200 L11 Compute Node Information Consistent Check fail"/>
    <s v="3/11/2026"/>
    <x v="0"/>
    <s v="L11 Compute Node Information Consistent Check fail"/>
    <s v="GB300 L10"/>
    <x v="14"/>
    <s v="A979646X6305154"/>
    <s v="A979646X6305534"/>
    <s v="Rack"/>
    <s v="TX2-5S"/>
    <n v="90160"/>
    <s v="InTest"/>
  </r>
  <r>
    <s v="P26301925"/>
    <s v="3/11/2026 9:56:50 PM"/>
    <x v="3"/>
    <s v="SR020306267214"/>
    <s v="RK202"/>
    <s v="GB200 L11 Compute Node Information Consistent Check fail"/>
    <s v="3/11/2026"/>
    <x v="0"/>
    <s v="L11 Compute Node Information Consistent Check fail"/>
    <s v="GB300 L10"/>
    <x v="14"/>
    <s v="A979646X6217686"/>
    <s v="A979646X6304758"/>
    <s v="Rack"/>
    <s v="TX2-5S"/>
    <n v="90160"/>
    <s v="InTest"/>
  </r>
  <r>
    <s v="P26301929"/>
    <s v="3/11/2026 10:40:07 PM"/>
    <x v="3"/>
    <s v="SR020306268934"/>
    <s v="RK202"/>
    <s v="GB200 L11 Compute Node Information Consistent Check fail"/>
    <s v="3/11/2026"/>
    <x v="0"/>
    <s v="GB200 L11 Compute Node Information Consistent Check fail"/>
    <s v="GB300 L10"/>
    <x v="14"/>
    <s v="A979646X6215126"/>
    <s v="A979646X6306083"/>
    <s v="Rack"/>
    <s v="TX2-5S"/>
    <n v="90185"/>
    <s v="InTest"/>
  </r>
  <r>
    <s v="P26301943"/>
    <s v="3/12/2026 12:17:12 AM"/>
    <x v="3"/>
    <s v="SR020309261706"/>
    <s v="RK202"/>
    <s v="GB200 L11 Compute Node Information Consistent Check fail"/>
    <s v="3/12/2026"/>
    <x v="0"/>
    <s v="L11 Compute Node Information Consistent Check fail"/>
    <s v="GB300 L10"/>
    <x v="14"/>
    <s v="A979646X6305512"/>
    <s v="A979646X6303729"/>
    <s v="Rack"/>
    <s v="TX2-5S"/>
    <n v="90160"/>
    <s v="InTest"/>
  </r>
  <r>
    <s v="P26301950"/>
    <s v="3/12/2026 12:28:50 AM"/>
    <x v="3"/>
    <s v="SR020306269945"/>
    <s v="RK202"/>
    <s v="GB200 L11 Compute Node Information Consistent Check fail"/>
    <s v="3/12/2026"/>
    <x v="0"/>
    <s v="L11 Compute Node Information Consistent Check fail"/>
    <s v="GB300 L10"/>
    <x v="14"/>
    <s v="A979646X6302539"/>
    <s v="A979646X6215038"/>
    <s v="Rack"/>
    <s v="TX2-5S"/>
    <n v="90160"/>
    <s v="InTest"/>
  </r>
  <r>
    <s v="P26301953"/>
    <s v="3/12/2026 12:46:15 AM"/>
    <x v="3"/>
    <s v="SR020309262398"/>
    <s v="RK024"/>
    <s v="Cable cartridge Defect"/>
    <s v="3/12/2026"/>
    <x v="0"/>
    <s v="Rack0 _SW2 _acp29, CC0_C7 _Lane_4, link_high _raw_ber http://10.160.100.12 /logs /Tesla /2026 /March /SR020309262398 /11 /R-BURN /A979646X6305622 /905A0835050E /Failure- Records-Full.txt"/>
    <s v="Cable Cartridge"/>
    <x v="3"/>
    <n v="1820726354068"/>
    <n v="2025125351515"/>
    <s v="Rack"/>
    <s v="TX2-5S"/>
    <n v="90185"/>
    <s v="InTest"/>
  </r>
  <r>
    <s v="P26301995"/>
    <s v="3/12/2026 7:33:22 AM"/>
    <x v="3"/>
    <s v="SR020309262183"/>
    <s v="RK201"/>
    <s v="GB200 L11 NVLink Switch Information Consistent Check fail"/>
    <s v="3/12/2026"/>
    <x v="0"/>
    <s v="only 54 NVLink status shows OK"/>
    <s v="GB300 L10"/>
    <x v="14"/>
    <s v="A979646X6305186"/>
    <s v="A979646X6303621"/>
    <s v="Rack"/>
    <s v="TX2-5S"/>
    <n v="718"/>
    <s v="InTest"/>
  </r>
  <r>
    <s v="P26302036"/>
    <s v="3/12/2026 10:52:10 AM"/>
    <x v="3"/>
    <s v="SR020309261700"/>
    <s v="RK099"/>
    <s v="L10 server parts failed in Rack level, record only. (Rack內的L10系統不良, 記錄用)"/>
    <s v="3/12/2026"/>
    <x v="0"/>
    <s v="L10 server parts failed in Rack level, record only. (Rack內的L10系統不良, 記錄用)"/>
    <s v="GB300 L10"/>
    <x v="14"/>
    <s v="A979646X6302453"/>
    <s v="A979646X6303627"/>
    <s v="Rack"/>
    <s v="TX2-5S"/>
    <n v="640"/>
    <s v="InTest"/>
  </r>
  <r>
    <s v="P26302121"/>
    <s v="3/12/2026 8:36:50 PM"/>
    <x v="3"/>
    <s v="SR020309262183"/>
    <s v="RK024"/>
    <s v="Cable cartridge Defect"/>
    <s v="3/12/2026"/>
    <x v="0"/>
    <s v="http://10.160.100.12 /logs /Tesla /2026 /March /SR020309262183 /12 /R-BURN /A979646X6304729 /905A08350545 /gb300_ compute_ nvidia_ L11_ field_ diag_ summary.log"/>
    <s v="Cable Cartridge"/>
    <x v="3"/>
    <n v="1820626357046"/>
    <n v="2025125351528"/>
    <s v="Rack"/>
    <s v="TX2-5S"/>
    <n v="90185"/>
    <s v="InTest"/>
  </r>
  <r>
    <s v="P26302122"/>
    <s v="3/12/2026 8:43:53 PM"/>
    <x v="3"/>
    <s v="SR020309268071"/>
    <s v="RK022"/>
    <s v="Power Shelf Defective"/>
    <s v="3/12/2026"/>
    <x v="0"/>
    <s v="Power Shelf Defective Chassis- Unable to power PMB"/>
    <s v="power shelf left input"/>
    <x v="11"/>
    <s v="613337RBX01X15502PS"/>
    <s v="613337RBX04X1542287"/>
    <s v="Rack"/>
    <s v="TX2-5S"/>
    <n v="90185"/>
    <s v="InTest"/>
  </r>
  <r>
    <s v="P26302137"/>
    <s v="3/12/2026 10:37:58 PM"/>
    <x v="3"/>
    <s v="SR020309267651"/>
    <s v="RK202"/>
    <s v="GB200 L11 Compute Node Information Consistent Check fail"/>
    <s v="3/12/2026"/>
    <x v="0"/>
    <s v="GB200 L11 Compute Node Information Consistent Check fail"/>
    <s v="GB300 L10"/>
    <x v="14"/>
    <s v="A979646X6306225"/>
    <s v="A979646X6304804"/>
    <s v="Rack"/>
    <s v="TX2-5S"/>
    <n v="3908"/>
    <s v="InTest"/>
  </r>
  <r>
    <s v="P26302144"/>
    <s v="3/12/2026 10:58:42 PM"/>
    <x v="3"/>
    <s v="SR020309265376"/>
    <s v="RK202"/>
    <s v="GB200 L11 Compute Node Information Consistent Check fail"/>
    <s v="3/12/2026"/>
    <x v="0"/>
    <s v="L11 Compute Node Information Consistent Check fail"/>
    <s v="GB300 L10"/>
    <x v="14"/>
    <s v="A979646X6304767"/>
    <s v="A979646X6303646"/>
    <s v="Rack"/>
    <s v="TX2-5S"/>
    <n v="90160"/>
    <s v="InTest"/>
  </r>
  <r>
    <s v="P26302156"/>
    <s v="3/12/2026 11:09:02 PM"/>
    <x v="3"/>
    <s v="SR020309264426"/>
    <s v="RK202"/>
    <s v="GB200 L11 Compute Node Information Consistent Check fail"/>
    <s v="3/12/2026"/>
    <x v="0"/>
    <s v="L11 Compute Node Information Consistent Check fail"/>
    <s v="GB300 L10"/>
    <x v="14"/>
    <s v="A979646X6304949"/>
    <s v="A979646X6303645"/>
    <s v="Rack"/>
    <s v="TX2-5S"/>
    <n v="90160"/>
    <s v="InTest"/>
  </r>
  <r>
    <s v="P26302158"/>
    <s v="3/12/2026 11:13:53 PM"/>
    <x v="3"/>
    <s v="SR020309263317"/>
    <s v="RK202"/>
    <s v="GB200 L11 Compute Node Information Consistent Check fail"/>
    <s v="3/12/2026"/>
    <x v="0"/>
    <s v="L11 Compute Node Information Consistent Check fail"/>
    <s v="GB300 L10"/>
    <x v="14"/>
    <s v="A979646X6304957"/>
    <s v="A979646X6304891"/>
    <s v="Rack"/>
    <s v="TX2-5S"/>
    <n v="90160"/>
    <s v="InTest"/>
  </r>
  <r>
    <s v="P26302174"/>
    <s v="3/12/2026 11:27:42 PM"/>
    <x v="3"/>
    <s v="SR020309261706"/>
    <s v="RK202"/>
    <s v="GB200 L11 Compute Node Information Consistent Check fail"/>
    <s v="3/12/2026"/>
    <x v="0"/>
    <s v="L11 Compute Node Information Consistent Check fail"/>
    <s v="GB300 L10"/>
    <x v="14"/>
    <s v="A979646X6305179"/>
    <s v="A979646X6303180"/>
    <s v="Rack"/>
    <s v="TX2-5S"/>
    <n v="90160"/>
    <s v="InTest"/>
  </r>
  <r>
    <s v="P26302176"/>
    <s v="3/12/2026 11:31:57 PM"/>
    <x v="3"/>
    <s v="SR020309261706"/>
    <s v="RK202"/>
    <s v="GB200 L11 Compute Node Information Consistent Check fail"/>
    <s v="3/12/2026"/>
    <x v="0"/>
    <s v="L11 Compute Node Information Consistent Check fail"/>
    <s v="GB300 L10"/>
    <x v="14"/>
    <s v="A979646X6303729"/>
    <s v="A979646X6306258"/>
    <s v="Rack"/>
    <s v="TX2-5S"/>
    <n v="90160"/>
    <s v="InTest"/>
  </r>
  <r>
    <s v="P26302180"/>
    <s v="3/13/2026 12:16:35 AM"/>
    <x v="3"/>
    <s v="SR020309262709"/>
    <s v="RK202"/>
    <s v="GB200 L11 Compute Node Information Consistent Check fail"/>
    <s v="3/13/2026"/>
    <x v="0"/>
    <s v="L11 Compute Node Information Consistent Check fail"/>
    <s v="GB300 L10"/>
    <x v="14"/>
    <s v="A979646X6301837"/>
    <s v="A979646X6306100"/>
    <s v="Rack"/>
    <s v="TX2-5S"/>
    <n v="90160"/>
    <s v="InTest"/>
  </r>
  <r>
    <s v="P26302190"/>
    <m/>
    <x v="3"/>
    <s v="SR020309269793"/>
    <s v="RK022"/>
    <s v="Power Shelf Defective"/>
    <s v="3/13/2026"/>
    <x v="0"/>
    <s v="L11 Power Shelf Defective (Chassis)"/>
    <s v="power shelf left input"/>
    <x v="11"/>
    <s v="613337RBX01X15502JM"/>
    <m/>
    <s v="Rack"/>
    <s v="TX2-5S"/>
    <n v="90160"/>
    <s v="InTest"/>
  </r>
  <r>
    <s v="P26302288"/>
    <m/>
    <x v="3"/>
    <s v="SR020309266880"/>
    <s v="RK024"/>
    <s v="Cable cartridge Defect"/>
    <s v="3/13/2026"/>
    <x v="0"/>
    <s v="Failed to executed command sudo python import base64 cable cartridge3 eeprom"/>
    <s v="NVSwitch"/>
    <x v="2"/>
    <s v="MT2543601141"/>
    <m/>
    <s v="Rack"/>
    <s v="TX2-5S"/>
    <n v="2984"/>
    <s v="InTest"/>
  </r>
  <r>
    <s v="P26302340"/>
    <s v="3/13/2026 9:03:34 PM"/>
    <x v="3"/>
    <s v="SR020311261816"/>
    <s v="RK023"/>
    <s v="NVLINK Switch Functional Issue"/>
    <s v="3/13/2026"/>
    <x v="0"/>
    <s v="http://10.160.100.10/logs/Tesla/2026/March/SR020311261816/13/R-BURN/A979646X6306249/905A08352DA9/Failure-Records-Full.txt"/>
    <s v="NVSwitch"/>
    <x v="2"/>
    <s v="MT2609605QKG"/>
    <s v="MT2607600WHM"/>
    <s v="Rack"/>
    <s v="TX2-5S"/>
    <n v="90131"/>
    <s v="InTest"/>
  </r>
  <r>
    <s v="P26302344"/>
    <s v="3/13/2026 9:28:09 PM"/>
    <x v="3"/>
    <s v="SR020311265172"/>
    <s v="RK215"/>
    <s v="GB200 L11 Auto Reboot"/>
    <s v="3/13/2026"/>
    <x v="0"/>
    <s v="GB200 L11 Unable to power on"/>
    <s v="GB300 L10"/>
    <x v="14"/>
    <s v="A979646X6304891"/>
    <s v="A979646X6306742"/>
    <s v="Rack"/>
    <s v="TX2-5S"/>
    <n v="90185"/>
    <s v="InTest"/>
  </r>
  <r>
    <s v="P26302345"/>
    <s v="3/13/2026 9:47:11 PM"/>
    <x v="3"/>
    <s v="SR020311261184"/>
    <s v="RK202"/>
    <s v="GB200 L11 Compute Node Information Consistent Check fail"/>
    <s v="3/13/2026"/>
    <x v="0"/>
    <s v="L11 Compute Node Information Consistent Check fail"/>
    <s v="GB300 L10"/>
    <x v="14"/>
    <s v="A979646X6305954"/>
    <s v="A979646X6300809"/>
    <s v="Rack"/>
    <s v="TX2-5S"/>
    <n v="90160"/>
    <s v="InTest"/>
  </r>
  <r>
    <s v="P26302357"/>
    <s v="3/13/2026 10:29:30 PM"/>
    <x v="3"/>
    <s v="SR020309269793"/>
    <s v="RK202"/>
    <s v="GB200 L11 Compute Node Information Consistent Check fail"/>
    <s v="3/13/2026"/>
    <x v="0"/>
    <s v="L11 Compute Node Information Consistent Check fail"/>
    <s v="GB300 L10"/>
    <x v="14"/>
    <s v="A979646X6302435"/>
    <s v="A979646X6217685"/>
    <s v="Rack"/>
    <s v="TX2-5S"/>
    <n v="90160"/>
    <s v="InTest"/>
  </r>
  <r>
    <s v="P26302359"/>
    <s v="3/13/2026 10:35:24 PM"/>
    <x v="3"/>
    <s v="SR020311261184"/>
    <s v="RK202"/>
    <s v="GB200 L11 Compute Node Information Consistent Check fail"/>
    <s v="3/13/2026"/>
    <x v="0"/>
    <s v="L11 Compute Node Information Consistent Check fail"/>
    <s v="GB300 L10"/>
    <x v="14"/>
    <s v="A979646X6302313"/>
    <s v="A979646X6303757"/>
    <s v="Rack"/>
    <s v="TX2-5S"/>
    <n v="90160"/>
    <s v="InTest"/>
  </r>
  <r>
    <s v="P26302361"/>
    <s v="3/13/2026 10:46:42 PM"/>
    <x v="3"/>
    <s v="SR020311264027"/>
    <s v="RK202"/>
    <s v="GB200 L11 Compute Node Information Consistent Check fail"/>
    <s v="3/13/2026"/>
    <x v="0"/>
    <s v="L11 Compute Node Information Consistent Check fail"/>
    <s v="GB300 L10"/>
    <x v="14"/>
    <s v="A979646X6305729"/>
    <s v="A979646X6303758"/>
    <s v="Rack"/>
    <s v="TX2-5S"/>
    <n v="90160"/>
    <s v="InTest"/>
  </r>
  <r>
    <s v="P26302370"/>
    <s v="3/13/2026 11:12:27 PM"/>
    <x v="3"/>
    <s v="SR020311266797"/>
    <s v="RK214"/>
    <s v="GB200 L11 Unable to power on"/>
    <s v="3/13/2026"/>
    <x v="0"/>
    <s v="GB200 L11 Unable to power on"/>
    <s v="GB300 L10"/>
    <x v="14"/>
    <s v="A979646X6216631"/>
    <s v="A979646X6306739"/>
    <s v="Rack"/>
    <s v="TX2-5S"/>
    <n v="90185"/>
    <s v="InTest"/>
  </r>
  <r>
    <s v="P26302379"/>
    <s v="3/14/2026 12:25:26 AM"/>
    <x v="3"/>
    <s v="SR020309262183"/>
    <s v="RK197"/>
    <s v="GB200 Cable Cartridge fail"/>
    <s v="3/14/2026"/>
    <x v="0"/>
    <s v="http://10.160.100.12/logs/Tesla/ 2026/March/SR020309262183/ 13/R-BURN/A979646X6304729/905A08350545/ gb300_compute_nvidia_L11_field_diag_summary.log"/>
    <s v="Cable Cartridge"/>
    <x v="3"/>
    <n v="1820726354081"/>
    <n v="2025125351522"/>
    <s v="Rack"/>
    <s v="TX2-5S"/>
    <n v="90131"/>
    <s v="InTest"/>
  </r>
  <r>
    <s v="P26302396"/>
    <s v="3/14/2026 1:39:24 AM"/>
    <x v="3"/>
    <s v="SR020311261816"/>
    <s v="RK024"/>
    <s v="Cable cartridge Defect"/>
    <s v="3/14/2026"/>
    <x v="0"/>
    <s v="Cable cartridge defect. Rack0_SW0_acp43 CC2_C10_Lane_0 link_none"/>
    <s v="Cable Cartridge"/>
    <x v="3"/>
    <n v="1820626356523"/>
    <n v="2025125351338"/>
    <s v="Rack"/>
    <s v="TX2-5S"/>
    <n v="90185"/>
    <s v="InTest"/>
  </r>
  <r>
    <s v="P26302415"/>
    <s v="3/14/2026 2:01:58 AM"/>
    <x v="3"/>
    <s v="SR020311261816"/>
    <s v="RK024"/>
    <s v="Cable cartridge Defect"/>
    <s v="3/14/2026"/>
    <x v="0"/>
    <s v="witch_tray Rack0_SW4_acp43 CC2_C10_Lane_8 link_none comp_tray Rack0_SW4_acp43 CC2_C10_Lane_8 link_none"/>
    <s v="Cable Cartridge"/>
    <x v="3"/>
    <n v="1820626356523"/>
    <n v="2025125351338"/>
    <s v="Rack"/>
    <s v="TX2-5S"/>
    <n v="90131"/>
    <s v="InTest"/>
  </r>
  <r>
    <s v="P26302416"/>
    <s v="3/14/2026 2:03:20 AM"/>
    <x v="3"/>
    <s v="SR020311266566"/>
    <s v="RK209"/>
    <s v="GB200 L11 GPU Burn Test"/>
    <s v="3/14/2026"/>
    <x v="0"/>
    <s v="L11 GPU Burn Test"/>
    <s v="GB300 L10"/>
    <x v="14"/>
    <s v="A979646X6306264"/>
    <s v="A979646X6304670"/>
    <s v="Rack"/>
    <s v="TX2-5S"/>
    <n v="90130"/>
    <s v="InTest"/>
  </r>
  <r>
    <s v="P26302496"/>
    <s v="3/14/2026 8:20:10 PM"/>
    <x v="3"/>
    <s v="SR020311265172"/>
    <s v="RK216"/>
    <s v="GB200 L11 Cable Cartridge Nvidia FD Test fail"/>
    <s v="3/14/2026"/>
    <x v="0"/>
    <s v="GB200 L11 Cable Cartridge Nvidia FD Test fail"/>
    <s v="GB300 L10"/>
    <x v="14"/>
    <s v="A979646X6306747"/>
    <s v="A979646X6303766"/>
    <s v="Rack"/>
    <s v="TX2-5S"/>
    <n v="90185"/>
    <s v="InTest"/>
  </r>
  <r>
    <s v="P26302498"/>
    <s v="3/14/2026 8:37:17 PM"/>
    <x v="3"/>
    <s v="SR020311266797"/>
    <s v="RK202"/>
    <s v="GB200 L11 Compute Node Information Consistent Check fail"/>
    <s v="3/14/2026"/>
    <x v="0"/>
    <s v="GB200 L11 Compute Node Information Consistent Check fail"/>
    <s v="GB300 L10"/>
    <x v="14"/>
    <s v="A979646X6307499"/>
    <s v="A979646X6301838"/>
    <s v="Rack"/>
    <s v="TX2-5S"/>
    <n v="90185"/>
    <s v="InTest"/>
  </r>
  <r>
    <s v="P26302505"/>
    <s v="3/14/2026 10:21:40 PM"/>
    <x v="3"/>
    <s v="SR020311264303"/>
    <s v="RK202"/>
    <s v="GB200 L11 Compute Node Information Consistent Check fail"/>
    <s v="3/14/2026"/>
    <x v="0"/>
    <s v="L11 Compute Node Information Consistent Check fail"/>
    <s v="GB300 L10"/>
    <x v="14"/>
    <s v="A979646X6306070"/>
    <s v="A979646X6300496"/>
    <s v="Rack"/>
    <s v="TX2-5S"/>
    <n v="90160"/>
    <s v="InTest"/>
  </r>
  <r>
    <s v="P26302507"/>
    <s v="3/14/2026 10:28:41 PM"/>
    <x v="3"/>
    <s v="SR020311264303"/>
    <s v="RK202"/>
    <s v="GB200 L11 Compute Node Information Consistent Check fail"/>
    <s v="3/14/2026"/>
    <x v="0"/>
    <s v="L11 Compute Node Information Consistent Check fail"/>
    <s v="GB300 L10"/>
    <x v="14"/>
    <s v="A979646X6300500"/>
    <s v="A979646X6300503"/>
    <s v="Rack"/>
    <s v="TX2-5S"/>
    <n v="90160"/>
    <s v="InTest"/>
  </r>
  <r>
    <s v="P26302509"/>
    <s v="3/14/2026 10:34:30 PM"/>
    <x v="3"/>
    <s v="SR020311264067"/>
    <s v="RK202"/>
    <s v="GB200 L11 Compute Node Information Consistent Check fail"/>
    <s v="3/14/2026"/>
    <x v="0"/>
    <s v="L11 Compute Node Information Consistent Check fail"/>
    <s v="GB300 L10"/>
    <x v="14"/>
    <s v="A979646X6302587"/>
    <s v="A979646X6307525"/>
    <s v="Rack"/>
    <s v="TX2-5S"/>
    <n v="90160"/>
    <s v="InTest"/>
  </r>
  <r>
    <s v="P26302522"/>
    <s v="3/14/2026 10:41:25 PM"/>
    <x v="3"/>
    <s v="SR020311264027"/>
    <s v="RK202"/>
    <s v="GB200 L11 Compute Node Information Consistent Check fail"/>
    <s v="3/14/2026"/>
    <x v="0"/>
    <s v="L11 Compute Node Information Consistent Check fail"/>
    <s v="GB300 L10"/>
    <x v="14"/>
    <s v="A979646X6305735"/>
    <s v="A979646X6302143"/>
    <s v="Rack"/>
    <s v="TX2-5S"/>
    <n v="90160"/>
    <s v="InTest"/>
  </r>
  <r>
    <s v="P26302524"/>
    <m/>
    <x v="3"/>
    <s v="SR020311264117"/>
    <s v="RK024"/>
    <s v="Cable cartridge Defect"/>
    <s v="3/14/2026"/>
    <x v="3"/>
    <s v="L11 Cable cartridge Defect"/>
    <s v="Cable Cartridge"/>
    <x v="3"/>
    <n v="1820626354724"/>
    <m/>
    <s v="Rack"/>
    <s v="TX2-5S"/>
    <n v="90160"/>
    <s v="InTest"/>
  </r>
  <r>
    <s v="P26302525"/>
    <s v="3/14/2026 11:00:12 PM"/>
    <x v="3"/>
    <s v="SR020311261275"/>
    <s v="RK202"/>
    <s v="GB200 L11 Compute Node Information Consistent Check fail"/>
    <s v="3/14/2026"/>
    <x v="0"/>
    <s v="L11 Compute Node Information Consistent Check fail"/>
    <s v="GB300 L10"/>
    <x v="14"/>
    <s v="A979646X6302570"/>
    <s v="A979646X6302139"/>
    <s v="Rack"/>
    <s v="TX2-5S"/>
    <n v="90160"/>
    <s v="InTest"/>
  </r>
  <r>
    <s v="P26302566"/>
    <s v="3/15/2026 3:27:55 PM"/>
    <x v="3"/>
    <s v="SR020311266122"/>
    <s v="RK202"/>
    <s v="GB200 L11 Compute Node Information Consistent Check fail"/>
    <s v="3/15/2026"/>
    <x v="0"/>
    <s v="GB200 L11 Compute Node Information Consistent Check fail"/>
    <s v="GB300 L10"/>
    <x v="14"/>
    <s v="A979646X6305031"/>
    <s v="A979646X6306826"/>
    <s v="Rack"/>
    <s v="TX2-5S"/>
    <n v="90185"/>
    <s v="InTest"/>
  </r>
  <r>
    <s v="P26302569"/>
    <s v="3/15/2026 6:33:30 PM"/>
    <x v="3"/>
    <s v="SR020311269487"/>
    <s v="RK202"/>
    <s v="GB200 L11 Compute Node Information Consistent Check fail"/>
    <s v="3/15/2026"/>
    <x v="0"/>
    <s v="GB200 L11 Compute Node Information Consistent Check fail"/>
    <s v="GB300 L10"/>
    <x v="14"/>
    <s v="A979646X6215555"/>
    <s v="A979646X6305805"/>
    <s v="Rack"/>
    <s v="TX2-5S"/>
    <n v="90185"/>
    <s v="InTest"/>
  </r>
  <r>
    <s v="P26302571"/>
    <s v="3/15/2026 6:40:51 PM"/>
    <x v="3"/>
    <s v="SR020311269196"/>
    <s v="RK202"/>
    <s v="GB200 L11 Compute Node Information Consistent Check fail"/>
    <s v="3/15/2026"/>
    <x v="0"/>
    <s v="GB200 L11 Compute Node Information Consistent Check fail"/>
    <s v="GB300 L10"/>
    <x v="14"/>
    <s v="A979646X6305771"/>
    <s v="A979646X6305801"/>
    <s v="Rack"/>
    <s v="TX2-5S"/>
    <n v="90185"/>
    <s v="InTest"/>
  </r>
  <r>
    <s v="P26302573"/>
    <s v="3/15/2026 6:45:19 PM"/>
    <x v="3"/>
    <s v="SR020311267215"/>
    <s v="RK202"/>
    <s v="GB200 L11 Compute Node Information Consistent Check fail"/>
    <s v="3/15/2026"/>
    <x v="0"/>
    <s v="GB200 L11 Compute Node Information Consistent Check fail"/>
    <s v="GB300 L10"/>
    <x v="14"/>
    <s v="A979646X6306177"/>
    <s v="A979646X6305799"/>
    <s v="Rack"/>
    <s v="TX2-5S"/>
    <n v="90185"/>
    <s v="InTest"/>
  </r>
  <r>
    <s v="P26302575"/>
    <s v="3/15/2026 9:11:52 PM"/>
    <x v="3"/>
    <s v="SR020311269322"/>
    <s v="RK202"/>
    <s v="GB200 L11 Compute Node Information Consistent Check fail"/>
    <s v="3/15/2026"/>
    <x v="0"/>
    <s v="GB200 L11 Compute Node Information Consistent Check fail"/>
    <s v="GB300 L10"/>
    <x v="14"/>
    <s v="A97664X6303955"/>
    <s v="A97966X6305802"/>
    <s v="Rack"/>
    <s v="TX2-5S"/>
    <n v="90185"/>
    <s v="InTest"/>
  </r>
  <r>
    <s v="P26302577"/>
    <s v="3/15/2026 9:18:10 PM"/>
    <x v="3"/>
    <s v="SR020313261010"/>
    <s v="RK205"/>
    <s v="GB200 L11 Compute Tray Nvidia Field Diag Test fail"/>
    <s v="3/15/2026"/>
    <x v="0"/>
    <s v="GB200 L11 Compute Tray Nvidia Field Diag Test fail"/>
    <s v="GB300 L10"/>
    <x v="14"/>
    <s v="A979646X6306642"/>
    <s v="A979646X6305804"/>
    <s v="Rack"/>
    <s v="TX2-5S"/>
    <n v="90185"/>
    <s v="InTest"/>
  </r>
  <r>
    <s v="P26302579"/>
    <s v="3/15/2026 10:07:46 PM"/>
    <x v="3"/>
    <s v="SR020311264067"/>
    <s v="RK202"/>
    <s v="GB200 L11 Compute Node Information Consistent Check fail"/>
    <s v="3/15/2026"/>
    <x v="0"/>
    <s v="L11 Compute Node Information Consistent Check fail"/>
    <s v="GB300 L10"/>
    <x v="14"/>
    <s v="A979646X6302548"/>
    <s v="A979646X6305820"/>
    <s v="Rack"/>
    <s v="TX2-5S"/>
    <n v="90160"/>
    <s v="InTest"/>
  </r>
  <r>
    <s v="P26302581"/>
    <s v="3/15/2026 10:11:53 PM"/>
    <x v="3"/>
    <s v="SR020311264067"/>
    <s v="RK202"/>
    <s v="GB200 L11 Compute Node Information Consistent Check fail"/>
    <s v="3/15/2026"/>
    <x v="0"/>
    <s v="L11 Compute Node Information Consistent Check fail"/>
    <s v="GB300 L10"/>
    <x v="14"/>
    <s v="A979646X6302545"/>
    <s v="A979646X6305817"/>
    <s v="Rack"/>
    <s v="TX2-5S"/>
    <n v="90160"/>
    <s v="InTest"/>
  </r>
  <r>
    <s v="P26302583"/>
    <s v="3/15/2026 10:18:17 PM"/>
    <x v="3"/>
    <s v="SR020309266880"/>
    <s v="RK202"/>
    <s v="GB200 L11 Compute Node Information Consistent Check fail"/>
    <s v="3/15/2026"/>
    <x v="0"/>
    <s v="L11 Compute Node Information Consistent Check fail"/>
    <s v="GB300 L10"/>
    <x v="14"/>
    <s v="A979646X6302096"/>
    <s v="A979646X6306546"/>
    <s v="Rack"/>
    <s v="TX2-5S"/>
    <n v="90160"/>
    <s v="InTest"/>
  </r>
  <r>
    <s v="P26302585"/>
    <s v="3/15/2026 10:23:32 PM"/>
    <x v="3"/>
    <s v="SR020309261706"/>
    <s v="RK202"/>
    <s v="GB200 L11 Compute Node Information Consistent Check fail"/>
    <s v="3/15/2026"/>
    <x v="0"/>
    <s v="L11 Compute Node Information Consistent Check fail"/>
    <s v="GB300 L10"/>
    <x v="14"/>
    <s v="A979646X6301846"/>
    <s v="A979646X6305819"/>
    <s v="Rack"/>
    <s v="TX2-5S"/>
    <n v="90160"/>
    <s v="InTest"/>
  </r>
  <r>
    <s v="P26302587"/>
    <s v="3/15/2026 10:26:43 PM"/>
    <x v="3"/>
    <s v="SR020309269793"/>
    <s v="RK202"/>
    <s v="GB200 L11 Compute Node Information Consistent Check fail"/>
    <s v="3/15/2026"/>
    <x v="0"/>
    <s v="L11 Compute Node Information Consistent Check fail"/>
    <s v="GB300 L10"/>
    <x v="14"/>
    <s v="A979646X6217070"/>
    <s v="A979646X6302144"/>
    <s v="Rack"/>
    <s v="TX2-5S"/>
    <n v="90160"/>
    <s v="InTest"/>
  </r>
  <r>
    <s v="P26302589"/>
    <s v="3/15/2026 10:33:52 PM"/>
    <x v="3"/>
    <s v="SR020311269887"/>
    <s v="RK202"/>
    <s v="GB200 L11 Compute Node Information Consistent Check fail"/>
    <s v="3/15/2026"/>
    <x v="0"/>
    <s v="L11 Compute Node Information Consistent Check fail"/>
    <s v="GB300 L10"/>
    <x v="14"/>
    <s v="A979646X6306926"/>
    <s v="A979646X6306718"/>
    <s v="Rack"/>
    <s v="TX2-5S"/>
    <n v="90160"/>
    <s v="InTest"/>
  </r>
  <r>
    <s v="P26302591"/>
    <s v="3/15/2026 10:42:33 PM"/>
    <x v="3"/>
    <s v="SR020311266868"/>
    <s v="RK202"/>
    <s v="GB200 L11 Compute Node Information Consistent Check fail"/>
    <s v="3/15/2026"/>
    <x v="0"/>
    <s v="L11 Compute Node Information Consistent Check fail"/>
    <s v="GB300 L10"/>
    <x v="14"/>
    <s v="A979646X6303419"/>
    <s v="A979646X6305808"/>
    <s v="Rack"/>
    <s v="TX2-5S"/>
    <n v="90160"/>
    <s v="InTest"/>
  </r>
  <r>
    <s v="P26302592"/>
    <s v="3/15/2026 10:54:26 PM"/>
    <x v="3"/>
    <s v="SR020311269690"/>
    <s v="RK214"/>
    <s v="GB200 L11 Unable to power on"/>
    <s v="3/15/2026"/>
    <x v="0"/>
    <s v="L11 SINGLE UNIT Unable to power on"/>
    <s v="GB300 L10"/>
    <x v="14"/>
    <s v="A979646X6307528"/>
    <s v="A979646X6305806"/>
    <s v="Rack"/>
    <s v="TX2-5S"/>
    <n v="90185"/>
    <s v="InTest"/>
  </r>
  <r>
    <s v="P26302595"/>
    <s v="3/15/2026 11:06:05 PM"/>
    <x v="3"/>
    <s v="SR020311269912"/>
    <s v="RK202"/>
    <s v="GB200 L11 Compute Node Information Consistent Check fail"/>
    <s v="3/15/2026"/>
    <x v="0"/>
    <s v="L11 Compute Node Information Consistent Check fail"/>
    <s v="GB300 L10"/>
    <x v="14"/>
    <s v="A979646X6302539"/>
    <s v="A979646X6306721"/>
    <s v="Rack"/>
    <s v="TX2-5S"/>
    <n v="90160"/>
    <s v="InTest"/>
  </r>
  <r>
    <s v="P26302597"/>
    <s v="3/15/2026 11:15:24 PM"/>
    <x v="3"/>
    <s v="SR020311261007"/>
    <s v="RK024"/>
    <s v="Cable cartridge Defect"/>
    <s v="3/15/2026"/>
    <x v="0"/>
    <s v="L11 Cable cartridge Defect / CC2_C10"/>
    <s v="Cable Cartridge"/>
    <x v="3"/>
    <n v="1820626354898"/>
    <n v="2025125351514"/>
    <s v="Rack"/>
    <s v="TX2-5S"/>
    <n v="90160"/>
    <s v="InTest"/>
  </r>
  <r>
    <s v="P26302598"/>
    <s v="3/15/2026 11:21:32 PM"/>
    <x v="3"/>
    <s v="SR020311264303"/>
    <s v="RK201"/>
    <s v="GB200 L11 NVLink Switch Information Consistent Check fail"/>
    <s v="3/15/2026"/>
    <x v="0"/>
    <s v="L11 NVLink Switch Information Consistent Check fail SR020311264303"/>
    <s v="NVSwitch"/>
    <x v="2"/>
    <s v="MT2602607VNY"/>
    <s v="MT2607601BLH"/>
    <s v="Rack"/>
    <s v="TX2-5S"/>
    <n v="90130"/>
    <s v="InTest"/>
  </r>
  <r>
    <s v="P26302642"/>
    <s v="3/16/2026 9:51:35 AM"/>
    <x v="3"/>
    <s v="SR020311261275"/>
    <s v="RK023"/>
    <s v="NVLINK Switch Functional Issue"/>
    <s v="3/16/2026"/>
    <x v="0"/>
    <s v="SR020311261275 NVL Switch e8:9e:49:4a:3c:90;10.10.56.169 unreachable"/>
    <s v="NVSwitch"/>
    <x v="2"/>
    <s v="MT2543600VXN"/>
    <s v="MT26076019EL"/>
    <s v="Rack"/>
    <s v="TX2-5S"/>
    <n v="1519"/>
    <s v="InTest"/>
  </r>
  <r>
    <s v="P26302815"/>
    <s v="3/16/2026 9:55:41 PM"/>
    <x v="3"/>
    <s v="SR020313262082"/>
    <s v="RK202"/>
    <s v="GB200 L11 Compute Node Information Consistent Check fail"/>
    <s v="3/16/2026"/>
    <x v="0"/>
    <s v="L11 Compute Node Information Consistent Check fail"/>
    <s v="GB300 L10"/>
    <x v="14"/>
    <s v="A979646X6305518"/>
    <s v="A979646X6301555"/>
    <s v="Rack"/>
    <s v="TX2-5S"/>
    <n v="90160"/>
    <s v="InTest"/>
  </r>
  <r>
    <s v="P26302818"/>
    <s v="3/16/2026 10:04:24 PM"/>
    <x v="3"/>
    <s v="SR020313267920"/>
    <s v="RK202"/>
    <s v="GB200 L11 Compute Node Information Consistent Check fail"/>
    <s v="3/16/2026"/>
    <x v="0"/>
    <s v="L11 Compute Node Information Consistent Check fail"/>
    <s v="GB300 L10"/>
    <x v="14"/>
    <s v="A979646X6302124"/>
    <s v="A979646X6215391"/>
    <s v="Rack"/>
    <s v="TX2-5S"/>
    <n v="90160"/>
    <s v="InTest"/>
  </r>
  <r>
    <s v="P26302820"/>
    <s v="3/16/2026 10:15:10 PM"/>
    <x v="3"/>
    <s v="SR020313262082"/>
    <s v="RK202"/>
    <s v="GB200 L11 Compute Node Information Consistent Check fail"/>
    <s v="3/16/2026"/>
    <x v="0"/>
    <s v="L11 Compute Node Information Consistent Check fail"/>
    <s v="GB300 L10"/>
    <x v="14"/>
    <s v="A979646X6306647"/>
    <s v="A979646X6216605"/>
    <s v="Rack"/>
    <s v="TX2-5S"/>
    <n v="90160"/>
    <s v="InTest"/>
  </r>
  <r>
    <s v="P26302823"/>
    <s v="3/16/2026 10:21:30 PM"/>
    <x v="3"/>
    <s v="SR020313267813"/>
    <s v="RK202"/>
    <s v="GB200 L11 Compute Node Information Consistent Check fail"/>
    <s v="3/16/2026"/>
    <x v="0"/>
    <s v="L11 Compute Node Information Consistent Check fail"/>
    <s v="GB300 L10"/>
    <x v="14"/>
    <s v="A979646X6215446"/>
    <s v="A979646X6215035"/>
    <s v="Rack"/>
    <s v="TX2-5S"/>
    <n v="90160"/>
    <s v="InTest"/>
  </r>
  <r>
    <s v="P26302825"/>
    <s v="3/16/2026 10:36:23 PM"/>
    <x v="3"/>
    <s v="SR020313263893"/>
    <s v="RK214"/>
    <s v="GB200 L11 Unable to power on"/>
    <s v="3/16/2026"/>
    <x v="0"/>
    <s v="L11 Single Unit GB300 Unable to power on"/>
    <s v="GB300 L10"/>
    <x v="14"/>
    <s v="A979646X6304870"/>
    <s v="A979646X6307544"/>
    <s v="Rack"/>
    <s v="TX2-5S"/>
    <n v="90185"/>
    <s v="InTest"/>
  </r>
  <r>
    <s v="P26302827"/>
    <s v="3/16/2026 10:45:46 PM"/>
    <x v="3"/>
    <s v="SR020313261710"/>
    <s v="RK215"/>
    <s v="GB200 L11 Auto Reboot"/>
    <s v="3/16/2026"/>
    <x v="0"/>
    <s v="GB200 L11 Auto Reboot"/>
    <s v="GB300 L10"/>
    <x v="14"/>
    <s v="A979646X6303762"/>
    <s v="A979646X6301835"/>
    <s v="Rack"/>
    <s v="TX2-5S"/>
    <n v="90185"/>
    <s v="InTest"/>
  </r>
  <r>
    <s v="P26302831"/>
    <s v="3/16/2026 11:22:28 PM"/>
    <x v="3"/>
    <s v="SR020311269703"/>
    <s v="RK024"/>
    <s v="Cable cartridge Defect"/>
    <s v="3/16/2026"/>
    <x v="0"/>
    <s v="L11 Cable Cartridge fail / Rack0_SW3_acp54 CC1_C13_Lane_6"/>
    <s v="Cable Cartridge"/>
    <x v="3"/>
    <n v="1820626356672"/>
    <n v="2025125351720"/>
    <s v="Rack"/>
    <s v="TX2-5S"/>
    <n v="90160"/>
    <s v="InTest"/>
  </r>
  <r>
    <s v="P26302835"/>
    <s v="3/17/2026 12:56:34 AM"/>
    <x v="3"/>
    <s v="SR020313262487"/>
    <s v="RK024"/>
    <s v="Cable cartridge Defect"/>
    <s v="3/17/2026"/>
    <x v="0"/>
    <s v="L11 Cable cartridge Defect / BENT PIN SLOT 1"/>
    <s v="Cable Cartridge"/>
    <x v="3"/>
    <n v="2020826490727"/>
    <n v="2025125351741"/>
    <s v="Rack"/>
    <s v="TX2-5S"/>
    <n v="90160"/>
    <s v="InTest"/>
  </r>
  <r>
    <s v="P26302866"/>
    <s v="3/17/2026 9:28:52 AM"/>
    <x v="3"/>
    <s v="SR020313262241"/>
    <s v="RK024"/>
    <s v="Cable cartridge Defect"/>
    <s v="3/17/2026"/>
    <x v="0"/>
    <s v="Rack0_SW4_acp25,CC0_C6_Lane_8,link_none, CC0 ( BENT PIN SLOT 7)"/>
    <s v="Cable Cartridge"/>
    <x v="3"/>
    <n v="2020826490310"/>
    <n v="2025125351513"/>
    <s v="Rack"/>
    <s v="TX2-5S"/>
    <n v="1519"/>
    <s v="InTest"/>
  </r>
  <r>
    <s v="P26302917"/>
    <s v="3/17/2026 2:48:50 PM"/>
    <x v="3"/>
    <s v="SR020313265294"/>
    <s v="RK022"/>
    <s v="Power Shelf Defective"/>
    <s v="3/17/2026"/>
    <x v="0"/>
    <s v="SR020313265294 PowerSupplyUnit 3、4 FAIL"/>
    <s v="LiteOn Power Shelf Right Input"/>
    <x v="7"/>
    <s v="613339RBX01X15511JY"/>
    <s v="613339RBX04X15352GT"/>
    <s v="Rack"/>
    <s v="TX2-5S"/>
    <n v="1519"/>
    <s v="InTest"/>
  </r>
  <r>
    <s v="P26302921"/>
    <s v="3/17/2026 1:56:55 PM"/>
    <x v="3"/>
    <s v="SR020311267149"/>
    <s v="RK023"/>
    <s v="NVLINK Switch Functional Issue"/>
    <s v="3/17/2026"/>
    <x v="0"/>
    <s v="nmx-controller service has been run on one NVL switch tray, but the status is showing not ok"/>
    <s v="NVSwitch"/>
    <x v="2"/>
    <s v="MT2609601LHV"/>
    <s v="MT25416069PX"/>
    <s v="Rack"/>
    <s v="TX2-5S"/>
    <n v="718"/>
    <s v="InTest"/>
  </r>
  <r>
    <s v="P26302995"/>
    <s v="3/17/2026 8:24:28 PM"/>
    <x v="3"/>
    <s v="SR020313268954"/>
    <s v="RK205"/>
    <s v="GB200 L11 Compute Tray Nvidia Field Diag Test fail"/>
    <s v="3/17/2026"/>
    <x v="0"/>
    <s v="GB200 L11 Compute Tray Nvidia Field Diag Test fail"/>
    <s v="GB300 L10"/>
    <x v="14"/>
    <s v="A979646X6305157"/>
    <s v="A979646X6301719"/>
    <s v="Rack"/>
    <s v="TX2-5S"/>
    <n v="90185"/>
    <s v="InTest"/>
  </r>
  <r>
    <s v="P26302999"/>
    <s v="3/17/2026 8:36:12 PM"/>
    <x v="3"/>
    <s v="SR020313265448"/>
    <s v="RK214"/>
    <s v="GB200 L11 Unable to power on"/>
    <s v="3/17/2026"/>
    <x v="0"/>
    <s v="UNABLE TO POWER ON"/>
    <s v="GB300 L10"/>
    <x v="14"/>
    <s v="A979646X6302285"/>
    <s v="A979646X6301721"/>
    <s v="Rack"/>
    <s v="TX2-5S"/>
    <n v="90185"/>
    <s v="InTest"/>
  </r>
  <r>
    <s v="P26303009"/>
    <s v="3/17/2026 8:47:32 PM"/>
    <x v="3"/>
    <s v="SR020313264079"/>
    <s v="RK202"/>
    <s v="GB200 L11 Compute Node Information Consistent Check fail"/>
    <s v="3/17/2026"/>
    <x v="0"/>
    <s v="L11 Compute Node Information Consistent Check fail"/>
    <s v="GB300 L10"/>
    <x v="14"/>
    <s v="A979646X6306872"/>
    <s v="A979646X6308444"/>
    <s v="Rack"/>
    <s v="TX2-5S"/>
    <n v="90160"/>
    <s v="InTest"/>
  </r>
  <r>
    <s v="P26303030"/>
    <s v="3/17/2026 8:57:25 PM"/>
    <x v="3"/>
    <s v="SR020313264079"/>
    <s v="RK202"/>
    <s v="GB200 L11 Compute Node Information Consistent Check fail"/>
    <s v="3/17/2026"/>
    <x v="0"/>
    <s v="L11 Compute Node Information Consistent Check fail"/>
    <s v="GB300 L10"/>
    <x v="14"/>
    <s v="A979646X6307582"/>
    <s v="A979646X6308442"/>
    <s v="Rack"/>
    <s v="TX2-5S"/>
    <n v="90160"/>
    <s v="InTest"/>
  </r>
  <r>
    <s v="P26303034"/>
    <s v="3/17/2026 9:03:27 PM"/>
    <x v="3"/>
    <s v="SR020313264888"/>
    <s v="RK202"/>
    <s v="GB200 L11 Compute Node Information Consistent Check fail"/>
    <s v="3/17/2026"/>
    <x v="0"/>
    <s v="L11 Compute Node Information Consistent Check fail"/>
    <s v="GB300 L10"/>
    <x v="14"/>
    <s v="A979646X6303382"/>
    <s v="A979646X6308432"/>
    <s v="Rack"/>
    <s v="TX2-5S"/>
    <n v="90160"/>
    <s v="InTest"/>
  </r>
  <r>
    <s v="P26303037"/>
    <s v="3/17/2026 9:07:52 PM"/>
    <x v="3"/>
    <s v="SR020313266056"/>
    <s v="RK214"/>
    <s v="GB200 L11 Unable to power on"/>
    <s v="3/17/2026"/>
    <x v="0"/>
    <s v="GB200 L11 Unable to power on"/>
    <s v="GB300 L10"/>
    <x v="14"/>
    <s v="A979646X6305729"/>
    <s v="A979646X6307536"/>
    <s v="Rack"/>
    <s v="TX2-5S"/>
    <n v="90185"/>
    <s v="InTest"/>
  </r>
  <r>
    <s v="P26303039"/>
    <s v="3/17/2026 9:12:10 PM"/>
    <x v="3"/>
    <s v="SR020311269703"/>
    <s v="RK202"/>
    <s v="GB200 L11 Compute Node Information Consistent Check fail"/>
    <s v="3/17/2026"/>
    <x v="0"/>
    <s v="L11 Compute Node Information Consistent Check fail"/>
    <s v="GB300 L10"/>
    <x v="14"/>
    <s v="A979646X6217686"/>
    <s v="A979646X6308449"/>
    <s v="Rack"/>
    <s v="TX2-5S"/>
    <n v="90160"/>
    <s v="InTest"/>
  </r>
  <r>
    <s v="P26303042"/>
    <s v="3/17/2026 9:49:55 PM"/>
    <x v="3"/>
    <s v="SR020313265927"/>
    <s v="RK202"/>
    <s v="GB200 L11 Compute Node Information Consistent Check fail"/>
    <s v="3/17/2026"/>
    <x v="0"/>
    <s v="GB200 L11 Compute Node Information Consistent Check fail - only 0 Fabric state shows OK, expected 4"/>
    <s v="GB300 L10"/>
    <x v="14"/>
    <s v="A979646X6305014"/>
    <s v="A979646X6308448"/>
    <s v="Rack"/>
    <s v="TX2-5S"/>
    <n v="90185"/>
    <s v="InTest"/>
  </r>
  <r>
    <s v="P26303058"/>
    <s v="3/17/2026 10:26:47 PM"/>
    <x v="3"/>
    <s v="SR020311267149"/>
    <s v="RK023"/>
    <s v="NVLINK Switch Functional Issue"/>
    <s v="3/17/2026"/>
    <x v="0"/>
    <s v="NVLINK Switch Functional Issue / nmx-controller service has been run on one NVL switch tray, but the status is showing not ok."/>
    <s v="NVSwitch"/>
    <x v="2"/>
    <s v="MT260960506G"/>
    <s v="MT25416069PP"/>
    <s v="Rack"/>
    <s v="TX2-5S"/>
    <n v="90185"/>
    <s v="InTest"/>
  </r>
  <r>
    <s v="P26303059"/>
    <s v="3/17/2026 10:44:42 PM"/>
    <x v="3"/>
    <s v="SR020313261902"/>
    <s v="RK024"/>
    <s v="Cable cartridge Defect"/>
    <s v="3/17/2026"/>
    <x v="0"/>
    <s v="Cable cartridge Defect _ Rack slot 18, CBC 2, 4x19 connector 2, column 14, pins A/B, G/H, C/D, E/F"/>
    <s v="Cable Cartridge"/>
    <x v="3"/>
    <n v="2020826490629"/>
    <n v="2020926490259"/>
    <s v="Rack"/>
    <s v="TX2-5S"/>
    <n v="90185"/>
    <s v="InTest"/>
  </r>
  <r>
    <s v="P26303180"/>
    <s v="3/18/2026 4:00:38 PM"/>
    <x v="3"/>
    <s v="SR020313265448"/>
    <s v="RK024"/>
    <s v="Cable cartridge Defect"/>
    <s v="3/18/2026"/>
    <x v="0"/>
    <s v="http://10.160.100.12 /logs /Tesla /2026 /March /SR020313265448 /18 /R-BURN /A979646X6215541 /905A08351934 /Failure-Records -Full.txt Rack0_ SW1_ acp115, CC2_C10 _Lane_3, link_none"/>
    <s v="Cable Cartridge"/>
    <x v="3"/>
    <n v="2020926490681"/>
    <n v="2020926490277"/>
    <s v="Rack"/>
    <s v="TX2-5S"/>
    <n v="90185"/>
    <s v="InTest"/>
  </r>
  <r>
    <s v="P26303181"/>
    <s v="3/18/2026 4:01:56 PM"/>
    <x v="3"/>
    <s v="SR020313265927"/>
    <s v="RK024"/>
    <s v="Cable cartridge Defect"/>
    <s v="3/18/2026"/>
    <x v="0"/>
    <s v="http://10.160.100.12 /logs /Tesla /2026 /March /SR020313265927 /18 /R-BURN /A979646X6304977 /905A08352CB1 /Failure-Records -Full.txt Rack0_ SW4_ acp104,CC3_ C7_Lane _9, link_ high_raw _ber"/>
    <s v="Cable Cartridge"/>
    <x v="3"/>
    <n v="2020926490044"/>
    <n v="2020826490629"/>
    <s v="Rack"/>
    <s v="TX2-5S"/>
    <n v="90185"/>
    <s v="InTest"/>
  </r>
  <r>
    <s v="P26303183"/>
    <s v="3/18/2026 5:05:42 PM"/>
    <x v="3"/>
    <s v="SR020313266044"/>
    <s v="RK002"/>
    <s v="DOA - Switch no function/power (Switch無作用/無電源)"/>
    <s v="3/18/2026"/>
    <x v="0"/>
    <s v="auto shut down in The BMC log sel"/>
    <s v="GB300 L10"/>
    <x v="14"/>
    <s v="A979646X6303008"/>
    <s v="A979646X6308422"/>
    <s v="Rack"/>
    <s v="TX2-5S"/>
    <n v="90131"/>
    <s v="InTest"/>
  </r>
  <r>
    <s v="P26303184"/>
    <s v="3/18/2026 5:07:30 PM"/>
    <x v="3"/>
    <s v="SR020313265723"/>
    <s v="RK202"/>
    <s v="GB200 L11 Compute Node Information Consistent Check fail"/>
    <s v="3/18/2026"/>
    <x v="0"/>
    <s v="http://10.160.100.12/logs/Tesla/2026/March/SR020313265723/18/R-BURN/A979646X6301679/905A08350ADE/gb300_compute_nvidia_L11_field_diag_summary.log"/>
    <s v="GB300 L10"/>
    <x v="14"/>
    <s v="A979646X6306697"/>
    <s v="A979646X6312180"/>
    <s v="Rack"/>
    <s v="TX2-5S"/>
    <n v="90131"/>
    <s v="InTest"/>
  </r>
  <r>
    <s v="P26303196"/>
    <s v="3/18/2026 6:24:05 PM"/>
    <x v="3"/>
    <s v="SR020316268635"/>
    <s v="NT006"/>
    <s v="No BMC IP address / BMC port issue(IPMI IP為0.0.0.0)"/>
    <s v="3/18/2026"/>
    <x v="0"/>
    <s v="No BMC IP address / BMC port issue(IPMI IP為0.0.0.0)"/>
    <s v="GB300 L10"/>
    <x v="14"/>
    <s v="A979646X6217848"/>
    <s v="A979646X6307486"/>
    <s v="Rack"/>
    <s v="TX2-5S"/>
    <n v="90185"/>
    <s v="InTest"/>
  </r>
  <r>
    <s v="P26303223"/>
    <s v="3/18/2026 9:23:26 PM"/>
    <x v="3"/>
    <s v="SR020316269420"/>
    <s v="RK202"/>
    <s v="GB200 L11 Compute Node Information Consistent Check fail"/>
    <s v="3/18/2026"/>
    <x v="0"/>
    <s v="L11 Compute Node Information Consistent Check fail"/>
    <s v="GB300 L10"/>
    <x v="14"/>
    <s v="A979646X6312063"/>
    <s v="A979646X6312186"/>
    <s v="Rack"/>
    <s v="TX2-5S"/>
    <n v="90160"/>
    <s v="InTest"/>
  </r>
  <r>
    <s v="P26303225"/>
    <s v="3/18/2026 9:29:13 PM"/>
    <x v="3"/>
    <s v="SR020316269361"/>
    <s v="RK202"/>
    <s v="GB200 L11 Compute Node Information Consistent Check fail"/>
    <s v="3/18/2026"/>
    <x v="0"/>
    <s v="L11 Compute Node Information Consistent Check fail"/>
    <s v="GB300 L10"/>
    <x v="14"/>
    <s v="A979646X6306926"/>
    <s v="A979646X6312188"/>
    <s v="Rack"/>
    <s v="TX2-5S"/>
    <n v="90160"/>
    <s v="InTest"/>
  </r>
  <r>
    <s v="P26303228"/>
    <s v="3/18/2026 9:58:47 PM"/>
    <x v="3"/>
    <s v="SR020313266044"/>
    <s v="RK202"/>
    <s v="GB200 L11 Compute Node Information Consistent Check fail"/>
    <s v="3/18/2026"/>
    <x v="0"/>
    <s v="GB200 L11 Compute Node Information Consistent Check fail"/>
    <s v="GB300 L10"/>
    <x v="14"/>
    <s v="A979646X6215550"/>
    <s v="A979646X6308468"/>
    <s v="Rack"/>
    <s v="TX2-5S"/>
    <n v="90185"/>
    <s v="InTest"/>
  </r>
  <r>
    <s v="P26303229"/>
    <s v="3/18/2026 10:01:11 PM"/>
    <x v="3"/>
    <s v="SR020313266044"/>
    <s v="RK202"/>
    <s v="GB200 L11 Compute Node Information Consistent Check fail"/>
    <s v="3/18/2026"/>
    <x v="0"/>
    <s v="GB200 L11 Compute Node Information Consistent Check fail"/>
    <s v="GB300 L10"/>
    <x v="14"/>
    <s v="A979646X6301945"/>
    <s v="A979646X6312181"/>
    <s v="Rack"/>
    <s v="TX2-5S"/>
    <n v="90185"/>
    <s v="InTest"/>
  </r>
  <r>
    <s v="P26303231"/>
    <s v="3/18/2026 10:06:28 PM"/>
    <x v="3"/>
    <s v="SR020313265448"/>
    <s v="RK202"/>
    <s v="GB200 L11 Compute Node Information Consistent Check fail"/>
    <s v="3/18/2026"/>
    <x v="0"/>
    <s v="GB200 L11 Compute Node Information Consistent Check fail"/>
    <s v="GB300 L10"/>
    <x v="14"/>
    <s v="A979646X6215550"/>
    <s v="A979646X6308468"/>
    <s v="Rack"/>
    <s v="TX2-5S"/>
    <n v="90185"/>
    <s v="InTest"/>
  </r>
  <r>
    <s v="P26303232"/>
    <s v="3/18/2026 10:08:18 PM"/>
    <x v="3"/>
    <s v="SR020313265448"/>
    <s v="RK202"/>
    <s v="GB200 L11 Compute Node Information Consistent Check fail"/>
    <s v="3/18/2026"/>
    <x v="0"/>
    <s v="GB200 L11 Compute Node Information Consistent Check fail"/>
    <s v="GB300 L10"/>
    <x v="14"/>
    <s v="A979646X6301945"/>
    <s v="A979646X6312181"/>
    <s v="Rack"/>
    <s v="TX2-5S"/>
    <n v="90185"/>
    <s v="InTest"/>
  </r>
  <r>
    <s v="P26303234"/>
    <s v="3/18/2026 10:09:45 PM"/>
    <x v="3"/>
    <s v="SR020313265448"/>
    <s v="RK202"/>
    <s v="GB200 L11 Compute Node Information Consistent Check fail"/>
    <s v="3/18/2026"/>
    <x v="0"/>
    <s v="GB200 L11 Compute Node Information Consistent Check fail"/>
    <s v="GB300 L10"/>
    <x v="14"/>
    <s v="A979646X6307549"/>
    <s v="A979646X6312182"/>
    <s v="Rack"/>
    <s v="TX2-5S"/>
    <n v="90185"/>
    <s v="InTest"/>
  </r>
  <r>
    <s v="P26303239"/>
    <s v="3/18/2026 10:22:48 PM"/>
    <x v="3"/>
    <s v="SR020316268751"/>
    <s v="RK202"/>
    <s v="GB200 L11 Compute Node Information Consistent Check fail"/>
    <s v="3/18/2026"/>
    <x v="0"/>
    <s v="L11 Compute Node Information Consistent Check fail"/>
    <s v="GB300 L10"/>
    <x v="14"/>
    <s v="A979646X6302124"/>
    <s v="A979646X6306747"/>
    <s v="Rack"/>
    <s v="TX2-5S"/>
    <n v="90160"/>
    <s v="InTest"/>
  </r>
  <r>
    <s v="P26303243"/>
    <s v="3/18/2026 10:31:41 PM"/>
    <x v="3"/>
    <s v="SR020309261706"/>
    <s v="RK024"/>
    <s v="Cable cartridge Defect"/>
    <s v="3/18/2026"/>
    <x v="0"/>
    <s v="L11 Cable Cartridge fail (CC0)"/>
    <s v="Cable Cartridge"/>
    <x v="3"/>
    <n v="2020726351521"/>
    <n v="2020926490278"/>
    <s v="Rack"/>
    <s v="TX2-5S"/>
    <n v="90160"/>
    <s v="InTest"/>
  </r>
  <r>
    <s v="P26303245"/>
    <s v="3/18/2026 10:35:01 PM"/>
    <x v="3"/>
    <s v="SR020309261706"/>
    <s v="RK024"/>
    <s v="Cable cartridge Defect"/>
    <s v="3/18/2026"/>
    <x v="0"/>
    <s v="L11 Cable Cartridge fail (CC1)"/>
    <s v="Cable Cartridge"/>
    <x v="3"/>
    <n v="2020726351234"/>
    <n v="2020926490261"/>
    <s v="Rack"/>
    <s v="TX2-5S"/>
    <n v="90160"/>
    <s v="InTest"/>
  </r>
  <r>
    <s v="P26303248"/>
    <s v="3/18/2026 10:49:52 PM"/>
    <x v="3"/>
    <s v="SR020313264888"/>
    <s v="RK202"/>
    <s v="GB200 L11 Compute Node Information Consistent Check fail"/>
    <s v="3/18/2026"/>
    <x v="0"/>
    <s v="L11 Compute Node Information Consistent Check fail"/>
    <s v="GB300 L10"/>
    <x v="14"/>
    <s v="A979646X6303769"/>
    <s v="A979646X6312077"/>
    <s v="Rack"/>
    <s v="TX2-5S"/>
    <n v="90160"/>
    <s v="InTest"/>
  </r>
  <r>
    <s v="P26303254"/>
    <s v="3/18/2026 11:24:02 PM"/>
    <x v="3"/>
    <s v="SR020313265448"/>
    <s v="RK202"/>
    <s v="GB200 L11 Compute Node Information Consistent Check fail"/>
    <s v="3/18/2026"/>
    <x v="0"/>
    <s v="GB200 L11 Compute Node Information Consistent Check fail"/>
    <s v="GB300 L10"/>
    <x v="14"/>
    <s v="A979646X6307507"/>
    <s v="A979646X6301753"/>
    <s v="Rack"/>
    <s v="TX2-5S"/>
    <n v="90185"/>
    <s v="InTest"/>
  </r>
  <r>
    <s v="P26303280"/>
    <s v="3/19/2026 12:55:38 AM"/>
    <x v="3"/>
    <s v="SR020316268751"/>
    <s v="RK202"/>
    <s v="GB200 L11 Compute Node Information Consistent Check fail"/>
    <s v="3/19/2026"/>
    <x v="0"/>
    <s v="L11 Compute Node Information Consistent Check fail"/>
    <s v="GB300 L10"/>
    <x v="14"/>
    <s v="A979646X6306747"/>
    <s v="A979646X6302474"/>
    <s v="Rack"/>
    <s v="TX2-5S"/>
    <n v="90160"/>
    <s v="InTest"/>
  </r>
  <r>
    <s v="P26303294"/>
    <s v="3/19/2026 1:30:33 AM"/>
    <x v="3"/>
    <s v="SR020311261007"/>
    <s v="RK202"/>
    <s v="GB200 L11 Compute Node Information Consistent Check fail"/>
    <s v="3/19/2026"/>
    <x v="0"/>
    <s v="L11 Compute Node Information Consistent Check fail"/>
    <s v="GB300 L10"/>
    <x v="14"/>
    <s v="A979646X6302676"/>
    <s v="A979646X6301961"/>
    <s v="Rack"/>
    <s v="TX2-5S"/>
    <n v="90160"/>
    <s v="InTest"/>
  </r>
  <r>
    <s v="P26303342"/>
    <s v="3/19/2026 9:30:33 AM"/>
    <x v="3"/>
    <s v="SR020313265448"/>
    <s v="RK205"/>
    <s v="GB200 L11 Compute Tray Nvidia Field Diag Test fail"/>
    <s v="3/19/2026"/>
    <x v="0"/>
    <s v="only 0 Fabric state shows OK, expected 4"/>
    <s v="GB300 L10"/>
    <x v="14"/>
    <s v="A979646X6303189"/>
    <s v="A979646X6311349"/>
    <s v="Rack"/>
    <s v="TX2-5S"/>
    <n v="1237"/>
    <s v="InTest"/>
  </r>
  <r>
    <s v="P26303343"/>
    <s v="3/19/2026 9:33:31 AM"/>
    <x v="3"/>
    <s v="SR020313265448"/>
    <s v="RK205"/>
    <s v="GB200 L11 Compute Tray Nvidia Field Diag Test fail"/>
    <s v="3/19/2026"/>
    <x v="0"/>
    <s v="NVRM invalid state or config"/>
    <s v="GB300 L10"/>
    <x v="14"/>
    <s v="A979646X6312182"/>
    <s v="A979646X6304777"/>
    <s v="Rack"/>
    <s v="TX2-5S"/>
    <n v="1237"/>
    <s v="InTest"/>
  </r>
  <r>
    <s v="P26303377"/>
    <s v="3/19/2026 1:53:07 PM"/>
    <x v="3"/>
    <s v="SR020313265448"/>
    <s v="RK135"/>
    <s v="Firmware flash fail to getting IPMI Sensors as missing during Bring Up"/>
    <s v="3/19/2026"/>
    <x v="0"/>
    <s v="Firmware flash fail to getting IPMI Sensors as missing during Bring Up _已更換_PM1265"/>
    <s v="GB300 L10"/>
    <x v="14"/>
    <s v="A979646X6304777"/>
    <s v="A979646X6311313"/>
    <s v="Rack"/>
    <s v="TX2-5S"/>
    <n v="1237"/>
    <s v="InTest"/>
  </r>
  <r>
    <s v="P26303412"/>
    <s v="3/19/2026 4:45:43 PM"/>
    <x v="3"/>
    <s v="SR020313265448"/>
    <s v="RK202"/>
    <s v="GB200 L11 Compute Node Information Consistent Check fail"/>
    <s v="3/19/2026"/>
    <x v="0"/>
    <s v="L11 Compute Node Information Consistent Check fail"/>
    <s v="GB300 L10"/>
    <x v="14"/>
    <s v="A979646X6302524"/>
    <s v="A979646X6311294"/>
    <s v="Rack"/>
    <s v="TX2-5S"/>
    <n v="90131"/>
    <s v="InTest"/>
  </r>
  <r>
    <s v="P26303434"/>
    <s v="3/19/2026 8:13:09 PM"/>
    <x v="3"/>
    <s v="SR020316269585"/>
    <s v="RK024"/>
    <s v="Cable cartridge Defect"/>
    <s v="3/19/2026"/>
    <x v="0"/>
    <s v="L11 Cable cartridge Defect (BENT PIN SLOT 10)"/>
    <s v="Cable Cartridge"/>
    <x v="3"/>
    <n v="2020926490645"/>
    <n v="2020826491501"/>
    <s v="Rack"/>
    <s v="TX2-5S"/>
    <n v="90160"/>
    <s v="InTest"/>
  </r>
  <r>
    <s v="P26303448"/>
    <s v="3/19/2026 9:46:47 PM"/>
    <x v="3"/>
    <s v="SR020316266804"/>
    <s v="PS001"/>
    <s v="DOA - Unable to power on (無法開機)"/>
    <s v="3/19/2026"/>
    <x v="0"/>
    <s v="POWER SUPPLY - Unable to power onSR020316266804"/>
    <s v="_x0009_5.5kW PSU GB300"/>
    <x v="16"/>
    <s v="6PL6Z01X1551HFE"/>
    <s v="6PL6Z01X1551DAW"/>
    <s v="Rack"/>
    <s v="TX2-5S"/>
    <n v="90066"/>
    <s v="InTest"/>
  </r>
  <r>
    <s v="P26303452"/>
    <s v="3/19/2026 10:26:59 PM"/>
    <x v="3"/>
    <s v="SR020316269965"/>
    <s v="RK202"/>
    <s v="GB200 L11 Compute Node Information Consistent Check fail"/>
    <s v="3/19/2026"/>
    <x v="0"/>
    <s v="L11 Compute Node Information Consistent Check fail"/>
    <s v="GB300 L10"/>
    <x v="14"/>
    <s v="A979646X6303771"/>
    <s v="A979646X6313575"/>
    <s v="Rack"/>
    <s v="TX2-5S"/>
    <n v="90160"/>
    <s v="InTest"/>
  </r>
  <r>
    <s v="P26303460"/>
    <s v="3/19/2026 10:50:57 PM"/>
    <x v="3"/>
    <s v="SR020316269585"/>
    <s v="RK202"/>
    <s v="GB200 L11 Compute Node Information Consistent Check fail"/>
    <s v="3/19/2026"/>
    <x v="0"/>
    <s v="L11 Compute Node Information Consistent Check fail"/>
    <s v="GB300 L10"/>
    <x v="14"/>
    <s v="A979646X6311292"/>
    <s v="A979646X6312073"/>
    <s v="Rack"/>
    <s v="TX2-5S"/>
    <n v="90160"/>
    <s v="InTest"/>
  </r>
  <r>
    <s v="P26303463"/>
    <s v="3/19/2026 11:01:32 PM"/>
    <x v="3"/>
    <s v="SR020316269585"/>
    <s v="RK202"/>
    <s v="GB200 L11 Compute Node Information Consistent Check fail"/>
    <s v="3/19/2026"/>
    <x v="0"/>
    <s v="L11 Compute Node Information Consistent Check fail"/>
    <s v="GB300 L10"/>
    <x v="14"/>
    <s v="A979646X6301961"/>
    <s v="A979646X6302548"/>
    <s v="Rack"/>
    <s v="TX2-5S"/>
    <n v="90160"/>
    <s v="InTest"/>
  </r>
  <r>
    <s v="P26303498"/>
    <s v="3/20/2026 6:57:11 AM"/>
    <x v="3"/>
    <s v="SR020316267122"/>
    <s v="RK212"/>
    <s v="GB200 L11 GPU Missing"/>
    <s v="3/20/2026"/>
    <x v="0"/>
    <s v="L11 GPU Missing"/>
    <s v="GB300 L10"/>
    <x v="14"/>
    <s v="A979646X6217686"/>
    <s v="A979646X6313464"/>
    <s v="Rack"/>
    <s v="TX2-5S"/>
    <n v="90160"/>
    <s v="InTest"/>
  </r>
  <r>
    <s v="P26303500"/>
    <s v="3/21/2026 7:14:55 AM"/>
    <x v="3"/>
    <s v="SR020316266748"/>
    <s v="RK024"/>
    <s v="Cable cartridge Defect"/>
    <s v="3/20/2026"/>
    <x v="1"/>
    <s v="switch tray Rack0 SW4 acp35 CC2 C8 Lane 8, link none,0, 0"/>
    <s v="Cable Cartridge"/>
    <x v="3"/>
    <n v="2020826491500"/>
    <m/>
    <s v="Rack"/>
    <s v="TX2-5S"/>
    <n v="4369"/>
    <s v="InTest"/>
  </r>
  <r>
    <s v="P26303501"/>
    <s v="3/20/2026 3:57:36 PM"/>
    <x v="3"/>
    <s v="SR020316267930"/>
    <s v="RK024"/>
    <s v="Cable cartridge Defect"/>
    <s v="3/20/2026"/>
    <x v="0"/>
    <s v="BENT PIN SW0 SLOT 9"/>
    <s v="Cable Cartridge"/>
    <x v="3"/>
    <n v="2020926490653"/>
    <n v="2020726351523"/>
    <s v="Rack"/>
    <s v="TX2-5S"/>
    <n v="4369"/>
    <s v="InTest"/>
  </r>
  <r>
    <s v="P26303503"/>
    <s v="3/20/2026 7:19:19 AM"/>
    <x v="3"/>
    <s v="SR020316269585"/>
    <s v="RK024"/>
    <s v="Cable cartridge Defect"/>
    <s v="3/20/2026"/>
    <x v="0"/>
    <s v="Cable cartridge Defect (BENT PIN SLOT 10) SR020316269585"/>
    <s v="Cable Cartridge"/>
    <x v="3"/>
    <n v="2020926490645"/>
    <n v="2020826491501"/>
    <s v="Rack"/>
    <s v="TX2-5S"/>
    <n v="90160"/>
    <s v="InTest"/>
  </r>
  <r>
    <s v="P26303509"/>
    <s v="3/20/2026 11:55:04 AM"/>
    <x v="3"/>
    <s v="SR020316269585"/>
    <s v="RK204"/>
    <s v="GB200 L11 Switch Tray Nvidia Field Diag Test fail"/>
    <s v="3/20/2026"/>
    <x v="0"/>
    <s v="大量link_none,此nvl switch 已在多櫃驗證皆有相同問題 / RACK:SR020311261007,SR020316269361,SR020316269585"/>
    <s v="NVSwitch"/>
    <x v="2"/>
    <s v="MT2609605368"/>
    <s v="MT2543600X0R"/>
    <s v="Rack"/>
    <s v="TX2-5S"/>
    <n v="1519"/>
    <s v="InTest"/>
  </r>
  <r>
    <s v="P26303626"/>
    <s v="3/20/2026 5:47:08 PM"/>
    <x v="3"/>
    <s v="SR020313266044"/>
    <s v="RK214"/>
    <s v="GB200 L11 Unable to power on"/>
    <s v="3/20/2026"/>
    <x v="0"/>
    <s v="GB200 L11 Unable to power on"/>
    <s v="GB300 L10"/>
    <x v="14"/>
    <s v="A979646X6307500"/>
    <s v="A979646X6313805"/>
    <s v="Rack"/>
    <s v="TX2-5S"/>
    <n v="90185"/>
    <s v="InTest"/>
  </r>
  <r>
    <s v="P26303628"/>
    <s v="3/20/2026 5:53:46 PM"/>
    <x v="3"/>
    <s v="SR020311265314"/>
    <s v="RK215"/>
    <s v="GB200 L11 Auto Reboot"/>
    <s v="3/20/2026"/>
    <x v="0"/>
    <s v="GB200 L11 Auto Reboot on Compute Field Diag Test"/>
    <s v="GB300 L10"/>
    <x v="14"/>
    <s v="A979646X6312103"/>
    <s v="A979646X6311397"/>
    <s v="Rack"/>
    <s v="TX2-5S"/>
    <n v="90185"/>
    <s v="InTest"/>
  </r>
  <r>
    <s v="P26303636"/>
    <s v="3/20/2026 6:29:40 PM"/>
    <x v="3"/>
    <s v="SR020313265448"/>
    <s v="RK202"/>
    <s v="GB200 L11 Compute Node Information Consistent Check fail"/>
    <s v="3/20/2026"/>
    <x v="0"/>
    <s v="GB200 L11 Compute Node Information Consistent Check fail"/>
    <s v="GB300 L10"/>
    <x v="14"/>
    <s v="A979646X6217366"/>
    <s v="A979646X6313805"/>
    <s v="Rack"/>
    <s v="TX2-5S"/>
    <n v="90185"/>
    <s v="InTest"/>
  </r>
  <r>
    <s v="P26303655"/>
    <s v="3/20/2026 9:57:32 PM"/>
    <x v="3"/>
    <s v="SR020316266156"/>
    <s v="RK202"/>
    <s v="GB200 L11 Compute Node Information Consistent Check fail"/>
    <s v="3/20/2026"/>
    <x v="0"/>
    <s v="L11 Compute Node Information Consistent Check fail"/>
    <s v="GB300 L10"/>
    <x v="14"/>
    <s v="A979646X6217070"/>
    <s v="A979646X6313812"/>
    <s v="Rack"/>
    <s v="TX2-5S"/>
    <n v="90160"/>
    <s v="InTest"/>
  </r>
  <r>
    <s v="P26303669"/>
    <s v="3/20/2026 10:06:53 PM"/>
    <x v="3"/>
    <s v="SR020316266464"/>
    <s v="RK202"/>
    <s v="GB200 L11 Compute Node Information Consistent Check fail"/>
    <s v="3/20/2026"/>
    <x v="0"/>
    <s v="L11 Compute Node Information Consistent Check fail"/>
    <s v="GB300 L10"/>
    <x v="14"/>
    <s v="A979646X6300486"/>
    <s v="A979646X6313813"/>
    <s v="Rack"/>
    <s v="TX2-5S"/>
    <n v="90160"/>
    <s v="InTest"/>
  </r>
  <r>
    <s v="P26303673"/>
    <s v="3/20/2026 10:18:07 PM"/>
    <x v="3"/>
    <s v="SR020316266464"/>
    <s v="RK202"/>
    <s v="GB200 L11 Compute Node Information Consistent Check fail"/>
    <s v="3/20/2026"/>
    <x v="0"/>
    <s v="L11 Compute Node Information Consistent Check fail"/>
    <s v="GB300 L10"/>
    <x v="14"/>
    <s v="A979646X6303104"/>
    <s v="A979646X6313081"/>
    <s v="Rack"/>
    <s v="TX2-5S"/>
    <n v="90160"/>
    <s v="InTest"/>
  </r>
  <r>
    <s v="P26303676"/>
    <s v="3/20/2026 10:31:09 PM"/>
    <x v="3"/>
    <s v="SR020316266464"/>
    <s v="RK202"/>
    <s v="GB200 L11 Compute Node Information Consistent Check fail"/>
    <s v="3/20/2026"/>
    <x v="0"/>
    <s v="L11 Compute Node Information Consistent Check fail"/>
    <s v="GB300 L10"/>
    <x v="14"/>
    <s v="A979646X6304893"/>
    <s v="A979646X6313073"/>
    <s v="Rack"/>
    <s v="TX2-5S"/>
    <n v="90160"/>
    <s v="InTest"/>
  </r>
  <r>
    <s v="P26303680"/>
    <s v="3/20/2026 10:36:19 PM"/>
    <x v="3"/>
    <s v="SR020316269361"/>
    <s v="RK202"/>
    <s v="GB200 L11 Compute Node Information Consistent Check fail"/>
    <s v="3/20/2026"/>
    <x v="0"/>
    <s v="L11 Compute Node Information Consistent Check fail"/>
    <s v="GB300 L10"/>
    <x v="14"/>
    <s v="A979646X6311340"/>
    <s v="A979646X6313807"/>
    <s v="Rack"/>
    <s v="TX2-5S"/>
    <n v="90160"/>
    <s v="InTest"/>
  </r>
  <r>
    <s v="P26303683"/>
    <s v="3/20/2026 10:48:14 PM"/>
    <x v="3"/>
    <s v="SR020316269361"/>
    <s v="RK202"/>
    <s v="GB200 L11 Compute Node Information Consistent Check fail"/>
    <s v="3/20/2026"/>
    <x v="0"/>
    <s v="L11 Compute Node Information Consistent Check fail"/>
    <s v="GB300 L10"/>
    <x v="14"/>
    <s v="A979646X6302124"/>
    <s v="A979646X6311340"/>
    <s v="Rack"/>
    <s v="TX2-5S"/>
    <n v="90160"/>
    <s v="InTest"/>
  </r>
  <r>
    <s v="P26303686"/>
    <s v="3/20/2026 11:08:31 PM"/>
    <x v="3"/>
    <s v="SR020316267930"/>
    <s v="RK202"/>
    <s v="GB200 L11 Compute Node Information Consistent Check fail"/>
    <s v="3/20/2026"/>
    <x v="0"/>
    <s v="L11 Compute Node Information Consistent Check fail"/>
    <s v="GB300 L10"/>
    <x v="14"/>
    <s v="A979646X6301854"/>
    <s v="A979646X6313811"/>
    <s v="Rack"/>
    <s v="TX2-5S"/>
    <n v="90160"/>
    <s v="InTest"/>
  </r>
  <r>
    <s v="P26303691"/>
    <s v="3/21/2026 12:17:45 AM"/>
    <x v="3"/>
    <s v="SR020316261333"/>
    <s v="RK202"/>
    <s v="GB200 L11 Compute Node Information Consistent Check fail"/>
    <s v="3/21/2026"/>
    <x v="0"/>
    <s v="L11 Compute Node Information Consistent Check fail"/>
    <s v="GB300 L10"/>
    <x v="14"/>
    <s v="A979646X6311380"/>
    <s v="A979646X6307516"/>
    <s v="Rack"/>
    <s v="TX2-5S"/>
    <n v="90160"/>
    <s v="InTest"/>
  </r>
  <r>
    <s v="P26303696"/>
    <s v="3/21/2026 12:32:07 AM"/>
    <x v="3"/>
    <s v="SR020316262160"/>
    <s v="RK202"/>
    <s v="GB200 L11 Compute Node Information Consistent Check fail"/>
    <s v="3/21/2026"/>
    <x v="0"/>
    <s v="L11 Compute Node Information Consistent Check fail"/>
    <s v="GB300 L10"/>
    <x v="14"/>
    <s v="A979646X6305729"/>
    <s v="A979646X6313088"/>
    <s v="Rack"/>
    <s v="TX2-5S"/>
    <n v="90160"/>
    <s v="InTest"/>
  </r>
  <r>
    <s v="P26303699"/>
    <s v="3/21/2026 12:43:52 AM"/>
    <x v="3"/>
    <s v="SR020316266715"/>
    <s v="RK202"/>
    <s v="GB200 L11 Compute Node Information Consistent Check fail"/>
    <s v="3/21/2026"/>
    <x v="0"/>
    <s v="L11 Compute Node Information Consistent Check fail"/>
    <s v="GB300 L10"/>
    <x v="14"/>
    <s v="A979646X6313042"/>
    <s v="A979646X6313037"/>
    <s v="Rack"/>
    <s v="TX2-5S"/>
    <n v="90160"/>
    <s v="InTest"/>
  </r>
  <r>
    <s v="P26303703"/>
    <s v="3/21/2026 12:53:52 AM"/>
    <x v="3"/>
    <s v="SR020316267930"/>
    <s v="RK202"/>
    <s v="GB200 L11 Compute Node Information Consistent Check fail"/>
    <s v="3/21/2026"/>
    <x v="0"/>
    <s v="L11 Compute Node Information Consistent Check fail"/>
    <s v="GB300 L10"/>
    <x v="14"/>
    <s v="A979646X6313811"/>
    <s v="A979646X6313472"/>
    <s v="Rack"/>
    <s v="TX2-5S"/>
    <n v="90160"/>
    <s v="InTest"/>
  </r>
  <r>
    <s v="P26303721"/>
    <s v="3/21/2026 5:13:54 AM"/>
    <x v="3"/>
    <s v="SR020316266464"/>
    <s v="RK205"/>
    <s v="GB200 L11 Compute Tray Nvidia Field Diag Test fail"/>
    <s v="3/21/2026"/>
    <x v="0"/>
    <s v="L11 Compute Tray Nvidia Field Diag Test fail SR020316266464"/>
    <s v="GB300 L10"/>
    <x v="14"/>
    <s v="A979646X6303189"/>
    <s v="A979646X6313060"/>
    <s v="Rack"/>
    <s v="TX2-5S"/>
    <n v="90160"/>
    <s v="InTest"/>
  </r>
  <r>
    <s v="P26303723"/>
    <s v="3/21/2026 5:20:50 AM"/>
    <x v="3"/>
    <s v="SR020316266464"/>
    <s v="RK217"/>
    <s v="GB200 L11 Leakage sensor issue"/>
    <s v="3/21/2026"/>
    <x v="0"/>
    <s v="L11 Leakage sensor issue"/>
    <s v="GB300 L10"/>
    <x v="14"/>
    <s v="A979646X6311322"/>
    <s v="A979646X6313059"/>
    <s v="Rack"/>
    <s v="TX2-5S"/>
    <n v="90160"/>
    <s v="InTest"/>
  </r>
  <r>
    <s v="P26303725"/>
    <s v="3/21/2026 5:27:13 AM"/>
    <x v="3"/>
    <s v="SR020316266464"/>
    <s v="RK214"/>
    <s v="GB200 L11 Unable to power on"/>
    <s v="3/21/2026"/>
    <x v="0"/>
    <s v="L11 Unable to power on"/>
    <s v="GB300 L10"/>
    <x v="14"/>
    <s v="A979646X6313111"/>
    <s v="A979646X6313057"/>
    <s v="Rack"/>
    <s v="TX2-5S"/>
    <n v="90160"/>
    <s v="InTest"/>
  </r>
  <r>
    <s v="P26303727"/>
    <s v="3/21/2026 5:56:11 AM"/>
    <x v="3"/>
    <s v="SR020316265892"/>
    <s v="RK214"/>
    <s v="GB200 L11 Unable to power on"/>
    <s v="3/21/2026"/>
    <x v="0"/>
    <s v="L11 Unable to power on"/>
    <s v="GB300 L10"/>
    <x v="14"/>
    <s v="A979646X6302285"/>
    <s v="A979646X6314586"/>
    <s v="Rack"/>
    <s v="TX2-5S"/>
    <n v="90160"/>
    <s v="InTest"/>
  </r>
  <r>
    <s v="P26303825"/>
    <s v="3/21/2026 5:39:12 PM"/>
    <x v="3"/>
    <s v="SR020316265242"/>
    <s v="RK022"/>
    <s v="Power Shelf Defective"/>
    <s v="3/21/2026"/>
    <x v="0"/>
    <s v="L11 Power Shelf Defective (SWITCHING POWER SUPPLY RED LIGHT TURNING ON)"/>
    <s v="_x0009_5.5kW PSU GB300"/>
    <x v="16"/>
    <s v="6PL6Z01X1551E97"/>
    <s v="6PL6Z04X15525ZE"/>
    <s v="Rack"/>
    <s v="TX2-5S"/>
    <n v="90160"/>
    <s v="InTest"/>
  </r>
  <r>
    <s v="P26303828"/>
    <s v="3/21/2026 5:48:10 PM"/>
    <x v="3"/>
    <s v="SR020316264621"/>
    <s v="RK214"/>
    <s v="GB200 L11 Unable to power on"/>
    <s v="3/21/2026"/>
    <x v="0"/>
    <s v="GB200 L11 Unable to power on"/>
    <s v="GB300 L10"/>
    <x v="14"/>
    <s v="A979646X6306926"/>
    <s v="A979646X6307513"/>
    <s v="Rack"/>
    <s v="TX2-5S"/>
    <n v="90185"/>
    <s v="InTest"/>
  </r>
  <r>
    <s v="P26303840"/>
    <s v="3/21/2026 6:17:11 PM"/>
    <x v="3"/>
    <s v="SR020316264621"/>
    <s v="RK109"/>
    <s v="GB200 Power cycling fail"/>
    <s v="3/21/2026"/>
    <x v="0"/>
    <s v="auto Shutdown"/>
    <s v="GB300 L10"/>
    <x v="14"/>
    <s v="A979646X6306642"/>
    <s v="A979646X6307494"/>
    <s v="Rack"/>
    <s v="TX2-5S"/>
    <n v="90185"/>
    <s v="InTest"/>
  </r>
  <r>
    <s v="P26303863"/>
    <s v="3/21/2026 7:57:18 PM"/>
    <x v="3"/>
    <s v="SR020311267149"/>
    <s v="RK205"/>
    <s v="GB200 L11 Compute Tray Nvidia Field Diag Test fail"/>
    <s v="3/21/2026"/>
    <x v="0"/>
    <s v="GB200 L11 Compute Tray Nvidia Field Diag Test fail"/>
    <s v="GB300 L10"/>
    <x v="14"/>
    <s v="A979646X6303602"/>
    <s v="A979646X6305652"/>
    <s v="Rack"/>
    <s v="TX2-5S"/>
    <n v="90185"/>
    <s v="InTest"/>
  </r>
  <r>
    <s v="P26303869"/>
    <s v="3/21/2026 8:25:08 PM"/>
    <x v="3"/>
    <s v="SR020316266156"/>
    <s v="RK022"/>
    <s v="Power Shelf Defective"/>
    <s v="3/21/2026"/>
    <x v="0"/>
    <s v="Power Shelf Defective(POWER SUPPLY)"/>
    <s v="_x0009_5.5kW PSU GB300"/>
    <x v="16"/>
    <s v="6PL6Z01X1551GEE"/>
    <s v="6PL6Z04X1552984"/>
    <s v="Rack"/>
    <s v="TX2-5S"/>
    <n v="90160"/>
    <s v="InTest"/>
  </r>
  <r>
    <s v="P26303870"/>
    <s v="3/21/2026 8:29:02 PM"/>
    <x v="3"/>
    <s v="SR020316265242"/>
    <s v="RK202"/>
    <s v="GB200 L11 Compute Node Information Consistent Check fail"/>
    <s v="3/21/2026"/>
    <x v="0"/>
    <s v="L11 Compute Node Information Consistent Check fail"/>
    <s v="GB300 L10"/>
    <x v="14"/>
    <s v="A979646X6305518"/>
    <s v="A979646X6307512"/>
    <s v="Rack"/>
    <s v="TX2-5S"/>
    <n v="90160"/>
    <s v="InTest"/>
  </r>
  <r>
    <s v="P26303876"/>
    <s v="3/21/2026 9:06:25 PM"/>
    <x v="3"/>
    <s v="SR020316266464"/>
    <s v="RK202"/>
    <s v="GB200 L11 Compute Node Information Consistent Check fail"/>
    <s v="3/21/2026"/>
    <x v="0"/>
    <s v="L11 Compute Node Information Consistent Check fail"/>
    <s v="GB300 L10"/>
    <x v="14"/>
    <s v="A979646X6305186"/>
    <s v="A979646X6302425"/>
    <s v="Rack"/>
    <s v="TX2-5S"/>
    <n v="90160"/>
    <s v="InTest"/>
  </r>
  <r>
    <s v="P26303878"/>
    <s v="3/21/2026 9:11:58 PM"/>
    <x v="3"/>
    <s v="SR020316266464"/>
    <s v="RK202"/>
    <s v="GB200 L11 Compute Node Information Consistent Check fail"/>
    <s v="3/21/2026"/>
    <x v="0"/>
    <s v="L11 Compute Node Information Consistent Check fail"/>
    <s v="GB300 L10"/>
    <x v="14"/>
    <s v="A979646X6313500"/>
    <s v="A979646X6313005"/>
    <s v="Rack"/>
    <s v="TX2-5S"/>
    <n v="90160"/>
    <s v="InTest"/>
  </r>
  <r>
    <s v="P26303880"/>
    <s v="3/21/2026 9:19:33 PM"/>
    <x v="3"/>
    <s v="SR020316264759"/>
    <s v="RK202"/>
    <s v="GB200 L11 Compute Node Information Consistent Check fail"/>
    <s v="3/21/2026"/>
    <x v="0"/>
    <s v="L11 Compute Node Information Consistent Check fail"/>
    <s v="GB300 L10"/>
    <x v="14"/>
    <s v="A979646X6302524"/>
    <s v="A979646X6312153"/>
    <s v="Rack"/>
    <s v="TX2-5S"/>
    <n v="90160"/>
    <s v="InTest"/>
  </r>
  <r>
    <s v="P26303889"/>
    <s v="3/21/2026 10:20:07 PM"/>
    <x v="3"/>
    <s v="SR020316265634"/>
    <s v="RK202"/>
    <s v="GB200 L11 Compute Node Information Consistent Check fail"/>
    <s v="3/21/2026"/>
    <x v="0"/>
    <s v="L11 Compute Node Information Consistent Check fail"/>
    <s v="GB300 L10"/>
    <x v="14"/>
    <s v="A979646X6217848"/>
    <s v="A979646X6302453"/>
    <s v="Rack"/>
    <s v="TX2-5S"/>
    <n v="90160"/>
    <s v="InTest"/>
  </r>
  <r>
    <s v="P26303928"/>
    <s v="3/22/2026 5:01:17 AM"/>
    <x v="3"/>
    <s v="SR020316266720"/>
    <s v="RK205"/>
    <s v="GB200 L11 Compute Tray Nvidia Field Diag Test fail"/>
    <s v="3/22/2026"/>
    <x v="0"/>
    <s v="L11 Compute Tray Nvidia Field Diag Test fail"/>
    <s v="GB300 L10"/>
    <x v="14"/>
    <s v="A979646X6312092"/>
    <s v="A979646X6305557"/>
    <s v="Rack"/>
    <s v="TX2-5S"/>
    <n v="90160"/>
    <s v="InTest"/>
  </r>
  <r>
    <s v="P26303930"/>
    <s v="3/22/2026 5:08:50 AM"/>
    <x v="3"/>
    <s v="SR020313266146"/>
    <s v="RK206"/>
    <s v="GB200 L11 Single Node NCCL Test fail"/>
    <s v="3/22/2026"/>
    <x v="0"/>
    <s v="L11 Single Node NCCL Test fail"/>
    <s v="GB300 L10"/>
    <x v="14"/>
    <s v="A979646X6301718"/>
    <s v="A979646X6313045"/>
    <s v="Rack"/>
    <s v="TX2-5S"/>
    <n v="90160"/>
    <s v="InTest"/>
  </r>
  <r>
    <s v="P26303976"/>
    <s v="3/22/2026 3:26:05 PM"/>
    <x v="3"/>
    <s v="SR020316265634"/>
    <s v="RK202"/>
    <s v="GB200 L11 Compute Node Information Consistent Check fail"/>
    <s v="3/22/2026"/>
    <x v="0"/>
    <s v="GB200 L11 Compute Node Information Consistent Check fail"/>
    <s v="GB300 L10"/>
    <x v="14"/>
    <s v="A979646X6313806"/>
    <s v="A979646X6312071"/>
    <s v="Rack"/>
    <s v="TX2-5S"/>
    <n v="90185"/>
    <s v="InTest"/>
  </r>
  <r>
    <s v="P26303982"/>
    <s v="3/22/2026 6:37:15 PM"/>
    <x v="3"/>
    <s v="SR020316261555"/>
    <s v="RK024"/>
    <s v="Cable cartridge Defect"/>
    <s v="3/22/2026"/>
    <x v="0"/>
    <s v="Cable cartridge Defect _ Rack0_SW3_acp45 CC0_C11_Lane_6 link_none"/>
    <s v="Cable Cartridge"/>
    <x v="3"/>
    <n v="2020826490615"/>
    <n v="2020826491502"/>
    <s v="Rack"/>
    <s v="TX2-5S"/>
    <n v="90185"/>
    <s v="InTest"/>
  </r>
  <r>
    <s v="P26303985"/>
    <s v="3/22/2026 9:17:36 PM"/>
    <x v="3"/>
    <s v="SR020316261555"/>
    <s v="RK023"/>
    <s v="NVLINK Switch Functional Issue"/>
    <s v="3/22/2026"/>
    <x v="0"/>
    <s v="NVLINK Switch Functional Issue connector 1 no function light"/>
    <s v="NVSwitch"/>
    <x v="2"/>
    <s v="MT2609605L0F"/>
    <s v="MT2610600ADT"/>
    <s v="Rack"/>
    <s v="TX2-5S"/>
    <n v="3908"/>
    <s v="InTest"/>
  </r>
  <r>
    <s v="P26303986"/>
    <s v="3/22/2026 9:48:21 PM"/>
    <x v="3"/>
    <s v="SR020316265060"/>
    <s v="RK202"/>
    <s v="GB200 L11 Compute Node Information Consistent Check fail"/>
    <s v="3/22/2026"/>
    <x v="0"/>
    <s v="L11 Compute Node Information Consistent Check fail"/>
    <s v="GB300 L10"/>
    <x v="14"/>
    <s v="A979646X6304891"/>
    <s v="A979646X6215313"/>
    <s v="Rack"/>
    <s v="TX2-5S"/>
    <n v="3908"/>
    <s v="InTest"/>
  </r>
  <r>
    <s v="P26303988"/>
    <s v="3/22/2026 9:59:38 PM"/>
    <x v="3"/>
    <s v="SR020313266146"/>
    <s v="RK202"/>
    <s v="GB200 L11 Compute Node Information Consistent Check fail"/>
    <s v="3/22/2026"/>
    <x v="0"/>
    <s v="L11 Compute Node Information Consistent Check fail"/>
    <s v="GB300 L10"/>
    <x v="14"/>
    <s v="A979646X6302570"/>
    <s v="A979646X6316999"/>
    <s v="Rack"/>
    <s v="TX2-5S"/>
    <n v="90160"/>
    <s v="InTest"/>
  </r>
  <r>
    <s v="P26303990"/>
    <s v="3/22/2026 10:08:41 PM"/>
    <x v="3"/>
    <s v="SR020316265634"/>
    <s v="RK202"/>
    <s v="GB200 L11 Compute Node Information Consistent Check fail"/>
    <s v="3/22/2026"/>
    <x v="0"/>
    <s v="L11 Compute Node Information Consistent Check fail"/>
    <s v="GB300 L10"/>
    <x v="14"/>
    <s v="A979646X6313806"/>
    <s v="A979646X6312071"/>
    <s v="Rack"/>
    <s v="TX2-5S"/>
    <n v="90160"/>
    <s v="InTest"/>
  </r>
  <r>
    <s v="P26303992"/>
    <s v="3/22/2026 10:21:58 PM"/>
    <x v="3"/>
    <s v="SR020316264759"/>
    <s v="RK114"/>
    <s v="GB200 M.2 / E1.S Check fail"/>
    <s v="3/22/2026"/>
    <x v="0"/>
    <s v="Missing PCIE and HDD Micron"/>
    <s v="GB300 L10"/>
    <x v="14"/>
    <s v="A979646X6300831"/>
    <s v="A979646X6316978"/>
    <s v="Rack"/>
    <s v="TX2-5S"/>
    <n v="90131"/>
    <s v="InTest"/>
  </r>
  <r>
    <s v="P26303994"/>
    <s v="3/22/2026 10:23:21 PM"/>
    <x v="3"/>
    <s v="SR020316266720"/>
    <s v="RK202"/>
    <s v="GB200 L11 Compute Node Information Consistent Check fail"/>
    <s v="3/22/2026"/>
    <x v="0"/>
    <s v="L11 Compute Node Information Consistent Check fail"/>
    <s v="GB300 L10"/>
    <x v="14"/>
    <s v="A979646X6312148"/>
    <s v="A979646X6316554"/>
    <s v="Rack"/>
    <s v="TX2-5S"/>
    <n v="90160"/>
    <s v="InTest"/>
  </r>
  <r>
    <s v="P26304014"/>
    <s v="3/23/2026 5:04:05 AM"/>
    <x v="3"/>
    <s v="SR020316264373"/>
    <s v="RK205"/>
    <s v="GB200 L11 Compute Tray Nvidia Field Diag Test fail"/>
    <s v="3/23/2026"/>
    <x v="0"/>
    <s v="L11 Compute Tray Nvidia Field Diag Test fail"/>
    <s v="GB300 L10"/>
    <x v="14"/>
    <s v="A979646X6316968"/>
    <s v="A979646X6314941"/>
    <s v="Rack"/>
    <s v="TX2-5S"/>
    <n v="90160"/>
    <s v="InTest"/>
  </r>
  <r>
    <s v="P26304016"/>
    <s v="3/23/2026 5:09:26 AM"/>
    <x v="3"/>
    <s v="SR020316262559"/>
    <s v="RK216"/>
    <s v="GB200 L11 Cable Cartridge Nvidia FD Test fail"/>
    <s v="3/23/2026"/>
    <x v="0"/>
    <s v="L11 Cable Cartridge Nvidia FD Test fail"/>
    <s v="GB300 L10"/>
    <x v="14"/>
    <s v="A979646X6316970"/>
    <s v="A979646X6314968"/>
    <s v="Rack"/>
    <s v="TX2-5S"/>
    <n v="90160"/>
    <s v="InTest"/>
  </r>
  <r>
    <s v="P26304019"/>
    <s v="3/23/2026 5:16:06 AM"/>
    <x v="3"/>
    <s v="SR020316269361"/>
    <s v="RK214"/>
    <s v="GB200 L11 Unable to power on"/>
    <s v="3/23/2026"/>
    <x v="0"/>
    <s v="L11 Unable to power on"/>
    <s v="GB300 L10"/>
    <x v="14"/>
    <s v="A979646X6306647"/>
    <s v="A979646X6314950"/>
    <s v="Rack"/>
    <s v="TX2-5S"/>
    <n v="90160"/>
    <s v="InTest"/>
  </r>
  <r>
    <s v="P26304105"/>
    <s v="3/23/2026 5:14:49 PM"/>
    <x v="3"/>
    <s v="SR020316263918"/>
    <s v="RK022"/>
    <s v="Power Shelf Defective"/>
    <s v="3/23/2026"/>
    <x v="0"/>
    <s v="Power Shelf PMB Defective"/>
    <s v="Power Shelf Control Module"/>
    <x v="15"/>
    <s v="614MP1RBX03X16051Y9"/>
    <s v="614MP1RBX03X15401HC"/>
    <s v="Rack"/>
    <s v="TX2-5S"/>
    <n v="1237"/>
    <s v="InTest"/>
  </r>
  <r>
    <s v="P26304111"/>
    <s v="3/23/2026 2:57:42 PM"/>
    <x v="3"/>
    <s v="SR020309261706"/>
    <s v="RK023"/>
    <s v="NVLINK Switch Functional Issue"/>
    <s v="3/23/2026"/>
    <x v="0"/>
    <s v="acp130 port沒有流量"/>
    <s v="NVSwitch"/>
    <x v="2"/>
    <s v="MT25426039DU"/>
    <s v="MT26076019EH"/>
    <s v="Rack"/>
    <s v="TX2-5S"/>
    <n v="2984"/>
    <s v="InTest"/>
  </r>
  <r>
    <s v="P26304134"/>
    <s v="3/23/2026 6:21:55 PM"/>
    <x v="3"/>
    <s v="SR020316263518"/>
    <s v="RK024"/>
    <s v="Cable cartridge Defect"/>
    <s v="3/23/2026"/>
    <x v="0"/>
    <s v="Cable cartridge Defect (BENT PIN RACK SLOT #14)"/>
    <s v="Cable Cartridge"/>
    <x v="3"/>
    <n v="1820626356632"/>
    <n v="1823525350225"/>
    <s v="Rack"/>
    <s v="TX2-5S"/>
    <n v="90185"/>
    <s v="InTest"/>
  </r>
  <r>
    <s v="P26304140"/>
    <s v="3/23/2026 6:28:06 PM"/>
    <x v="3"/>
    <s v="SR020316263518"/>
    <s v="RK202"/>
    <s v="GB200 L11 Compute Node Information Consistent Check fail"/>
    <s v="3/23/2026"/>
    <x v="0"/>
    <s v="GB200 L11 Compute Node Information Consistent Check fail"/>
    <s v="GB300 L10"/>
    <x v="14"/>
    <s v="A979646X6316526"/>
    <s v="A979646X6316557"/>
    <s v="Rack"/>
    <s v="TX2-5S"/>
    <n v="90185"/>
    <s v="InTest"/>
  </r>
  <r>
    <s v="P26304181"/>
    <s v="3/23/2026 8:25:51 PM"/>
    <x v="3"/>
    <s v="SR020316269361"/>
    <s v="RK202"/>
    <s v="GB200 L11 Compute Node Information Consistent Check fail"/>
    <s v="3/23/2026"/>
    <x v="0"/>
    <s v="L11 Compute Node Information Consistent Check fail"/>
    <s v="GB300 L10"/>
    <x v="14"/>
    <s v="A979646X6316561"/>
    <s v="A979646X6314992"/>
    <s v="Rack"/>
    <s v="TX2-5S"/>
    <n v="90160"/>
    <s v="InTest"/>
  </r>
  <r>
    <s v="P26304183"/>
    <s v="3/23/2026 8:32:38 PM"/>
    <x v="3"/>
    <s v="SR020316264759"/>
    <s v="RK202"/>
    <s v="GB200 L11 Compute Node Information Consistent Check fail"/>
    <s v="3/23/2026"/>
    <x v="0"/>
    <s v="L11 Compute Node Information Consistent Check fail"/>
    <s v="GB300 L10"/>
    <x v="14"/>
    <s v="A979646X6303382"/>
    <s v="A979646X6317031"/>
    <s v="Rack"/>
    <s v="TX2-5S"/>
    <n v="90160"/>
    <s v="InTest"/>
  </r>
  <r>
    <s v="P26304186"/>
    <s v="3/23/2026 8:41:51 PM"/>
    <x v="3"/>
    <s v="SR020316269361"/>
    <s v="RK202"/>
    <s v="GB200 L11 Compute Node Information Consistent Check fail"/>
    <s v="3/23/2026"/>
    <x v="0"/>
    <s v="L11 Compute Node Information Consistent Check fail"/>
    <s v="GB300 L10"/>
    <x v="14"/>
    <s v="A979646X6312061"/>
    <s v="A979646X6316561"/>
    <s v="Rack"/>
    <s v="TX2-5S"/>
    <n v="90160"/>
    <s v="InTest"/>
  </r>
  <r>
    <s v="P26304190"/>
    <s v="3/23/2026 8:48:28 PM"/>
    <x v="3"/>
    <s v="SR020316263685"/>
    <s v="RK202"/>
    <s v="GB200 L11 Compute Node Information Consistent Check fail"/>
    <s v="3/23/2026"/>
    <x v="0"/>
    <s v="L11 Compute Node Information Consistent Check fail"/>
    <s v="GB300 L10"/>
    <x v="14"/>
    <s v="A979646X6314892"/>
    <s v="A979646X6317047"/>
    <s v="Rack"/>
    <s v="TX2-5S"/>
    <n v="90160"/>
    <s v="InTest"/>
  </r>
  <r>
    <s v="P26304192"/>
    <s v="3/23/2026 8:55:46 PM"/>
    <x v="3"/>
    <s v="SR020313266146"/>
    <s v="RK202"/>
    <s v="GB200 L11 Compute Node Information Consistent Check fail"/>
    <s v="3/23/2026"/>
    <x v="0"/>
    <s v="L11 Compute Node Information Consistent Check fail"/>
    <s v="GB300 L10"/>
    <x v="14"/>
    <s v="A979646X6304854"/>
    <s v="A979646X6317029"/>
    <s v="Rack"/>
    <s v="TX2-5S"/>
    <n v="90160"/>
    <s v="InTest"/>
  </r>
  <r>
    <s v="P26304198"/>
    <s v="3/23/2026 9:24:39 PM"/>
    <x v="5"/>
    <s v="SR020313266535"/>
    <s v="RK202"/>
    <s v="GB200 L11 Compute Node Information Consistent Check fail"/>
    <s v="3/23/2026"/>
    <x v="0"/>
    <s v="L11 Compute Node Information Consistent Check fail"/>
    <s v="GB300 L10"/>
    <x v="17"/>
    <s v="A983988X6309343"/>
    <s v="A983988X6309356"/>
    <s v="Rack"/>
    <s v="TX2-5S"/>
    <n v="90160"/>
    <s v="InTest"/>
  </r>
  <r>
    <s v="P26304200"/>
    <s v="3/23/2026 9:49:50 PM"/>
    <x v="3"/>
    <s v="SR020316264145"/>
    <s v="RK022"/>
    <s v="Power Shelf Defective"/>
    <s v="3/23/2026"/>
    <x v="0"/>
    <s v="Power Shelf Fan Defective"/>
    <s v="_x0009_5.5kW PSU GB300"/>
    <x v="16"/>
    <s v="6PL6Z04X15527XW"/>
    <s v="6PL6Z01X1551GDU"/>
    <s v="Rack"/>
    <s v="TX2-5S"/>
    <n v="90185"/>
    <s v="InTest"/>
  </r>
  <r>
    <s v="P26304208"/>
    <s v="3/23/2026 10:47:47 PM"/>
    <x v="3"/>
    <s v="SR020316264373"/>
    <s v="RK024"/>
    <s v="Cable cartridge Defect"/>
    <s v="3/23/2026"/>
    <x v="0"/>
    <s v="L11 Cable cartridge Defect/ Rack0_SW1_acp105 CC0_C8_Lane_3 link_bad_quality"/>
    <s v="Cable Cartridge"/>
    <x v="3"/>
    <n v="1823425350816"/>
    <n v="2020826491505"/>
    <s v="Rack"/>
    <s v="TX2-5S"/>
    <n v="90160"/>
    <s v="InTest"/>
  </r>
  <r>
    <s v="P26304209"/>
    <s v="3/23/2026 11:17:33 PM"/>
    <x v="3"/>
    <s v="SR020316263685"/>
    <s v="RK123"/>
    <s v="GB200 NVIDIA Manufacturer Diagnostic MFG fail"/>
    <s v="3/23/2026"/>
    <x v="0"/>
    <s v="NVIDIA Manufacturer Diagnostic MFG fail"/>
    <s v="GB300 L10"/>
    <x v="14"/>
    <s v="A979646X6317047"/>
    <s v="A979646X6315270"/>
    <s v="Rack"/>
    <s v="TX2-5S"/>
    <n v="90160"/>
    <s v="InTest"/>
  </r>
  <r>
    <s v="P26304240"/>
    <s v="3/24/2026 1:35:48 AM"/>
    <x v="3"/>
    <s v="SR020316263685"/>
    <s v="RK202"/>
    <s v="GB200 L11 Compute Node Information Consistent Check fail"/>
    <s v="3/24/2026"/>
    <x v="0"/>
    <s v="L11 Compute Node Information Consistent Check fail"/>
    <s v="GB300 L10"/>
    <x v="14"/>
    <s v="A979646X6317047"/>
    <s v="A979646X6315270"/>
    <s v="Rack"/>
    <s v="TX2-5S"/>
    <n v="90160"/>
    <s v="InTest"/>
  </r>
  <r>
    <s v="P26304256"/>
    <s v="3/24/2026 6:51:46 AM"/>
    <x v="3"/>
    <s v="SR020316263685"/>
    <s v="RK213"/>
    <s v="GB200 L11 No BMC IP"/>
    <s v="3/24/2026"/>
    <x v="0"/>
    <s v="L11 No BMC IP"/>
    <s v="GB300 L10"/>
    <x v="14"/>
    <s v="A979646X6314976"/>
    <s v="A979646X6315260"/>
    <s v="Rack"/>
    <s v="TX2-5S"/>
    <n v="90160"/>
    <s v="InTest"/>
  </r>
  <r>
    <s v="P26304259"/>
    <s v="3/24/2026 6:56:47 AM"/>
    <x v="3"/>
    <s v="SR020320268723"/>
    <s v="RK214"/>
    <s v="GB200 L11 Unable to power on"/>
    <s v="3/24/2026"/>
    <x v="0"/>
    <s v="L11 Unable to power on"/>
    <s v="GB300 L10"/>
    <x v="14"/>
    <s v="A979646X6314936"/>
    <s v="A979646X6317306"/>
    <s v="Rack"/>
    <s v="TX2-5S"/>
    <n v="90160"/>
    <s v="InTest"/>
  </r>
  <r>
    <s v="P26304261"/>
    <s v="3/24/2026 7:02:08 AM"/>
    <x v="3"/>
    <s v="SR020316269361"/>
    <s v="RK201"/>
    <s v="GB200 L11 NVLink Switch Information Consistent Check fail"/>
    <s v="3/24/2026"/>
    <x v="0"/>
    <s v="L11 NVLink Switch Information Consistent Check fail SR020316269361"/>
    <s v="NVSwitch"/>
    <x v="2"/>
    <s v="MT2609605358"/>
    <s v="MT2610600AGJ"/>
    <s v="Rack"/>
    <s v="TX2-5S"/>
    <n v="90160"/>
    <s v="InTest"/>
  </r>
  <r>
    <s v="P26304307"/>
    <s v="3/24/2026 9:40:56 AM"/>
    <x v="3"/>
    <s v="SR020320269039"/>
    <s v="RK002"/>
    <s v="DOA - Switch no function/power (Switch無作用/無電源)"/>
    <s v="3/24/2026"/>
    <x v="0"/>
    <s v="SR020320269039 上電無反應"/>
    <s v="NVSwitch"/>
    <x v="2"/>
    <s v="MT2611602AWY"/>
    <s v="MT26096064CP"/>
    <s v="Rack"/>
    <s v="TX2-5S"/>
    <n v="4369"/>
    <s v="InTest"/>
  </r>
  <r>
    <s v="P26304338"/>
    <s v="3/24/2026 12:26:42 PM"/>
    <x v="3"/>
    <s v="SR020316264145"/>
    <s v="RK126"/>
    <s v="GB200 Firmware flash firmware detect NULL"/>
    <s v="3/24/2026"/>
    <x v="0"/>
    <s v="GB200 Firmware flash firmware detect NULL_已更換_PM1265"/>
    <s v="GB300 L10"/>
    <x v="14"/>
    <s v="A979646X6317013"/>
    <s v="A979646X6303762"/>
    <s v="Rack"/>
    <s v="TX2-5S"/>
    <n v="1237"/>
    <s v="InTest"/>
  </r>
  <r>
    <s v="P26304400"/>
    <s v="3/24/2026 4:18:57 PM"/>
    <x v="3"/>
    <s v="SR020316264145"/>
    <s v="RK023"/>
    <s v="NVLINK Switch Functional Issue"/>
    <s v="3/24/2026"/>
    <x v="0"/>
    <s v="NVLINK Switch Functional Issue / NO PDB-CONV-1 Temp in all NVLink switch tray log history http:// 10.160.100.12 /logs /Tesla /2026 /March /SR020316264145 /24 /R-BURN /A979646X6316538 /905A0834FFCF /yam_debug-information /nvlswitch_ tray-0324. 151445 /nvl_switch _10.10.44 .13.log"/>
    <s v="NVSwitch"/>
    <x v="2"/>
    <s v="MT2611602DHG"/>
    <s v="MT25416069PP"/>
    <s v="Rack"/>
    <s v="TX2-5S"/>
    <n v="90185"/>
    <s v="InTest"/>
  </r>
  <r>
    <s v="P26304444"/>
    <s v="3/24/2026 8:44:55 PM"/>
    <x v="3"/>
    <s v="SR020320267510"/>
    <s v="RK202"/>
    <s v="GB200 L11 Compute Node Information Consistent Check fail"/>
    <s v="3/24/2026"/>
    <x v="0"/>
    <s v="L11 Compute Node Information Consistent Check fail / NVRM FAIL"/>
    <s v="GB300 L10"/>
    <x v="14"/>
    <s v="A979646X6317165"/>
    <s v="A979646X6315251"/>
    <s v="Rack"/>
    <s v="TX2-5S"/>
    <n v="90160"/>
    <s v="InTest"/>
  </r>
  <r>
    <s v="P26304446"/>
    <s v="3/24/2026 8:55:18 PM"/>
    <x v="3"/>
    <s v="SR020320267510"/>
    <s v="RK202"/>
    <s v="GB200 L11 Compute Node Information Consistent Check fail"/>
    <s v="3/24/2026"/>
    <x v="0"/>
    <s v="L11 Compute Node Information Consistent Check fail / NVRM FAIL"/>
    <s v="GB300 L10"/>
    <x v="14"/>
    <s v="A979646X6317299"/>
    <s v="A979646X6316575"/>
    <s v="Rack"/>
    <s v="TX2-5S"/>
    <n v="90160"/>
    <s v="InTest"/>
  </r>
  <r>
    <s v="P26304449"/>
    <s v="3/24/2026 9:03:13 PM"/>
    <x v="3"/>
    <s v="SR020320267510"/>
    <s v="RK202"/>
    <s v="GB200 L11 Compute Node Information Consistent Check fail"/>
    <s v="3/24/2026"/>
    <x v="0"/>
    <s v="L11 Compute Node Information Consistent Check fail / NVRM FAIL"/>
    <s v="GB300 L10"/>
    <x v="14"/>
    <s v="A979646X6316629"/>
    <s v="A979646X6316573"/>
    <s v="Rack"/>
    <s v="TX2-5S"/>
    <n v="90160"/>
    <s v="InTest"/>
  </r>
  <r>
    <s v="P26304451"/>
    <s v="3/24/2026 9:11:06 PM"/>
    <x v="3"/>
    <s v="SR020320267245"/>
    <s v="RK202"/>
    <s v="GB200 L11 Compute Node Information Consistent Check fail"/>
    <s v="3/24/2026"/>
    <x v="0"/>
    <s v="L11 Compute Node Information Consistent Check fail / NVRM FAIL"/>
    <s v="GB300 L10"/>
    <x v="14"/>
    <s v="A979646X6307582"/>
    <s v="A979646X6317058"/>
    <s v="Rack"/>
    <s v="TX2-5S"/>
    <n v="90160"/>
    <s v="InTest"/>
  </r>
  <r>
    <s v="P26304453"/>
    <s v="3/24/2026 9:17:40 PM"/>
    <x v="3"/>
    <s v="SR020320269520"/>
    <s v="RK202"/>
    <s v="GB200 L11 Compute Node Information Consistent Check fail"/>
    <s v="3/24/2026"/>
    <x v="0"/>
    <s v="L11 Compute Node Information Consistent Check fail / NVRM FAIL"/>
    <s v="GB300 L10"/>
    <x v="14"/>
    <s v="A979646X6214959"/>
    <s v="A979646X6315224"/>
    <s v="Rack"/>
    <s v="TX2-5S"/>
    <n v="90160"/>
    <s v="InTest"/>
  </r>
  <r>
    <s v="P26304455"/>
    <s v="3/24/2026 9:22:04 PM"/>
    <x v="3"/>
    <s v="SR020320268723"/>
    <s v="RK202"/>
    <s v="GB200 L11 Compute Node Information Consistent Check fail"/>
    <s v="3/24/2026"/>
    <x v="0"/>
    <s v="L11 Compute Node Information Consistent Check fail / NVRM FAIL"/>
    <s v="GB300 L10"/>
    <x v="14"/>
    <s v="A979646X6305157"/>
    <s v="A979646X6316653"/>
    <s v="Rack"/>
    <s v="TX2-5S"/>
    <n v="90160"/>
    <s v="InTest"/>
  </r>
  <r>
    <s v="P26304457"/>
    <s v="3/24/2026 9:43:52 PM"/>
    <x v="3"/>
    <s v="SR020320269986"/>
    <s v="RK202"/>
    <s v="GB200 L11 Compute Node Information Consistent Check fail"/>
    <s v="3/24/2026"/>
    <x v="0"/>
    <s v="L11 Compute Node Information Consistent Check fail / NVRM FAIL"/>
    <s v="GB300 L10"/>
    <x v="14"/>
    <s v="A979646X6303743"/>
    <s v="A979646X6312103"/>
    <s v="Rack"/>
    <s v="TX2-5S"/>
    <n v="90160"/>
    <s v="InTest"/>
  </r>
  <r>
    <s v="P26304459"/>
    <s v="3/24/2026 9:50:57 PM"/>
    <x v="3"/>
    <s v="SR020320269520"/>
    <s v="RK202"/>
    <s v="GB200 L11 Compute Node Information Consistent Check fail"/>
    <s v="3/24/2026"/>
    <x v="0"/>
    <s v="L11 Compute Node Information Consistent Check fail"/>
    <s v="GB300 L10"/>
    <x v="14"/>
    <s v="A979646X6315224"/>
    <s v="A979646X6316664"/>
    <s v="Rack"/>
    <s v="TX2-5S"/>
    <n v="90066"/>
    <s v="InTest"/>
  </r>
  <r>
    <s v="P26304460"/>
    <s v="3/24/2026 10:03:57 PM"/>
    <x v="3"/>
    <s v="SR020320267510"/>
    <s v="RK202"/>
    <s v="GB200 L11 Compute Node Information Consistent Check fail"/>
    <s v="3/24/2026"/>
    <x v="0"/>
    <s v="L11 Compute Node Information Consistent Check fail / NVRM FAIL"/>
    <s v="GB300 L10"/>
    <x v="14"/>
    <s v="A979646X6316575"/>
    <s v="A979646X6315251"/>
    <s v="Rack"/>
    <s v="TX2-5S"/>
    <n v="90160"/>
    <s v="InTest"/>
  </r>
  <r>
    <s v="P26304470"/>
    <s v="3/24/2026 11:30:51 PM"/>
    <x v="3"/>
    <s v="SR020320267510"/>
    <s v="RK024"/>
    <s v="Cable cartridge Defect"/>
    <s v="3/24/2026"/>
    <x v="0"/>
    <s v="L11 Cable cartridge Defect"/>
    <s v="Cable Cartridge"/>
    <x v="3"/>
    <n v="1820626355046"/>
    <n v="2021026490429"/>
    <s v="Rack"/>
    <s v="TX2-5S"/>
    <n v="3908"/>
    <s v="InTest"/>
  </r>
  <r>
    <s v="P26304472"/>
    <s v="3/25/2026 1:42:10 AM"/>
    <x v="3"/>
    <s v="SR020320264171"/>
    <s v="RK022"/>
    <s v="Power Shelf Defective"/>
    <s v="3/25/2026"/>
    <x v="0"/>
    <s v="Power Shelf Defective PMB - UNABLE TO UPDATE"/>
    <s v="Power Shelf Control Module"/>
    <x v="15"/>
    <s v="614MP1RBX03X160707V"/>
    <s v="614MP1RXX03X652301U"/>
    <s v="Rack"/>
    <s v="TX2-5S"/>
    <n v="90185"/>
    <s v="InTest"/>
  </r>
  <r>
    <s v="P26304498"/>
    <s v="3/25/2026 1:34:00 AM"/>
    <x v="3"/>
    <s v="SR020320267510"/>
    <s v="RK201"/>
    <s v="GB200 L11 NVLink Switch Information Consistent Check fail"/>
    <s v="3/25/2026"/>
    <x v="0"/>
    <s v="L11 NVLink Switch Information Consistent Check fail"/>
    <s v="NVSwitch"/>
    <x v="2"/>
    <s v="MT2610604112"/>
    <s v="MT260960426N"/>
    <s v="Rack"/>
    <s v="TX2-5S"/>
    <n v="3908"/>
    <s v="InTest"/>
  </r>
  <r>
    <s v="P26304500"/>
    <s v="3/25/2026 2:06:49 AM"/>
    <x v="3"/>
    <s v="SR020316264145"/>
    <s v="RK202"/>
    <s v="GB200 L11 Compute Node Information Consistent Check fail"/>
    <s v="3/25/2026"/>
    <x v="0"/>
    <s v="GB200 L11 Compute Node Information Consistent Check fail"/>
    <s v="Power Shelf Control Module"/>
    <x v="15"/>
    <s v="A979646X6301990"/>
    <s v="A979646X6316577"/>
    <s v="Rack"/>
    <s v="TX2-5S"/>
    <n v="924"/>
    <s v="InTest"/>
  </r>
  <r>
    <s v="P26304517"/>
    <s v="3/25/2026 6:41:22 AM"/>
    <x v="3"/>
    <s v="SR020320269520"/>
    <s v="RK202"/>
    <s v="GB200 L11 Compute Node Information Consistent Check fail"/>
    <s v="3/25/2026"/>
    <x v="0"/>
    <s v="L11 Compute Node Information Consistent Check fail"/>
    <s v="GB300 L10"/>
    <x v="14"/>
    <s v="A979646X6315225"/>
    <s v="A979646X6317798"/>
    <s v="Rack"/>
    <s v="TX2-5S"/>
    <n v="90160"/>
    <s v="InTest"/>
  </r>
  <r>
    <s v="P26304520"/>
    <s v="3/25/2026 6:50:05 AM"/>
    <x v="3"/>
    <s v="SR020316261769"/>
    <s v="RK206"/>
    <s v="GB200 L11 Single Node NCCL Test fail"/>
    <s v="3/25/2026"/>
    <x v="0"/>
    <s v="L11 Single Node NCCL Test fail / only 0 Fabric state shows OK, expected 4 SR020316261769"/>
    <s v="GB300 L10"/>
    <x v="14"/>
    <s v="A979646X6313524"/>
    <s v="A979646X6316616"/>
    <s v="Rack"/>
    <s v="TX2-5S"/>
    <n v="90160"/>
    <s v="InTest"/>
  </r>
  <r>
    <s v="P26304522"/>
    <s v="3/25/2026 6:58:22 AM"/>
    <x v="3"/>
    <s v="SR020316261769"/>
    <s v="RK206"/>
    <s v="GB200 L11 Single Node NCCL Test fail"/>
    <s v="3/25/2026"/>
    <x v="0"/>
    <s v="L11 Single Node NCCL Test fail / only 3 Fabric state shows OK, expected 4 SR020316261769"/>
    <s v="GB300 L10"/>
    <x v="14"/>
    <s v="A979646X6313523"/>
    <s v="A979646X6317325"/>
    <s v="Rack"/>
    <s v="TX2-5S"/>
    <n v="90160"/>
    <s v="InTest"/>
  </r>
  <r>
    <s v="P26304523"/>
    <s v="3/25/2026 7:03:00 AM"/>
    <x v="3"/>
    <s v="SR020316261769"/>
    <s v="RK206"/>
    <s v="GB200 L11 Single Node NCCL Test fail"/>
    <s v="3/25/2026"/>
    <x v="0"/>
    <s v="L11 Single Node NCCL Test fail / only 0 Fabric state shows OK, expected 4 SR020316261769"/>
    <s v="GB300 L10"/>
    <x v="14"/>
    <s v="A979646X6313504"/>
    <s v="A979646X6317786"/>
    <s v="Rack"/>
    <s v="TX2-5S"/>
    <n v="90160"/>
    <s v="InTest"/>
  </r>
  <r>
    <s v="P26304575"/>
    <s v="3/25/2026 12:44:52 PM"/>
    <x v="3"/>
    <s v="SR020320267510"/>
    <s v="RK024"/>
    <s v="Cable cartridge Defect"/>
    <s v="3/25/2026"/>
    <x v="0"/>
    <s v="Failed to executed command sudo python import base64 cable cartridge3 eeprom"/>
    <s v="NVSwitch"/>
    <x v="2"/>
    <s v="MT26116033B8"/>
    <s v="MT26096064CW"/>
    <s v="Rack"/>
    <s v="TX2-5S"/>
    <n v="2984"/>
    <s v="InTest"/>
  </r>
  <r>
    <s v="P26304590"/>
    <s v="3/25/2026 12:47:06 PM"/>
    <x v="3"/>
    <s v="SR020320264171"/>
    <s v="RK024"/>
    <s v="Cable cartridge Defect"/>
    <s v="3/25/2026"/>
    <x v="0"/>
    <s v="Cable cartridge Defect Ban Pin_更換_TW640"/>
    <s v="Cable Cartridge"/>
    <x v="3"/>
    <n v="1821026355356"/>
    <n v="1823025357204"/>
    <s v="Rack"/>
    <s v="TX2-5S"/>
    <n v="640"/>
    <s v="InTest"/>
  </r>
  <r>
    <s v="P26304662"/>
    <s v="3/25/2026 8:49:26 PM"/>
    <x v="3"/>
    <s v="SR020320264171"/>
    <s v="RK202"/>
    <s v="GB200 L11 Compute Node Information Consistent Check fail"/>
    <s v="3/25/2026"/>
    <x v="0"/>
    <s v="only 64 NVLink status shows OK, expected 72"/>
    <s v="GB300 L10"/>
    <x v="14"/>
    <s v="A979646X6303602"/>
    <s v="A979646X6316723"/>
    <s v="Rack"/>
    <s v="TX2-5S"/>
    <n v="90185"/>
    <s v="InTest"/>
  </r>
  <r>
    <s v="P26304665"/>
    <s v="3/25/2026 8:56:07 PM"/>
    <x v="3"/>
    <s v="SR020323262234"/>
    <s v="RK109"/>
    <s v="GB200 Power cycling fail"/>
    <s v="3/25/2026"/>
    <x v="0"/>
    <s v="auto Shutdown"/>
    <s v="GB300 L10"/>
    <x v="14"/>
    <s v="A979646X6317163"/>
    <s v="A979646X6316718"/>
    <s v="Rack"/>
    <s v="TX2-5S"/>
    <n v="90185"/>
    <s v="InTest"/>
  </r>
  <r>
    <s v="P26304680"/>
    <s v="3/25/2026 9:44:34 PM"/>
    <x v="3"/>
    <s v="SR020323262878"/>
    <s v="RK202"/>
    <s v="GB200 L11 Compute Node Information Consistent Check fail"/>
    <s v="3/25/2026"/>
    <x v="0"/>
    <s v="L11 Compute Node Information Consistent Check fail / NVRM FAIL"/>
    <s v="GB300 L10"/>
    <x v="14"/>
    <s v="A979646X6305729"/>
    <s v="A979646X6316717"/>
    <s v="Rack"/>
    <s v="TX2-5S"/>
    <n v="90160"/>
    <s v="InTest"/>
  </r>
  <r>
    <s v="P26304682"/>
    <s v="3/25/2026 10:06:59 PM"/>
    <x v="3"/>
    <s v="SR020323261145"/>
    <s v="RK202"/>
    <s v="GB200 L11 Compute Node Information Consistent Check fail"/>
    <s v="3/25/2026"/>
    <x v="0"/>
    <s v="L11 Compute Node Information Consistent Check fail / NVRM FAIL"/>
    <s v="GB300 L10"/>
    <x v="14"/>
    <s v="A979646X6317040"/>
    <s v="A979646X6316726"/>
    <s v="Rack"/>
    <s v="TX2-5S"/>
    <n v="90160"/>
    <s v="InTest"/>
  </r>
  <r>
    <s v="P26304685"/>
    <s v="3/25/2026 10:17:56 PM"/>
    <x v="3"/>
    <s v="SR020323261145"/>
    <s v="RK202"/>
    <s v="GB200 L11 Compute Node Information Consistent Check fail"/>
    <s v="3/25/2026"/>
    <x v="0"/>
    <s v="L11 Compute Node Information Consistent Check fail / NVRM FAIL"/>
    <s v="GB300 L10"/>
    <x v="14"/>
    <s v="A979646X6312108"/>
    <s v="A979646X6317540"/>
    <s v="Rack"/>
    <s v="TX2-5S"/>
    <n v="90160"/>
    <s v="InTest"/>
  </r>
  <r>
    <s v="P26304687"/>
    <s v="3/25/2026 10:34:51 PM"/>
    <x v="3"/>
    <s v="SR020323261254"/>
    <s v="RK202"/>
    <s v="GB200 L11 Compute Node Information Consistent Check fail"/>
    <s v="3/25/2026"/>
    <x v="1"/>
    <s v="L11 Compute Node Information Consistent Check fail / NVRM FAIL"/>
    <s v="GB300 L10"/>
    <x v="14"/>
    <s v="A979646X6302285"/>
    <s v="A979646X6304854"/>
    <s v="Rack"/>
    <s v="TX2-5S"/>
    <n v="90160"/>
    <s v="InTest"/>
  </r>
  <r>
    <s v="P26304693"/>
    <s v="3/25/2026 10:44:32 PM"/>
    <x v="3"/>
    <s v="SR020320269986"/>
    <s v="RK202"/>
    <s v="GB200 L11 Compute Node Information Consistent Check fail"/>
    <s v="3/25/2026"/>
    <x v="0"/>
    <s v="L11 Compute Node Information Consistent Check fail / NVRM FAIL"/>
    <s v="GB300 L10"/>
    <x v="14"/>
    <s v="A979646X6317179"/>
    <s v="A979646X6318648"/>
    <s v="Rack"/>
    <s v="TX2-5S"/>
    <n v="90160"/>
    <s v="InTest"/>
  </r>
  <r>
    <s v="P26304695"/>
    <s v="3/25/2026 10:50:44 PM"/>
    <x v="3"/>
    <s v="SR020320269039"/>
    <s v="RK202"/>
    <s v="GB200 L11 Compute Node Information Consistent Check fail"/>
    <s v="3/25/2026"/>
    <x v="0"/>
    <s v="L11 Compute Node Information Consistent Check fail / NVRM FAIL"/>
    <s v="GB300 L10"/>
    <x v="14"/>
    <s v="A979646X6313004"/>
    <s v="A979646X6316715"/>
    <s v="Rack"/>
    <s v="TX2-5S"/>
    <n v="90160"/>
    <s v="InTest"/>
  </r>
  <r>
    <s v="P26304699"/>
    <s v="3/25/2026 11:04:30 PM"/>
    <x v="3"/>
    <s v="SR020323261573"/>
    <s v="RK202"/>
    <s v="GB200 L11 Compute Node Information Consistent Check fail"/>
    <s v="3/25/2026"/>
    <x v="0"/>
    <s v="L11 Compute Node Information Consistent Check fail / NVRM FAIL"/>
    <s v="GB300 L10"/>
    <x v="14"/>
    <s v="A979646X6317068"/>
    <s v="A979646X6316727"/>
    <s v="Rack"/>
    <s v="TX2-5S"/>
    <n v="90160"/>
    <s v="InTest"/>
  </r>
  <r>
    <s v="P26304701"/>
    <s v="3/25/2026 11:14:46 PM"/>
    <x v="3"/>
    <s v="SR020316261769"/>
    <s v="RK024"/>
    <s v="Cable cartridge Defect"/>
    <s v="3/25/2026"/>
    <x v="0"/>
    <s v="L11 Cable Cartridge fail( CC0_C2_Lane_4)"/>
    <s v="Cable Cartridge"/>
    <x v="3"/>
    <n v="2020826490578"/>
    <n v="2021026491012"/>
    <s v="Rack"/>
    <s v="TX2-5S"/>
    <n v="90160"/>
    <s v="InTest"/>
  </r>
  <r>
    <s v="P26304703"/>
    <s v="3/25/2026 11:19:54 PM"/>
    <x v="3"/>
    <s v="SR020323262812"/>
    <s v="RK202"/>
    <s v="GB200 L11 Compute Node Information Consistent Check fail"/>
    <s v="3/25/2026"/>
    <x v="0"/>
    <s v="L11 Compute Node Information Consistent Check fail / NVRM FAIL"/>
    <s v="GB300 L10"/>
    <x v="14"/>
    <s v="A979646X6317699"/>
    <s v="A979646X6316683"/>
    <s v="Rack"/>
    <s v="TX2-5S"/>
    <n v="90160"/>
    <s v="InTest"/>
  </r>
  <r>
    <s v="P26304712"/>
    <s v="3/26/2026 12:12:57 AM"/>
    <x v="3"/>
    <s v="SR020316261769"/>
    <s v="RK202"/>
    <s v="GB200 L11 Compute Node Information Consistent Check fail"/>
    <s v="3/26/2026"/>
    <x v="0"/>
    <s v="L11 Compute Node Information Consistent Check fail / NVRM FAIL"/>
    <s v="GB300 L10"/>
    <x v="14"/>
    <s v="A979646X6313014"/>
    <s v="A979646X6317622"/>
    <s v="Rack"/>
    <s v="TX2-5S"/>
    <n v="90160"/>
    <s v="InTest"/>
  </r>
  <r>
    <s v="P26304714"/>
    <s v="3/26/2026 12:56:34 AM"/>
    <x v="3"/>
    <s v="SR020320269893"/>
    <s v="RK202"/>
    <s v="GB200 L11 Compute Node Information Consistent Check fail"/>
    <s v="3/26/2026"/>
    <x v="0"/>
    <s v="L11 Compute Node Information Consistent Check fail / NVRM FAIL"/>
    <s v="GB300 L10"/>
    <x v="14"/>
    <s v="A979646X6314896"/>
    <s v="A979646X6317830"/>
    <s v="Rack"/>
    <s v="TX2-5S"/>
    <n v="90160"/>
    <s v="InTest"/>
  </r>
  <r>
    <s v="P26304716"/>
    <s v="3/26/2026 1:02:56 AM"/>
    <x v="3"/>
    <s v="SR020323262234"/>
    <s v="RK202"/>
    <s v="GB200 L11 Compute Node Information Consistent Check fail"/>
    <s v="3/26/2026"/>
    <x v="0"/>
    <s v="GB200 L11 Compute Node Information Consistent Check fail"/>
    <s v="GB300 L10"/>
    <x v="14"/>
    <s v="A979646X6304694"/>
    <s v="A979646X6315624"/>
    <s v="Rack"/>
    <s v="TX2-5S"/>
    <n v="90185"/>
    <s v="InTest"/>
  </r>
  <r>
    <s v="P26304718"/>
    <s v="3/26/2026 6:33:33 AM"/>
    <x v="3"/>
    <s v="SR020320269039"/>
    <s v="RK205"/>
    <s v="GB200 L11 Compute Tray Nvidia Field Diag Test fail"/>
    <s v="3/26/2026"/>
    <x v="0"/>
    <s v="L11 Compute Tray Nvidia Field Diag Test fail"/>
    <s v="GB300 L10"/>
    <x v="14"/>
    <s v="A979646X6315256"/>
    <s v="A979646X6317750"/>
    <s v="Rack"/>
    <s v="TX2-5S"/>
    <n v="90160"/>
    <s v="InTest"/>
  </r>
  <r>
    <s v="P26304740"/>
    <s v="3/26/2026 6:25:02 AM"/>
    <x v="3"/>
    <s v="SR020323264236"/>
    <s v="RK214"/>
    <s v="GB200 L11 Unable to power on"/>
    <s v="3/26/2026"/>
    <x v="0"/>
    <s v="L11 Unable to power on"/>
    <s v="GB300 L10"/>
    <x v="14"/>
    <s v="A979646X6314936"/>
    <s v="A979646X6315662"/>
    <s v="Rack"/>
    <s v="TX2-5S"/>
    <n v="90160"/>
    <s v="InTest"/>
  </r>
  <r>
    <s v="P26304748"/>
    <s v="3/26/2026 6:41:13 AM"/>
    <x v="3"/>
    <s v="SR020320269893"/>
    <s v="RK205"/>
    <s v="GB200 L11 Compute Tray Nvidia Field Diag Test fail"/>
    <s v="3/26/2026"/>
    <x v="0"/>
    <s v="L11 Compute Tray Nvidia Field Diag Test fail RLW_SRC_TRACK Nonfatal interrupt detected @(Rack slot 20, CBC 2 SR020320269893"/>
    <s v="GB300 L10"/>
    <x v="14"/>
    <s v="A979646X6306215"/>
    <s v="A979646X6317720"/>
    <s v="Rack"/>
    <s v="TX2-5S"/>
    <n v="90160"/>
    <s v="InTest"/>
  </r>
  <r>
    <s v="P26304750"/>
    <s v="3/26/2026 6:45:31 AM"/>
    <x v="3"/>
    <s v="SR020320269893"/>
    <s v="RK205"/>
    <s v="GB200 L11 Compute Tray Nvidia Field Diag Test fail"/>
    <s v="3/26/2026"/>
    <x v="0"/>
    <s v="L11 Compute Tray Nvidia Field Diag Test fail NETIR_LINK_DOWN Fatal interrupt detected @(Rack slot 21, CBC 2 SR020320269893"/>
    <s v="GB300 L10"/>
    <x v="14"/>
    <s v="A979646X6217686"/>
    <s v="A979646X6315659"/>
    <s v="Rack"/>
    <s v="TX2-5S"/>
    <n v="90160"/>
    <s v="InTest"/>
  </r>
  <r>
    <s v="P26304777"/>
    <s v="3/26/2026 1:11:27 PM"/>
    <x v="3"/>
    <s v="SR020323264077"/>
    <s v="RK024"/>
    <s v="Cable cartridge Defect"/>
    <s v="3/26/2026"/>
    <x v="0"/>
    <s v="SR020323264077 Rack0_SW5_acp68,CC3_C16_Lane_10, link_none,0, 0"/>
    <s v="Cable Cartridge"/>
    <x v="3"/>
    <n v="2021026490444"/>
    <n v="2021026490413"/>
    <s v="Rack"/>
    <s v="TX2-5S"/>
    <n v="2984"/>
    <s v="InTest"/>
  </r>
  <r>
    <s v="P26304778"/>
    <s v="3/26/2026 1:15:25 PM"/>
    <x v="3"/>
    <s v="SR020323264120"/>
    <s v="RK023"/>
    <s v="NVLINK Switch Functional Issue"/>
    <s v="3/26/2026"/>
    <x v="0"/>
    <s v="SR020323264120 LED 恆亮橘燈,更新Timeout"/>
    <s v="NVSwitch"/>
    <x v="2"/>
    <s v="MT26116017J8"/>
    <s v="MT261060007K"/>
    <s v="Rack"/>
    <s v="TX2-5S"/>
    <n v="1519"/>
    <s v="InTest"/>
  </r>
  <r>
    <s v="P26304958"/>
    <s v="3/26/2026 9:26:39 PM"/>
    <x v="3"/>
    <s v="SR020323264339"/>
    <s v="RK202"/>
    <s v="GB200 L11 Compute Node Information Consistent Check fail"/>
    <s v="3/26/2026"/>
    <x v="0"/>
    <s v="L11 Compute Node Information Consistent Check fail / NVRM FAIL"/>
    <s v="GB300 L10"/>
    <x v="14"/>
    <s v="A979646X6317631"/>
    <s v="A979646X6317423"/>
    <s v="Rack"/>
    <s v="TX2-5S"/>
    <n v="90160"/>
    <s v="InTest"/>
  </r>
  <r>
    <s v="P26304961"/>
    <s v="3/26/2026 9:59:40 PM"/>
    <x v="3"/>
    <s v="SR020320265067"/>
    <s v="RK202"/>
    <s v="GB200 L11 Compute Node Information Consistent Check fail"/>
    <s v="3/26/2026"/>
    <x v="0"/>
    <s v="L11 Compute Node Information Consistent Check fail / NVRM FAIL"/>
    <s v="GB300 L10"/>
    <x v="14"/>
    <s v="A979646X6313015"/>
    <s v="A979646X6314846"/>
    <s v="Rack"/>
    <s v="TX2-5S"/>
    <n v="90160"/>
    <s v="InTest"/>
  </r>
  <r>
    <s v="P26304995"/>
    <s v="3/26/2026 11:28:27 PM"/>
    <x v="3"/>
    <s v="SR020323266037"/>
    <s v="RK109"/>
    <s v="GB200 Power cycling fail"/>
    <s v="3/26/2026"/>
    <x v="0"/>
    <s v="GB300 Power cycling fail"/>
    <s v="GB300 L10"/>
    <x v="14"/>
    <s v="A979646X6317689"/>
    <s v="A979646X6317628"/>
    <s v="Rack"/>
    <s v="TX2-5S"/>
    <n v="90185"/>
    <s v="InTest"/>
  </r>
  <r>
    <s v="P26304998"/>
    <s v="3/26/2026 11:34:53 PM"/>
    <x v="3"/>
    <s v="SR020323263734"/>
    <s v="RK202"/>
    <s v="GB200 L11 Compute Node Information Consistent Check fail"/>
    <s v="3/26/2026"/>
    <x v="0"/>
    <s v="GB200 L11 Compute Node Information Consistent Check fail"/>
    <s v="GB300 L10"/>
    <x v="14"/>
    <s v="A979646X6316684"/>
    <s v="A979646X6317193"/>
    <s v="Rack"/>
    <s v="TX2-5S"/>
    <n v="90185"/>
    <s v="InTest"/>
  </r>
  <r>
    <s v="P26304999"/>
    <s v="3/26/2026 11:37:17 PM"/>
    <x v="3"/>
    <s v="SR020323263734"/>
    <s v="RK202"/>
    <s v="GB200 L11 Compute Node Information Consistent Check fail"/>
    <s v="3/26/2026"/>
    <x v="0"/>
    <s v="GB200 L11 Compute Node Information Consistent Check fail"/>
    <s v="GB300 L10"/>
    <x v="14"/>
    <s v="A979646X6317364"/>
    <s v="A979646X6317672"/>
    <s v="Rack"/>
    <s v="TX2-5S"/>
    <n v="90185"/>
    <s v="InTest"/>
  </r>
  <r>
    <s v="P26305009"/>
    <s v="3/27/2026 12:32:38 AM"/>
    <x v="3"/>
    <s v="SR020323264236"/>
    <s v="RK202"/>
    <s v="GB200 L11 Compute Node Information Consistent Check fail"/>
    <s v="3/27/2026"/>
    <x v="0"/>
    <s v="L11 Compute Node Information Consistent Check fail / NVRM FAIL"/>
    <s v="GB300 L10"/>
    <x v="14"/>
    <s v="A979646X6317062"/>
    <s v="A979646X6319035"/>
    <s v="Rack"/>
    <s v="TX2-5S"/>
    <n v="90160"/>
    <s v="InTest"/>
  </r>
  <r>
    <s v="P26305014"/>
    <s v="3/27/2026 12:48:00 AM"/>
    <x v="3"/>
    <s v="SR020323264883"/>
    <s v="RK202"/>
    <s v="GB200 L11 Compute Node Information Consistent Check fail"/>
    <s v="3/27/2026"/>
    <x v="0"/>
    <s v="GB200 L11 Compute Node Information Consistent Check fail"/>
    <s v="GB300 L10"/>
    <x v="14"/>
    <s v="A979646X6313017"/>
    <s v="A979646X6317265"/>
    <s v="Rack"/>
    <s v="TX2-5S"/>
    <n v="90185"/>
    <s v="InTest"/>
  </r>
  <r>
    <s v="P26305016"/>
    <s v="3/27/2026 12:57:52 AM"/>
    <x v="3"/>
    <s v="SR020323264883"/>
    <s v="RK202"/>
    <s v="GB200 L11 Compute Node Information Consistent Check fail"/>
    <s v="3/27/2026"/>
    <x v="0"/>
    <s v="GB200 L11 Compute Node Information Consistent Check fail"/>
    <s v="GB300 L10"/>
    <x v="14"/>
    <s v="A979646X6317572"/>
    <s v="A979646X6317466"/>
    <s v="Rack"/>
    <s v="TX2-5S"/>
    <n v="90185"/>
    <s v="InTest"/>
  </r>
  <r>
    <s v="P26305018"/>
    <s v="3/27/2026 1:04:24 AM"/>
    <x v="3"/>
    <s v="SR020323266525"/>
    <s v="RK202"/>
    <s v="GB200 L11 Compute Node Information Consistent Check fail"/>
    <s v="3/27/2026"/>
    <x v="0"/>
    <s v="GB200 L11 Compute Node Information Consistent Check fail"/>
    <s v="GB300 L10"/>
    <x v="14"/>
    <s v="A979646X6217848"/>
    <s v="A979646X6318013"/>
    <s v="Rack"/>
    <s v="TX2-5S"/>
    <n v="90185"/>
    <s v="InTest"/>
  </r>
  <r>
    <s v="P26305059"/>
    <s v="3/27/2026 8:55:26 AM"/>
    <x v="3"/>
    <s v="SR020323266525"/>
    <s v="RK024"/>
    <s v="Cable cartridge Defect"/>
    <s v="3/27/2026"/>
    <x v="0"/>
    <s v="CC_BAN_PIN_導致R-Burn Fail_位置:J9、J10、J11_已更換_PM1265"/>
    <s v="Cable Cartridge"/>
    <x v="3"/>
    <n v="2021026490528"/>
    <n v="1823025357233"/>
    <s v="Rack"/>
    <s v="TX2-5S"/>
    <n v="1237"/>
    <s v="InBurnin"/>
  </r>
  <r>
    <s v="P26305117"/>
    <s v="3/27/2026 2:11:52 PM"/>
    <x v="3"/>
    <s v="SR020323266599"/>
    <s v="RK024"/>
    <s v="Cable cartridge Defect"/>
    <s v="3/27/2026"/>
    <x v="0"/>
    <s v="Rack0_SW4_acp85,CC0_C3_Lane_9, link_none,0, 0"/>
    <s v="Cable Cartridge"/>
    <x v="3"/>
    <n v="2021026490594"/>
    <n v="2021026490545"/>
    <s v="Rack"/>
    <s v="TX2-5S"/>
    <n v="2984"/>
    <s v="InTest"/>
  </r>
  <r>
    <s v="P26305119"/>
    <s v="3/27/2026 2:12:27 PM"/>
    <x v="3"/>
    <s v="SR020320267005"/>
    <s v="RK024"/>
    <s v="Cable cartridge Defect"/>
    <s v="3/27/2026"/>
    <x v="0"/>
    <s v="Rack0_SW4_acp30,CC1_C7_Lane_8, link_none,0, 0"/>
    <s v="Cable Cartridge"/>
    <x v="3"/>
    <n v="2021026490464"/>
    <n v="2021026491028"/>
    <s v="Rack"/>
    <s v="TX2-5S"/>
    <n v="2984"/>
    <s v="InTest"/>
  </r>
  <r>
    <s v="P26305155"/>
    <s v="3/27/2026 6:39:02 PM"/>
    <x v="3"/>
    <s v="SR020323266890"/>
    <s v="RK205"/>
    <s v="GB200 L11 Compute Tray Nvidia Field Diag Test fail"/>
    <s v="3/27/2026"/>
    <x v="0"/>
    <s v="http://10.160.100.10/log s/Tesla/2026 /March /SR020323266890/27/R-BURN/ A979646X6317238/905A0835804D /gb300_cartridge_nvidia_L11_field_diag_summary.log"/>
    <s v="GB300 L10"/>
    <x v="14"/>
    <s v="A979646X6307582"/>
    <s v="A979646X6317913"/>
    <s v="Rack"/>
    <s v="TX2-5S"/>
    <n v="90131"/>
    <s v="InTest"/>
  </r>
  <r>
    <s v="P26305170"/>
    <s v="3/27/2026 8:24:06 PM"/>
    <x v="3"/>
    <s v="SR020323266525"/>
    <s v="RK202"/>
    <s v="GB200 L11 Compute Node Information Consistent Check fail"/>
    <s v="3/27/2026"/>
    <x v="0"/>
    <s v="L11 Compute Node Information Consistent Check fail"/>
    <s v="GB300 L10"/>
    <x v="14"/>
    <s v="A979646X6305518"/>
    <s v="A979646X6315235"/>
    <s v="Rack"/>
    <s v="TX2-5S"/>
    <n v="90185"/>
    <s v="InTest"/>
  </r>
  <r>
    <s v="P26305173"/>
    <s v="3/27/2026 8:25:26 PM"/>
    <x v="3"/>
    <s v="SR020323266525"/>
    <s v="RK202"/>
    <s v="GB200 L11 Compute Node Information Consistent Check fail"/>
    <s v="3/27/2026"/>
    <x v="0"/>
    <s v="L11 Compute Node Information Consistent Check fail"/>
    <s v="GB300 L10"/>
    <x v="14"/>
    <s v="A979646X6303189"/>
    <s v="A979646X6318940"/>
    <s v="Rack"/>
    <s v="TX2-5S"/>
    <n v="90185"/>
    <s v="InTest"/>
  </r>
  <r>
    <s v="P26305174"/>
    <s v="3/27/2026 8:28:51 PM"/>
    <x v="3"/>
    <s v="SR020323264883"/>
    <s v="RK120"/>
    <s v="GB200 IPMI no response/ no IP detected"/>
    <s v="3/27/2026"/>
    <x v="0"/>
    <s v="GB200 IPMI no response/ no IP detected"/>
    <s v="GB300 L10"/>
    <x v="14"/>
    <s v="A979646X6317826"/>
    <s v="A979646X6316176"/>
    <s v="Rack"/>
    <s v="TX2-5S"/>
    <n v="90185"/>
    <s v="InTest"/>
  </r>
  <r>
    <s v="P26305184"/>
    <s v="3/27/2026 9:56:05 PM"/>
    <x v="3"/>
    <s v="SR020323264077"/>
    <s v="RK201"/>
    <s v="GB200 L11 NVLink Switch Information Consistent Check fail"/>
    <s v="3/27/2026"/>
    <x v="0"/>
    <s v="L11 Rack0_SW0_acp68 CC3_C16_Lane_0 link_none"/>
    <s v="NVSwitch"/>
    <x v="2"/>
    <s v="MT2543600EL0"/>
    <s v="MT261060007G"/>
    <s v="Rack"/>
    <s v="TX2-5S"/>
    <n v="90160"/>
    <s v="InTest"/>
  </r>
  <r>
    <s v="P26305188"/>
    <s v="3/27/2026 10:46:17 PM"/>
    <x v="3"/>
    <s v="SR020323267586"/>
    <s v="RK202"/>
    <s v="GB200 L11 Compute Node Information Consistent Check fail"/>
    <s v="3/27/2026"/>
    <x v="0"/>
    <s v="L11 Compute Node Information Consistent Check fail / NVRM FAIL"/>
    <s v="GB300 L10"/>
    <x v="14"/>
    <s v="A979646X6317232"/>
    <s v="A979646X6320323"/>
    <s v="Rack"/>
    <s v="TX2-5S"/>
    <n v="90160"/>
    <s v="InTest"/>
  </r>
  <r>
    <s v="P26305190"/>
    <s v="3/27/2026 10:52:10 PM"/>
    <x v="3"/>
    <s v="SR020323269026"/>
    <s v="RK202"/>
    <s v="GB200 L11 Compute Node Information Consistent Check fail"/>
    <s v="3/27/2026"/>
    <x v="0"/>
    <s v="L11 Compute Node Information Consistent Check fail / NVRM FAIL"/>
    <s v="GB300 L10"/>
    <x v="14"/>
    <s v="A979646X6216491"/>
    <s v="A979646X6316226"/>
    <s v="Rack"/>
    <s v="TX2-5S"/>
    <n v="90160"/>
    <s v="InTest"/>
  </r>
  <r>
    <s v="P26305200"/>
    <s v="3/28/2026 12:21:37 AM"/>
    <x v="3"/>
    <s v="SR020323262812"/>
    <s v="RK201"/>
    <s v="GB200 L11 NVLink Switch Information Consistent Check fail"/>
    <s v="3/28/2026"/>
    <x v="0"/>
    <s v="L11 NVLink Switch Information Consistent Check fail"/>
    <s v="NVSwitch"/>
    <x v="2"/>
    <s v="MT2611602R1Z"/>
    <s v="MT2610600WYZ"/>
    <s v="Rack"/>
    <s v="TX2-5S"/>
    <n v="90160"/>
    <s v="InTest"/>
  </r>
  <r>
    <s v="P26305201"/>
    <s v="3/28/2026 12:23:47 AM"/>
    <x v="3"/>
    <s v="SR020323268797"/>
    <s v="RK202"/>
    <s v="GB200 L11 Compute Node Information Consistent Check fail"/>
    <s v="3/28/2026"/>
    <x v="0"/>
    <s v="L11 Compute Node Information Consistent Check fail / NVRM FAIL"/>
    <s v="GB300 L10"/>
    <x v="14"/>
    <s v="A979646X6315464"/>
    <s v="A979646X6320357"/>
    <s v="Rack"/>
    <s v="TX2-5S"/>
    <n v="90160"/>
    <s v="InTest"/>
  </r>
  <r>
    <s v="P26305203"/>
    <s v="3/28/2026 12:39:23 AM"/>
    <x v="3"/>
    <s v="SR020320265067"/>
    <s v="RK202"/>
    <s v="GB200 L11 Compute Node Information Consistent Check fail"/>
    <s v="3/28/2026"/>
    <x v="0"/>
    <s v="L11 Compute Node Information Consistent Check fail / NVRM FAIL"/>
    <s v="GB300 L10"/>
    <x v="14"/>
    <s v="A979646X6315664"/>
    <s v="A979646X6319703"/>
    <s v="Rack"/>
    <s v="TX2-5S"/>
    <n v="90160"/>
    <s v="InTest"/>
  </r>
  <r>
    <s v="P26305206"/>
    <s v="3/28/2026 12:45:43 AM"/>
    <x v="3"/>
    <s v="SR020323261254"/>
    <s v="RK202"/>
    <s v="GB200 L11 Compute Node Information Consistent Check fail"/>
    <s v="3/28/2026"/>
    <x v="0"/>
    <s v="L11 Compute Node Information Consistent Check fail / NVRM FAIL"/>
    <s v="GB300 L10"/>
    <x v="14"/>
    <s v="A979646X6214984"/>
    <s v="A979646X6320914"/>
    <s v="Rack"/>
    <s v="TX2-5S"/>
    <n v="90160"/>
    <s v="InTest"/>
  </r>
  <r>
    <s v="P26305209"/>
    <s v="3/28/2026 1:08:01 AM"/>
    <x v="3"/>
    <s v="SR020323267586"/>
    <s v="RK202"/>
    <s v="GB200 L11 Compute Node Information Consistent Check fail"/>
    <s v="3/28/2026"/>
    <x v="0"/>
    <s v="L11 Compute Node Information Consistent Check fail / NVRM FAIL"/>
    <s v="GB300 L10"/>
    <x v="14"/>
    <s v="A979646X6317632"/>
    <s v="A979646X6315225"/>
    <s v="Rack"/>
    <s v="TX2-5S"/>
    <n v="90160"/>
    <s v="InTest"/>
  </r>
  <r>
    <s v="P26305237"/>
    <s v="3/28/2026 1:59:48 AM"/>
    <x v="3"/>
    <s v="SR020323268573"/>
    <s v="RK131"/>
    <s v="GB200 GPU Missing"/>
    <s v="3/28/2026"/>
    <x v="0"/>
    <s v="NVIDIA SMI tool only detected 3 GPU and it does not match the requesed 4"/>
    <s v="GB300 L10"/>
    <x v="14"/>
    <s v="A979646X6318784"/>
    <s v="A979646X6318710"/>
    <s v="Rack"/>
    <s v="TX2-5S"/>
    <n v="3908"/>
    <s v="InTest"/>
  </r>
  <r>
    <s v="P26305242"/>
    <s v="3/28/2026 6:44:11 AM"/>
    <x v="3"/>
    <s v="SR020323267924"/>
    <s v="RK217"/>
    <s v="GB200 L11 Leakage sensor issue"/>
    <s v="3/28/2026"/>
    <x v="0"/>
    <s v="L11 Leakage sensor issue / Liquid cooling device has leakage! SR020323267924"/>
    <s v="GB300 L10"/>
    <x v="14"/>
    <s v="A979646X6318692"/>
    <s v="A979646X6318135"/>
    <s v="Rack"/>
    <s v="TX2-5S"/>
    <n v="90160"/>
    <s v="InTest"/>
  </r>
  <r>
    <s v="P26305252"/>
    <s v="3/28/2026 12:33:56 PM"/>
    <x v="3"/>
    <s v="SR020323268058"/>
    <s v="RK024"/>
    <s v="Cable cartridge Defect"/>
    <s v="3/28/2026"/>
    <x v="0"/>
    <s v="CC2_C5_Lane_8, link_none,0, 0"/>
    <s v="Cable Cartridge"/>
    <x v="3"/>
    <n v="2020726350571"/>
    <n v="2021026491020"/>
    <s v="Rack"/>
    <s v="TX2-5S"/>
    <n v="2984"/>
    <s v="InTest"/>
  </r>
  <r>
    <s v="P26305276"/>
    <s v="3/30/2026 7:12:40 AM"/>
    <x v="3"/>
    <s v="SR020320267005"/>
    <s v="RK024"/>
    <s v="Cable cartridge Defect"/>
    <s v="3/28/2026"/>
    <x v="0"/>
    <s v="Failed to executed command sudo python import base64 cable cartridge3 eeprom"/>
    <s v="NVSwitch"/>
    <x v="2"/>
    <s v="MT2543600WCG"/>
    <s v="MT2610600A4T"/>
    <s v="Rack"/>
    <s v="TX2-5S"/>
    <n v="2984"/>
    <s v="InTest"/>
  </r>
  <r>
    <s v="P26305292"/>
    <s v="3/28/2026 3:54:30 PM"/>
    <x v="3"/>
    <s v="SR020327263703"/>
    <s v="RK214"/>
    <s v="GB200 L11 Unable to power on"/>
    <s v="3/28/2026"/>
    <x v="0"/>
    <s v="GB200 L11 Unable to power on"/>
    <s v="GB300 L10"/>
    <x v="14"/>
    <s v="A979646X6315207"/>
    <s v="A979646X6317962"/>
    <s v="Rack"/>
    <s v="TX2-5S"/>
    <n v="3908"/>
    <s v="InTest"/>
  </r>
  <r>
    <s v="P26305305"/>
    <s v="3/28/2026 8:50:01 PM"/>
    <x v="5"/>
    <s v="SR020320268666"/>
    <s v="RK197"/>
    <s v="GB200 Cable Cartridge fail"/>
    <s v="3/28/2026"/>
    <x v="0"/>
    <s v="GB200 Cable Cartridge fail"/>
    <s v="Cable Cartridge"/>
    <x v="3"/>
    <n v="2020726351387"/>
    <n v="1823225350165"/>
    <s v="Rack"/>
    <s v="TX2-5S"/>
    <n v="90131"/>
    <s v="InTest"/>
  </r>
  <r>
    <s v="P26305316"/>
    <s v="3/28/2026 10:32:51 PM"/>
    <x v="3"/>
    <s v="SR020327269737"/>
    <s v="RK202"/>
    <s v="GB200 L11 Compute Node Information Consistent Check fail"/>
    <s v="3/28/2026"/>
    <x v="0"/>
    <s v="GB200 L11 Compute Node Information Consistent Check fail"/>
    <s v="GB300 L10"/>
    <x v="14"/>
    <s v="A979646X6306747"/>
    <s v="A979646X6319291"/>
    <s v="Rack"/>
    <s v="TX2-5S"/>
    <n v="90185"/>
    <s v="InTest"/>
  </r>
  <r>
    <s v="P26305318"/>
    <s v="3/28/2026 10:53:07 PM"/>
    <x v="3"/>
    <s v="SR020327264812"/>
    <s v="RK214"/>
    <s v="GB200 L11 Unable to power on"/>
    <s v="3/28/2026"/>
    <x v="0"/>
    <s v="L11 Unable to power on / no power led light"/>
    <s v="GB300 L10"/>
    <x v="14"/>
    <s v="A979646X6317495"/>
    <s v="A979646X6320928"/>
    <s v="Rack"/>
    <s v="TX2-5S"/>
    <n v="90185"/>
    <s v="InTest"/>
  </r>
  <r>
    <s v="P26305354"/>
    <s v="3/29/2026 12:59:22 PM"/>
    <x v="3"/>
    <s v="SR020327267253"/>
    <s v="RK023"/>
    <s v="NVLINK Switch Functional Issue"/>
    <s v="3/29/2026"/>
    <x v="0"/>
    <s v="L11 NVLINK Switch Functional Issue"/>
    <s v="NVSwitch"/>
    <x v="2"/>
    <s v="MT26106040ZF"/>
    <s v="MT2610600WTY"/>
    <s v="Rack"/>
    <s v="TX2-5S"/>
    <n v="90036"/>
    <s v="InTest"/>
  </r>
  <r>
    <s v="P26305355"/>
    <s v="3/29/2026 1:07:51 PM"/>
    <x v="3"/>
    <s v="SR020327268410"/>
    <s v="RK214"/>
    <s v="GB200 L11 Unable to power on"/>
    <s v="3/29/2026"/>
    <x v="0"/>
    <s v="L11 Unable to power on,"/>
    <s v="GB300 L10"/>
    <x v="14"/>
    <s v="A979646X6320699"/>
    <s v="A979646X6320376"/>
    <s v="Rack"/>
    <s v="TX2-5S"/>
    <n v="90036"/>
    <s v="InTest"/>
  </r>
  <r>
    <s v="P26305363"/>
    <s v="3/29/2026 6:22:44 PM"/>
    <x v="5"/>
    <s v="SR020320268666"/>
    <s v="RK215"/>
    <s v="GB200 L11 Auto Reboot"/>
    <s v="3/29/2026"/>
    <x v="0"/>
    <s v="GB200 L11 Auto Reboot"/>
    <s v="GB300 L10"/>
    <x v="17"/>
    <s v="A983988X6310594"/>
    <s v="A979646X6320261"/>
    <s v="Rack"/>
    <s v="TX2-5S"/>
    <n v="3908"/>
    <s v="InTest"/>
  </r>
  <r>
    <s v="P26305365"/>
    <s v="3/29/2026 6:30:07 PM"/>
    <x v="3"/>
    <s v="SR020323266037"/>
    <s v="RK215"/>
    <s v="GB200 L11 Auto Reboot"/>
    <s v="3/29/2026"/>
    <x v="0"/>
    <s v="GB200 L11 Auto Reboot / Auto Shutdown"/>
    <s v="GB300 L10"/>
    <x v="14"/>
    <s v="A979646X6317231"/>
    <s v="A979646X6320777"/>
    <s v="Rack"/>
    <s v="TX2-5S"/>
    <n v="90185"/>
    <s v="InTest"/>
  </r>
  <r>
    <s v="P26305367"/>
    <s v="3/29/2026 6:35:17 PM"/>
    <x v="3"/>
    <s v="SR020327269737"/>
    <s v="RK202"/>
    <s v="GB200 L11 Compute Node Information Consistent Check fail"/>
    <s v="3/29/2026"/>
    <x v="0"/>
    <s v="GB200 L11 Compute Node Information Consistent Check fail"/>
    <s v="GB300 L10"/>
    <x v="14"/>
    <s v="A979646X6315469"/>
    <s v="A979646X6316281"/>
    <s v="Rack"/>
    <s v="TX2-5S"/>
    <n v="90185"/>
    <s v="InTest"/>
  </r>
  <r>
    <s v="P26305369"/>
    <s v="3/29/2026 7:52:16 PM"/>
    <x v="3"/>
    <s v="SR020323266890"/>
    <s v="RK215"/>
    <s v="GB200 L11 Auto Reboot"/>
    <s v="3/29/2026"/>
    <x v="0"/>
    <s v="GB200 L11 Auto Reboot"/>
    <s v="GB300 L10"/>
    <x v="14"/>
    <s v="A979646X6317913"/>
    <s v="A979646X6318139"/>
    <s v="Rack"/>
    <s v="TX2-5S"/>
    <n v="90185"/>
    <s v="InTest"/>
  </r>
  <r>
    <s v="P26305371"/>
    <s v="3/29/2026 7:58:02 PM"/>
    <x v="3"/>
    <s v="SR020327266203"/>
    <s v="RK202"/>
    <s v="GB200 L11 Compute Node Information Consistent Check fail"/>
    <s v="3/29/2026"/>
    <x v="0"/>
    <s v="GB200 L11 Compute Node Information Consistent Check fail"/>
    <s v="GB300 L10"/>
    <x v="14"/>
    <s v="A979646X6317890"/>
    <s v="A979646X6321087"/>
    <s v="Rack"/>
    <s v="TX2-5S"/>
    <n v="90185"/>
    <s v="InTest"/>
  </r>
  <r>
    <s v="P26305373"/>
    <s v="3/29/2026 8:11:42 PM"/>
    <x v="3"/>
    <s v="SR020327267188"/>
    <s v="RK202"/>
    <s v="GB200 L11 Compute Node Information Consistent Check fail"/>
    <s v="3/29/2026"/>
    <x v="0"/>
    <s v="GB200 L11 Compute Node Information Consistent Check fail"/>
    <s v="GB300 L10"/>
    <x v="14"/>
    <s v="A979646X6317506"/>
    <s v="A979646X6320261"/>
    <s v="Rack"/>
    <s v="TX2-5S"/>
    <n v="90185"/>
    <s v="InTest"/>
  </r>
  <r>
    <s v="P26305376"/>
    <s v="3/29/2026 10:07:30 PM"/>
    <x v="3"/>
    <s v="SR020323268755"/>
    <s v="RK205"/>
    <s v="GB200 L11 Compute Tray Nvidia Field Diag Test fail"/>
    <s v="3/29/2026"/>
    <x v="0"/>
    <s v="GB200 L11 Compute Tray Nvidia Field Diag Test fail"/>
    <s v="GB300 L10"/>
    <x v="14"/>
    <s v="A979646X6318838"/>
    <s v="A979646X6322359"/>
    <s v="Rack"/>
    <s v="TX2-5S"/>
    <n v="90185"/>
    <s v="InTest"/>
  </r>
  <r>
    <s v="P26305377"/>
    <s v="3/29/2026 9:01:35 PM"/>
    <x v="3"/>
    <s v="SR020327264815"/>
    <s v="RK024"/>
    <s v="Cable cartridge Defect"/>
    <s v="3/29/2026"/>
    <x v="0"/>
    <s v="L11 Cable Cartridge Defect (BENT PIN SLOT 1) Rack0_SW0_acp61CC0_C15_Lane_0 link_none"/>
    <s v="Cable Cartridge"/>
    <x v="3"/>
    <n v="1823525350191"/>
    <n v="2021026490669"/>
    <s v="Rack"/>
    <s v="TX2-5S"/>
    <n v="90160"/>
    <s v="InTest"/>
  </r>
  <r>
    <s v="P26305378"/>
    <s v="3/29/2026 9:59:39 PM"/>
    <x v="3"/>
    <s v="SR020327269761"/>
    <s v="RK202"/>
    <s v="GB200 L11 Compute Node Information Consistent Check fail"/>
    <s v="3/29/2026"/>
    <x v="0"/>
    <s v="L11 Compute Node Information Consistent Check fail / NVRM FAIL"/>
    <s v="GB300 L10"/>
    <x v="14"/>
    <s v="A979646X6302524"/>
    <s v="A979646X6318930"/>
    <s v="Rack"/>
    <s v="TX2-5S"/>
    <n v="90160"/>
    <s v="InTest"/>
  </r>
  <r>
    <s v="P26305380"/>
    <s v="3/29/2026 10:12:53 PM"/>
    <x v="3"/>
    <s v="SR020327262147"/>
    <s v="RK202"/>
    <s v="GB200 L11 Compute Node Information Consistent Check fail"/>
    <s v="3/29/2026"/>
    <x v="0"/>
    <s v="L11 Compute Node Information Consistent Check fail / NVRM FAIL"/>
    <s v="GB300 L10"/>
    <x v="14"/>
    <s v="A979646X6216564"/>
    <s v="A979646X6316269"/>
    <s v="Rack"/>
    <s v="TX2-5S"/>
    <n v="90160"/>
    <s v="InTest"/>
  </r>
  <r>
    <s v="P26305381"/>
    <s v="3/29/2026 10:13:53 PM"/>
    <x v="3"/>
    <s v="SR020323268755"/>
    <s v="RK205"/>
    <s v="GB200 L11 Compute Tray Nvidia Field Diag Test fail"/>
    <s v="3/29/2026"/>
    <x v="0"/>
    <s v="GB300 L11 Compute Tray Nvidia Field Diag Test fail"/>
    <s v="GB300 L10"/>
    <x v="14"/>
    <s v="A979646X6306543"/>
    <s v="A979646X6319335"/>
    <s v="Rack"/>
    <s v="TX2-5S"/>
    <n v="90185"/>
    <s v="InTest"/>
  </r>
  <r>
    <s v="P26305385"/>
    <s v="3/29/2026 10:24:28 PM"/>
    <x v="3"/>
    <s v="SR020327269761"/>
    <s v="RK202"/>
    <s v="GB200 L11 Compute Node Information Consistent Check fail"/>
    <s v="3/29/2026"/>
    <x v="0"/>
    <s v="L11 Compute Node Information Consistent Check fail / NVRM FAIL"/>
    <s v="GB300 L10"/>
    <x v="14"/>
    <s v="A979646X6320799"/>
    <s v="A979646X6320950"/>
    <s v="Rack"/>
    <s v="TX2-5S"/>
    <n v="90160"/>
    <s v="InTest"/>
  </r>
  <r>
    <s v="P26305386"/>
    <s v="3/29/2026 10:24:59 PM"/>
    <x v="3"/>
    <s v="SR020323266890"/>
    <s v="RK205"/>
    <s v="GB200 L11 Compute Tray Nvidia Field Diag Test fail"/>
    <s v="3/29/2026"/>
    <x v="0"/>
    <s v="GB200 L11 Compute Tray Nvidia Field Diag Test fail"/>
    <s v="GB300 L10"/>
    <x v="14"/>
    <s v="A979646X6317228"/>
    <s v="A979646X6320844"/>
    <s v="Rack"/>
    <s v="TX2-5S"/>
    <n v="90185"/>
    <s v="InTest"/>
  </r>
  <r>
    <s v="P26305389"/>
    <s v="3/29/2026 10:38:03 PM"/>
    <x v="3"/>
    <s v="SR020327263738"/>
    <s v="RK024"/>
    <s v="Cable cartridge Defect"/>
    <s v="3/29/2026"/>
    <x v="0"/>
    <s v="Cable cartridge Defect/ bent pin rack slot #14"/>
    <s v="Cable Cartridge"/>
    <x v="3"/>
    <n v="1823025355743"/>
    <n v="2020726351387"/>
    <s v="Rack"/>
    <s v="TX2-5S"/>
    <n v="90185"/>
    <s v="InTest"/>
  </r>
  <r>
    <s v="P26305434"/>
    <s v="3/30/2026 8:14:56 AM"/>
    <x v="3"/>
    <s v="SR020327269737"/>
    <s v="RK130"/>
    <s v="GB200 Auto Reboot"/>
    <s v="3/30/2026"/>
    <x v="0"/>
    <s v="GB300 auto shutdown"/>
    <s v="GB300 L10"/>
    <x v="14"/>
    <s v="A979646X6315493"/>
    <s v="A979646X6319718"/>
    <s v="Rack"/>
    <s v="TX2-5S"/>
    <n v="1237"/>
    <s v="InTest"/>
  </r>
  <r>
    <s v="P26305461"/>
    <s v="3/30/2026 12:43:54 PM"/>
    <x v="3"/>
    <s v="SR020323268755"/>
    <s v="RK217"/>
    <s v="GB200 L11 Leakage sensor issue"/>
    <s v="3/30/2026"/>
    <x v="0"/>
    <s v="ONLY 0 FABRIC STATE SHOWS OK, EXPECTED 4"/>
    <s v="GB300 L10"/>
    <x v="14"/>
    <s v="A979646X6319335"/>
    <s v="A979646X6320238"/>
    <s v="Rack"/>
    <s v="TX2-5S"/>
    <n v="718"/>
    <s v="InTest"/>
  </r>
  <r>
    <s v="P26305486"/>
    <s v="3/30/2026 5:03:43 PM"/>
    <x v="3"/>
    <s v="SR020323266890"/>
    <s v="RK206"/>
    <s v="GB200 L11 Single Node NCCL Test fail"/>
    <s v="3/30/2026"/>
    <x v="0"/>
    <s v="GB200 L11 Single Node NCCL Test fail"/>
    <s v="GB300 L10"/>
    <x v="14"/>
    <s v="A979646X6214959"/>
    <s v="A979646X6316284"/>
    <s v="Rack"/>
    <s v="TX2-5S"/>
    <n v="90185"/>
    <s v="InTest"/>
  </r>
  <r>
    <s v="P26305487"/>
    <s v="3/30/2026 5:05:45 PM"/>
    <x v="3"/>
    <s v="SR020323266890"/>
    <s v="RK202"/>
    <s v="GB200 L11 Compute Node Information Consistent Check fail"/>
    <s v="3/30/2026"/>
    <x v="0"/>
    <s v="GB200 L11 Compute Node Information Consistent Check fail"/>
    <s v="GB300 L10"/>
    <x v="14"/>
    <s v="A979646X6305691"/>
    <s v="A979646X6316272"/>
    <s v="Rack"/>
    <s v="TX2-5S"/>
    <n v="90185"/>
    <s v="InTest"/>
  </r>
  <r>
    <s v="P26305495"/>
    <s v="3/30/2026 5:40:40 PM"/>
    <x v="3"/>
    <s v="SR020323268755"/>
    <s v="RK215"/>
    <s v="GB200 L11 Auto Reboot"/>
    <s v="3/30/2026"/>
    <x v="0"/>
    <s v="GB200 L11 Auto Reboot"/>
    <s v="GB300 L10"/>
    <x v="14"/>
    <s v="A979646X6320238"/>
    <s v="A97964X6319732"/>
    <s v="Rack"/>
    <s v="TX2-5S"/>
    <n v="90185"/>
    <s v="InTest"/>
  </r>
  <r>
    <s v="P26305532"/>
    <s v="3/30/2026 9:16:32 PM"/>
    <x v="3"/>
    <s v="SR020327266653"/>
    <s v="RK022"/>
    <s v="Power Shelf Defective"/>
    <s v="3/30/2026"/>
    <x v="0"/>
    <s v="Power Shelf Defective (PMB LED NOT FUNCTION)"/>
    <s v="Power Shelf Control Module"/>
    <x v="15"/>
    <s v="614MP1RBX03X1605060"/>
    <s v="614MP1RBX03X16051CH"/>
    <s v="Rack"/>
    <s v="TX2-5S"/>
    <n v="90066"/>
    <s v="InTest"/>
  </r>
  <r>
    <s v="P26305536"/>
    <s v="3/30/2026 9:06:04 PM"/>
    <x v="3"/>
    <s v="SR020327269676"/>
    <s v="RK202"/>
    <s v="GB200 L11 Compute Node Information Consistent Check fail"/>
    <s v="3/30/2026"/>
    <x v="0"/>
    <s v="L11 Compute Node Information Consistent Check fail / NVRM FAIL"/>
    <s v="GB300 L10"/>
    <x v="14"/>
    <s v="A979646X6320967"/>
    <s v="A979646X6319709"/>
    <s v="Rack"/>
    <s v="TX2-5S"/>
    <n v="90160"/>
    <s v="InTest"/>
  </r>
  <r>
    <s v="P26305540"/>
    <s v="3/30/2026 9:19:17 PM"/>
    <x v="3"/>
    <s v="SR020327265629"/>
    <s v="RK202"/>
    <s v="GB200 L11 Compute Node Information Consistent Check fail"/>
    <s v="3/30/2026"/>
    <x v="0"/>
    <s v="L11 Compute Node Information Consistent Check fail / NVRM FAIL"/>
    <s v="GB300 L10"/>
    <x v="14"/>
    <s v="A979646X6318928"/>
    <s v="A979646X6319700"/>
    <s v="Rack"/>
    <s v="TX2-5S"/>
    <n v="90160"/>
    <s v="InTest"/>
  </r>
  <r>
    <s v="P26305552"/>
    <s v="3/30/2026 11:25:07 PM"/>
    <x v="3"/>
    <s v="SR020320267005"/>
    <s v="RK202"/>
    <s v="GB200 L11 Compute Node Information Consistent Check fail"/>
    <s v="3/30/2026"/>
    <x v="0"/>
    <s v="L11 Compute Node Information Consistent Check fail / NVRM FAIL"/>
    <s v="GB300 L10"/>
    <x v="14"/>
    <s v="A979646X6302676"/>
    <s v="A979646X6321050"/>
    <s v="Rack"/>
    <s v="TX2-5S"/>
    <n v="90160"/>
    <s v="InTest"/>
  </r>
  <r>
    <s v="P26305555"/>
    <s v="3/30/2026 11:36:24 PM"/>
    <x v="3"/>
    <s v="SR020323268058"/>
    <s v="RK202"/>
    <s v="GB200 L11 Compute Node Information Consistent Check fail"/>
    <s v="3/30/2026"/>
    <x v="0"/>
    <s v="L11 Compute Node Information Consistent Check fail / NVRM FAIL"/>
    <s v="GB300 L10"/>
    <x v="14"/>
    <s v="A979646X6317751"/>
    <s v="A979646X6321262"/>
    <s v="Rack"/>
    <s v="TX2-5S"/>
    <n v="90160"/>
    <s v="InTest"/>
  </r>
  <r>
    <s v="P26305589"/>
    <s v="3/31/2026 1:18:27 AM"/>
    <x v="3"/>
    <s v="SR020323266037"/>
    <s v="RK202"/>
    <s v="GB200 L11 Compute Node Information Consistent Check fail"/>
    <s v="3/31/2026"/>
    <x v="0"/>
    <s v="GB200 L11 Compute Node Information Consistent Check fail"/>
    <s v="GB300 L10"/>
    <x v="14"/>
    <s v="A979646X6317324"/>
    <s v="A979646X6320952"/>
    <s v="Rack"/>
    <s v="TX2-5S"/>
    <n v="90185"/>
    <s v="InTest"/>
  </r>
  <r>
    <s v="P26305649"/>
    <s v="3/31/2026 1:55:05 PM"/>
    <x v="3"/>
    <s v="SR020327262812"/>
    <s v="RK023"/>
    <s v="NVLINK Switch Functional Issue"/>
    <s v="3/31/2026"/>
    <x v="0"/>
    <s v="燈號異常"/>
    <s v="NVSwitch"/>
    <x v="2"/>
    <s v="MT26096050JY"/>
    <s v="MT26056045KY"/>
    <s v="Rack"/>
    <s v="TX2-5S"/>
    <n v="718"/>
    <s v="InTest"/>
  </r>
  <r>
    <s v="P26305650"/>
    <s v="3/31/2026 1:55:05 PM"/>
    <x v="3"/>
    <s v="SR020327262812"/>
    <s v="RK023"/>
    <s v="NVLINK Switch Functional Issue"/>
    <s v="3/31/2026"/>
    <x v="0"/>
    <s v="燈號異常"/>
    <s v="NVSwitch"/>
    <x v="2"/>
    <s v="MT26096050JZ"/>
    <s v="MT26056045KZ"/>
    <s v="Rack"/>
    <s v="TX2-5S"/>
    <n v="718"/>
    <s v="InTest"/>
  </r>
  <r>
    <s v="P26305665"/>
    <s v="3/31/2026 3:47:30 PM"/>
    <x v="3"/>
    <s v="SR020327264112"/>
    <s v="RK023"/>
    <s v="NVLINK Switch Functional Issue"/>
    <s v="3/31/2026"/>
    <x v="0"/>
    <s v="NVLINK Switch Functional Issue / Unable to update"/>
    <s v="NVSwitch"/>
    <x v="2"/>
    <s v="MT2604600F1G"/>
    <s v="MT26056045L0"/>
    <s v="Rack"/>
    <s v="TX2-5S"/>
    <n v="90185"/>
    <s v="InTest"/>
  </r>
  <r>
    <s v="P26305720"/>
    <s v="3/31/2026 9:19:42 PM"/>
    <x v="3"/>
    <s v="SR020327263868"/>
    <s v="RK024"/>
    <s v="Cable cartridge Defect"/>
    <s v="3/31/2026"/>
    <x v="0"/>
    <s v="Rack0_SW6_acp55 CC2_C13_Lane_12 link_bad_quality_high_ber"/>
    <s v="Cable Cartridge"/>
    <x v="3"/>
    <n v="2021026491257"/>
    <n v="2021026490502"/>
    <s v="Rack"/>
    <s v="TX2-5S"/>
    <n v="90185"/>
    <s v="InTest"/>
  </r>
  <r>
    <s v="P26305724"/>
    <s v="3/31/2026 10:29:25 PM"/>
    <x v="3"/>
    <s v="SR020327268050"/>
    <s v="RK024"/>
    <s v="Cable cartridge Defect"/>
    <s v="3/31/2026"/>
    <x v="0"/>
    <s v="BENT PIN RACK SLOT #5 AND RACK SLOT #9"/>
    <s v="Cable Cartridge"/>
    <x v="3"/>
    <n v="2021026491312"/>
    <n v="1823525350470"/>
    <s v="Rack"/>
    <s v="TX2-5S"/>
    <n v="90185"/>
    <s v="InTest"/>
  </r>
  <r>
    <s v="P26400002"/>
    <s v="4/1/2026 12:39:46 AM"/>
    <x v="3"/>
    <s v="SR020323266037"/>
    <s v="RK202"/>
    <s v="GB200 L11 Compute Node Information Consistent Check fail"/>
    <s v="4/1/2026"/>
    <x v="0"/>
    <s v="GB200 L11 Compute Node Information Consistent Check fail"/>
    <s v="GB300 L10"/>
    <x v="14"/>
    <s v="A979646X6322364"/>
    <s v="A979646X6315493"/>
    <s v="Rack"/>
    <s v="TX2-5S"/>
    <n v="90185"/>
    <s v="InTest"/>
  </r>
  <r>
    <s v="P26400003"/>
    <s v="4/1/2026 12:41:10 AM"/>
    <x v="3"/>
    <s v="SR020327265438"/>
    <s v="RK217"/>
    <s v="GB200 L11 Leakage sensor issue"/>
    <s v="4/1/2026"/>
    <x v="0"/>
    <s v="GB200 L11 Leakage sensor issue"/>
    <s v="GB300 L10"/>
    <x v="14"/>
    <s v="A979646X6319342"/>
    <s v="A979646X6317890"/>
    <s v="Rack"/>
    <s v="TX2-5S"/>
    <n v="90185"/>
    <s v="InTest"/>
  </r>
  <r>
    <s v="P26400005"/>
    <s v="4/1/2026 12:45:13 AM"/>
    <x v="3"/>
    <s v="SR020327267852"/>
    <s v="RK202"/>
    <s v="GB200 L11 Compute Node Information Consistent Check fail"/>
    <s v="4/1/2026"/>
    <x v="0"/>
    <s v="GB200 L11 Compute Node Information Consistent Check fail"/>
    <s v="GB300 L10"/>
    <x v="14"/>
    <s v="A979646X6320248"/>
    <s v="A979646X6302124"/>
    <s v="Rack"/>
    <s v="TX2-5S"/>
    <n v="90185"/>
    <s v="InTest"/>
  </r>
  <r>
    <s v="P26400007"/>
    <s v="4/1/2026 12:54:12 AM"/>
    <x v="3"/>
    <s v="SR020327266174"/>
    <s v="RK197"/>
    <s v="GB200 Cable Cartridge fail"/>
    <s v="4/1/2026"/>
    <x v="0"/>
    <s v="L11 Cable Cartridge fail / BENT PIN SLOT 12"/>
    <s v="Cable Cartridge"/>
    <x v="3"/>
    <n v="2021026491189"/>
    <n v="1820926356680"/>
    <s v="Rack"/>
    <s v="TX2-5S"/>
    <n v="90160"/>
    <s v="InTest"/>
  </r>
  <r>
    <s v="P26400008"/>
    <s v="4/1/2026 12:55:50 AM"/>
    <x v="3"/>
    <s v="SR020327267852"/>
    <s v="RK023"/>
    <s v="NVLINK Switch Functional Issue"/>
    <s v="4/1/2026"/>
    <x v="0"/>
    <s v="NVLINK Switch Functional Issue / UNABLE TO UPDATE"/>
    <s v="NVSwitch"/>
    <x v="2"/>
    <s v="MT2607601W0F"/>
    <s v="MT26056044ZJ"/>
    <s v="Rack"/>
    <s v="TX2-5S"/>
    <n v="90185"/>
    <s v="InTest"/>
  </r>
  <r>
    <s v="P26400009"/>
    <s v="4/1/2026 1:01:35 AM"/>
    <x v="3"/>
    <s v="SR020323266890"/>
    <s v="NT006"/>
    <s v="No BMC IP address / BMC port issue(IPMI IP為0.0.0.0)"/>
    <s v="4/1/2026"/>
    <x v="0"/>
    <s v="No BMC IP address / BMC port issue(IPMI IP為0.0.0.0)"/>
    <s v="GB300 L10"/>
    <x v="14"/>
    <s v="A979646X6319743"/>
    <s v="A9796466317228"/>
    <s v="Rack"/>
    <s v="TX2-5S"/>
    <n v="90185"/>
    <s v="InTest"/>
  </r>
  <r>
    <s v="P26400081"/>
    <s v="4/1/2026 1:54:36 PM"/>
    <x v="3"/>
    <s v="SR020327266787"/>
    <s v="RK023"/>
    <s v="NVLINK Switch Functional Issue"/>
    <s v="4/1/2026"/>
    <x v="0"/>
    <s v="NVL Switch e4:6d:ab:c4:b6:7c;10.10.6.8 unreachabl"/>
    <s v="NVSwitch"/>
    <x v="2"/>
    <s v="MT2606605V4E"/>
    <s v="MT26116017HR"/>
    <s v="Rack"/>
    <s v="TX2-5S"/>
    <n v="2984"/>
    <s v="InTest"/>
  </r>
  <r>
    <s v="P26400168"/>
    <s v="4/1/2026 9:19:31 PM"/>
    <x v="3"/>
    <s v="SR020327267645"/>
    <s v="RK202"/>
    <s v="GB200 L11 Compute Node Information Consistent Check fail"/>
    <s v="4/1/2026"/>
    <x v="0"/>
    <s v="L11 Compute Node Information Consistent Check fail / NVRM FAIL"/>
    <s v="GB300 L10"/>
    <x v="14"/>
    <s v="A979646X6316254"/>
    <s v="A979646X6320830"/>
    <s v="Rack"/>
    <s v="TX2-5S"/>
    <n v="90160"/>
    <s v="InTest"/>
  </r>
  <r>
    <s v="P26400170"/>
    <s v="4/1/2026 9:28:30 PM"/>
    <x v="3"/>
    <s v="SR020327267645"/>
    <s v="RK202"/>
    <s v="GB200 L11 Compute Node Information Consistent Check fail"/>
    <s v="4/1/2026"/>
    <x v="0"/>
    <s v="L11 Compute Node Information Consistent Check fail / NVRM FAIL"/>
    <s v="GB300 L10"/>
    <x v="14"/>
    <s v="A979646X6320472"/>
    <s v="A979646X6320982"/>
    <s v="Rack"/>
    <s v="TX2-5S"/>
    <n v="90160"/>
    <s v="InTest"/>
  </r>
  <r>
    <s v="P26400172"/>
    <s v="4/1/2026 9:37:15 PM"/>
    <x v="3"/>
    <s v="SR020331263112"/>
    <s v="RK197"/>
    <s v="GB200 Cable Cartridge fail"/>
    <s v="4/1/2026"/>
    <x v="0"/>
    <s v="L11 Cable cartridge Defect / BENT-PIN SLOT 9 SR020331263112"/>
    <s v="Cable Cartridge"/>
    <x v="3"/>
    <n v="1821026355226"/>
    <n v="1820926356291"/>
    <s v="Rack"/>
    <s v="TX2-5S"/>
    <n v="90160"/>
    <s v="InTest"/>
  </r>
  <r>
    <s v="P26400173"/>
    <s v="4/1/2026 9:46:06 PM"/>
    <x v="3"/>
    <s v="SR020331266225"/>
    <s v="RK202"/>
    <s v="GB200 L11 Compute Node Information Consistent Check fail"/>
    <s v="4/1/2026"/>
    <x v="0"/>
    <s v="L11 Compute Node Information Consistent Check fail / NVRM FAIL"/>
    <s v="GB300 L10"/>
    <x v="14"/>
    <s v="A979646X6317916"/>
    <s v="A979646X6322669"/>
    <s v="Rack"/>
    <s v="TX2-5S"/>
    <n v="90160"/>
    <s v="InTest"/>
  </r>
  <r>
    <s v="P26400175"/>
    <s v="4/1/2026 9:52:33 PM"/>
    <x v="3"/>
    <s v="SR020327269178"/>
    <s v="RK202"/>
    <s v="GB200 L11 Compute Node Information Consistent Check fail"/>
    <s v="4/1/2026"/>
    <x v="0"/>
    <s v="L11 Compute Node Information Consistent Check fail / NVRM FAIL"/>
    <s v="GB300 L10"/>
    <x v="14"/>
    <s v="A979646X6311306"/>
    <s v="A979646X6323334"/>
    <s v="Rack"/>
    <s v="TX2-5S"/>
    <n v="90160"/>
    <s v="InTest"/>
  </r>
  <r>
    <s v="P26400179"/>
    <s v="4/1/2026 10:47:14 PM"/>
    <x v="3"/>
    <s v="SR020327265438"/>
    <s v="RK205"/>
    <s v="GB200 L11 Compute Tray Nvidia Field Diag Test fail"/>
    <s v="4/1/2026"/>
    <x v="0"/>
    <s v="GB200 L11 Compute Tray Nvidia Field Diag Test fail"/>
    <s v="GB300 L10"/>
    <x v="14"/>
    <s v="A979646X6217686"/>
    <s v="A979646X6302124"/>
    <s v="Rack"/>
    <s v="TX2-5S"/>
    <n v="90185"/>
    <s v="InTest"/>
  </r>
  <r>
    <s v="P26400183"/>
    <s v="4/1/2026 11:03:33 PM"/>
    <x v="3"/>
    <s v="SR020331269370"/>
    <s v="RK215"/>
    <s v="GB200 L11 Auto Reboot"/>
    <s v="4/1/2026"/>
    <x v="0"/>
    <s v="GB200 L11 Auto Reboot"/>
    <s v="GB300 L10"/>
    <x v="14"/>
    <s v="A979646X6314878"/>
    <s v="A979646X6322709"/>
    <s v="Rack"/>
    <s v="TX2-5S"/>
    <n v="90185"/>
    <s v="InTest"/>
  </r>
  <r>
    <s v="P26400185"/>
    <s v="4/1/2026 11:07:38 PM"/>
    <x v="3"/>
    <s v="SR020401261062"/>
    <s v="RK215"/>
    <s v="GB200 L11 Auto Reboot"/>
    <s v="4/1/2026"/>
    <x v="0"/>
    <s v="GB200 L11 Auto Reboot"/>
    <s v="GB300 L10"/>
    <x v="14"/>
    <s v="A979646X6321256"/>
    <s v="A979646X6322710"/>
    <s v="Rack"/>
    <s v="TX2-5S"/>
    <n v="90185"/>
    <s v="InTest"/>
  </r>
  <r>
    <s v="P26400187"/>
    <s v="4/1/2026 11:13:41 PM"/>
    <x v="3"/>
    <s v="SR020327265438"/>
    <s v="RK202"/>
    <s v="GB200 L11 Compute Node Information Consistent Check fail"/>
    <s v="4/1/2026"/>
    <x v="0"/>
    <s v="GB200 L11 Compute Node Information Consistent Check fail"/>
    <s v="GB300 L10"/>
    <x v="14"/>
    <s v="A979646X6303743"/>
    <s v="A979646X6322711"/>
    <s v="Rack"/>
    <s v="TX2-5S"/>
    <n v="90185"/>
    <s v="InTest"/>
  </r>
  <r>
    <s v="P26400190"/>
    <s v="4/1/2026 11:20:02 PM"/>
    <x v="3"/>
    <s v="SR020401261062"/>
    <s v="RK212"/>
    <s v="GB200 L11 GPU Missing"/>
    <s v="4/1/2026"/>
    <x v="0"/>
    <s v="GB200 L11 GPU Missing"/>
    <s v="GB300 L10"/>
    <x v="14"/>
    <s v="A979646X6316270"/>
    <s v="A979646X6322712"/>
    <s v="Rack"/>
    <s v="TX2-5S"/>
    <n v="90185"/>
    <s v="InTest"/>
  </r>
  <r>
    <s v="P26400200"/>
    <s v="4/2/2026 1:26:18 AM"/>
    <x v="3"/>
    <s v="SR020401262328"/>
    <s v="RK202"/>
    <s v="GB200 L11 Compute Node Information Consistent Check fail"/>
    <s v="4/2/2026"/>
    <x v="0"/>
    <s v="GB200 L11 Compute Node Information Consistent Check fail"/>
    <s v="GB300 L10"/>
    <x v="14"/>
    <s v="A979646X6322975"/>
    <s v="A979646X6322713"/>
    <s v="Rack"/>
    <s v="TX2-5S"/>
    <n v="90185"/>
    <s v="InTest"/>
  </r>
  <r>
    <s v="P26400241"/>
    <s v="4/2/2026 1:24:54 PM"/>
    <x v="3"/>
    <s v="SR020323262812"/>
    <s v="RK023"/>
    <s v="NVLINK Switch Functional Issue"/>
    <s v="4/2/2026"/>
    <x v="0"/>
    <s v="18 Node NCCL Test due to no flow on all of acp interfaces"/>
    <s v="NVSwitch"/>
    <x v="2"/>
    <s v="MT2611602R1Y"/>
    <s v="MT26116022CH"/>
    <s v="Rack"/>
    <s v="TX2-5S"/>
    <n v="4369"/>
    <s v="InTest"/>
  </r>
  <r>
    <s v="P26400267"/>
    <s v="4/2/2026 2:21:29 PM"/>
    <x v="3"/>
    <s v="SR020327267645"/>
    <s v="RK024"/>
    <s v="Cable cartridge Defect"/>
    <s v="4/2/2026"/>
    <x v="0"/>
    <s v="Rack0_SW4_acp22,CC1_C5_Lane_8, link_high"/>
    <s v="Cable Cartridge"/>
    <x v="3"/>
    <n v="2020526490562"/>
    <n v="1821026355063"/>
    <s v="Rack"/>
    <s v="TX2-5S"/>
    <n v="4369"/>
    <s v="InTest"/>
  </r>
  <r>
    <s v="P26400304"/>
    <s v="4/2/2026 4:01:55 PM"/>
    <x v="3"/>
    <s v="SR020327263868"/>
    <s v="RK023"/>
    <s v="NVLINK Switch Functional Issue"/>
    <s v="4/2/2026"/>
    <x v="0"/>
    <s v="NVLINK Switch Functional Issue / NULL info http:// 10.160.100.12 /logs /Tesla /2026 /April /SR020327263868 /02 /R-BURN /A979646X6317453 /905A083590F1 /905A083590F1.LOG"/>
    <s v="NVSwitch"/>
    <x v="2"/>
    <s v="MT26066046XU"/>
    <s v="MT26056044ZK"/>
    <s v="Rack"/>
    <s v="TX2-5S"/>
    <n v="90185"/>
    <s v="InTest"/>
  </r>
  <r>
    <s v="P26400314"/>
    <s v="4/2/2026 6:18:42 PM"/>
    <x v="3"/>
    <s v="SR020401263281"/>
    <s v="RK023"/>
    <s v="NVLINK Switch Functional Issue"/>
    <s v="4/2/2026"/>
    <x v="0"/>
    <s v="BMC IP NULL http:// 10.160.100.12 /logs /Tesla /2026 /April /SR020401263281 /02 /R-BURN /A979646X6320854 /905A08358B6A /905A08358B6A.LOG"/>
    <s v="NVSwitch"/>
    <x v="2"/>
    <s v="MT2612606T6A"/>
    <s v="MT26056045KP"/>
    <s v="Rack"/>
    <s v="TX2-5S"/>
    <n v="90185"/>
    <s v="InTest"/>
  </r>
  <r>
    <s v="P26400315"/>
    <s v="4/2/2026 7:14:29 PM"/>
    <x v="3"/>
    <s v="SR020401264499"/>
    <s v="RK215"/>
    <s v="GB200 L11 Auto Reboot"/>
    <s v="4/2/2026"/>
    <x v="0"/>
    <s v="GB200 L11 Auto Reboot"/>
    <s v="GB300 L10"/>
    <x v="14"/>
    <s v="A979646X6319312"/>
    <s v="A979646X6323900"/>
    <s v="Rack"/>
    <s v="TX2-5S"/>
    <n v="90185"/>
    <s v="InTest"/>
  </r>
  <r>
    <s v="P26400317"/>
    <s v="4/2/2026 7:18:30 PM"/>
    <x v="3"/>
    <s v="SR020401261062"/>
    <s v="RK215"/>
    <s v="GB200 L11 Auto Reboot"/>
    <s v="4/2/2026"/>
    <x v="0"/>
    <s v="GB200 L11 Auto Reboot"/>
    <s v="GB300 L10"/>
    <x v="14"/>
    <s v="A979646X6322268"/>
    <s v="A979646X6323898"/>
    <s v="Rack"/>
    <s v="TX2-5S"/>
    <n v="90185"/>
    <s v="InTest"/>
  </r>
  <r>
    <s v="P26400319"/>
    <s v="4/2/2026 7:22:36 PM"/>
    <x v="3"/>
    <s v="SR020401264192"/>
    <s v="RK120"/>
    <s v="GB200 IPMI no response/ no IP detected"/>
    <s v="4/2/2026"/>
    <x v="0"/>
    <s v="GB200 IPMI no response/ no IP detected"/>
    <s v="GB300 L10"/>
    <x v="14"/>
    <s v="A979646X6320427"/>
    <s v="A979646X6323817"/>
    <s v="Rack"/>
    <s v="TX2-5S"/>
    <n v="90185"/>
    <s v="InTest"/>
  </r>
  <r>
    <s v="P26400367"/>
    <s v="4/2/2026 9:52:40 PM"/>
    <x v="3"/>
    <s v="SR020401264499"/>
    <s v="RK205"/>
    <s v="GB200 L11 Compute Tray Nvidia Field Diag Test fail"/>
    <s v="4/2/2026"/>
    <x v="0"/>
    <s v="GB200 L11 Compute Tray Nvidia Field Diag Test fail"/>
    <s v="GB300 L10"/>
    <x v="14"/>
    <s v="A979646X6317579"/>
    <s v="A979646X6323388"/>
    <s v="Rack"/>
    <s v="TX2-5S"/>
    <n v="90185"/>
    <s v="InTest"/>
  </r>
  <r>
    <s v="P26400373"/>
    <s v="4/2/2026 10:43:28 PM"/>
    <x v="3"/>
    <s v="SR020401263957"/>
    <s v="RK212"/>
    <s v="GB200 L11 GPU Missing"/>
    <s v="4/2/2026"/>
    <x v="0"/>
    <s v="GB200 L11 GPU Missing"/>
    <s v="GB300 L10"/>
    <x v="14"/>
    <s v="A979646X6321814"/>
    <s v="A979646X6322343"/>
    <s v="Rack"/>
    <s v="TX2-5S"/>
    <n v="90185"/>
    <s v="InTest"/>
  </r>
  <r>
    <s v="P26400376"/>
    <s v="4/2/2026 10:50:47 PM"/>
    <x v="3"/>
    <s v="SR020401263386"/>
    <s v="RK215"/>
    <s v="GB200 L11 Auto Reboot"/>
    <s v="4/2/2026"/>
    <x v="0"/>
    <s v="GB200 L11 Auto Reboot / Auto Shutdown"/>
    <s v="GB300 L10"/>
    <x v="14"/>
    <s v="A979646X6322342"/>
    <s v="A979646X6322342"/>
    <s v="Rack"/>
    <s v="TX2-5S"/>
    <n v="90185"/>
    <s v="InBurnin"/>
  </r>
  <r>
    <s v="P26400377"/>
    <s v="4/2/2026 10:54:00 PM"/>
    <x v="3"/>
    <s v="SR020401264696"/>
    <s v="RK215"/>
    <s v="GB200 L11 Auto Reboot"/>
    <s v="4/2/2026"/>
    <x v="0"/>
    <s v="GB200 L11 Auto Reboot / Auto Shutdown"/>
    <s v="GB300 L10"/>
    <x v="14"/>
    <s v="A979646X6301085"/>
    <s v="A979646X6320819"/>
    <s v="Rack"/>
    <s v="TX2-5S"/>
    <n v="90185"/>
    <s v="InTest"/>
  </r>
  <r>
    <s v="P26400378"/>
    <s v="4/2/2026 10:56:11 PM"/>
    <x v="3"/>
    <s v="SR020401263281"/>
    <s v="RK202"/>
    <s v="GB200 L11 Compute Node Information Consistent Check fail"/>
    <s v="4/2/2026"/>
    <x v="0"/>
    <s v="GB200 L11 Compute Node Information Consistent Check fail"/>
    <s v="GB300 L10"/>
    <x v="14"/>
    <s v="A979646X6323004"/>
    <s v="A979646X6322653"/>
    <s v="Rack"/>
    <s v="TX2-5S"/>
    <n v="90185"/>
    <s v="InTest"/>
  </r>
  <r>
    <s v="P26400406"/>
    <s v="4/3/2026 5:48:53 AM"/>
    <x v="3"/>
    <s v="SR020401265055"/>
    <s v="RK214"/>
    <s v="GB200 L11 Unable to power on"/>
    <s v="4/3/2026"/>
    <x v="0"/>
    <s v="L11 Unable to power on / Button panel not Open SR020401265055"/>
    <s v="GB300 L10"/>
    <x v="14"/>
    <s v="A979646X6314936"/>
    <s v="A979646X6324746"/>
    <s v="Rack"/>
    <s v="TX2-5S"/>
    <n v="90178"/>
    <s v="InTest"/>
  </r>
  <r>
    <s v="P26400409"/>
    <s v="4/3/2026 6:33:54 AM"/>
    <x v="3"/>
    <s v="SR020401265055"/>
    <s v="RK120"/>
    <s v="GB200 IPMI no response/ no IP detected"/>
    <s v="4/3/2026"/>
    <x v="0"/>
    <s v="L11 IPMI no response/ no IP detected"/>
    <s v="GB300 L10"/>
    <x v="14"/>
    <s v="A979646X6321202"/>
    <s v="A979646X6322788"/>
    <s v="Rack"/>
    <s v="TX2-5S"/>
    <n v="90178"/>
    <s v="InTest"/>
  </r>
  <r>
    <s v="P26400418"/>
    <s v="4/3/2026 8:54:51 AM"/>
    <x v="3"/>
    <s v="SR020401263703"/>
    <s v="RK024"/>
    <s v="Cable cartridge Defect"/>
    <s v="4/3/2026"/>
    <x v="0"/>
    <s v="CC0_C3_Lane_7"/>
    <s v="Cable Cartridge"/>
    <x v="3"/>
    <n v="1821026355138"/>
    <n v="1821026354966"/>
    <s v="Rack"/>
    <s v="TX2-5S"/>
    <n v="4369"/>
    <s v="InTest"/>
  </r>
  <r>
    <s v="P26400426"/>
    <s v="4/4/2026 6:41:07 AM"/>
    <x v="3"/>
    <s v="SR020327265593"/>
    <s v="RK198"/>
    <s v="GB200 Power Shelves fail"/>
    <s v="4/3/2026"/>
    <x v="0"/>
    <s v="GB200 Power Shelves fail無法更新_更換_tw640"/>
    <s v="power shelf left input"/>
    <x v="11"/>
    <s v="613337RBX01X16042NV"/>
    <s v="613337RBX01X15502AX"/>
    <s v="Rack"/>
    <s v="TX2-5S"/>
    <n v="640"/>
    <s v="InTest"/>
  </r>
  <r>
    <s v="P26400568"/>
    <s v="4/3/2026 10:22:55 PM"/>
    <x v="3"/>
    <s v="SR020327267475"/>
    <s v="RK124"/>
    <s v="GB200 Firmware flash BMC fail unable detect BMC IP"/>
    <s v="4/3/2026"/>
    <x v="0"/>
    <s v="OPEN BMC"/>
    <s v="GB300 L10"/>
    <x v="14"/>
    <s v="A979646X6318725"/>
    <s v="A979646X6401238"/>
    <s v="Rack"/>
    <s v="TX2-5S"/>
    <n v="90131"/>
    <s v="InTest"/>
  </r>
  <r>
    <s v="P26400576"/>
    <s v="4/3/2026 10:46:43 PM"/>
    <x v="3"/>
    <s v="SR020401265055"/>
    <s v="RK202"/>
    <s v="GB200 L11 Compute Node Information Consistent Check fail"/>
    <s v="4/3/2026"/>
    <x v="0"/>
    <s v="L11 Compute Node Information Consistent Check fail / NVRM FAIL"/>
    <s v="GB300 L10"/>
    <x v="14"/>
    <s v="A979646X6320443"/>
    <s v="A979646X6401522"/>
    <s v="Rack"/>
    <s v="TX2-5S"/>
    <n v="90160"/>
    <s v="InTest"/>
  </r>
  <r>
    <s v="P26400578"/>
    <s v="4/3/2026 10:51:59 PM"/>
    <x v="3"/>
    <s v="SR020401265402"/>
    <s v="RK202"/>
    <s v="GB200 L11 Compute Node Information Consistent Check fail"/>
    <s v="4/3/2026"/>
    <x v="0"/>
    <s v="L11 Compute Node Information Consistent Check fail / NVRM FAIL"/>
    <s v="GB300 L10"/>
    <x v="14"/>
    <s v="A979646X6325021"/>
    <s v="A979646X6401549"/>
    <s v="Rack"/>
    <s v="TX2-5S"/>
    <n v="90160"/>
    <s v="InTest"/>
  </r>
  <r>
    <s v="P26400581"/>
    <s v="4/3/2026 10:59:31 PM"/>
    <x v="3"/>
    <s v="SR020331267046"/>
    <s v="RK202"/>
    <s v="GB200 L11 Compute Node Information Consistent Check fail"/>
    <s v="4/3/2026"/>
    <x v="0"/>
    <s v="L11 Compute Node Information Consistent Check fail / NVRM FAIL"/>
    <s v="GB300 L10"/>
    <x v="14"/>
    <s v="A979646X6321273"/>
    <s v="A979646X6401542"/>
    <s v="Rack"/>
    <s v="TX2-5S"/>
    <n v="90160"/>
    <s v="InTest"/>
  </r>
  <r>
    <s v="P26400589"/>
    <s v="4/4/2026 6:02:52 AM"/>
    <x v="3"/>
    <s v="SR020401266004"/>
    <s v="RK216"/>
    <s v="GB200 L11 Cable Cartridge Nvidia FD Test fail"/>
    <s v="4/4/2026"/>
    <x v="0"/>
    <s v="L11 Cable Cartridge Nvidia FD Test fail Error while invoking api /redfish/v1/Chassis/CBC_0. http:// 10.181.56.71 logs Tesla 2026 April 03 R-BURN A979646X6323222 905A08358593 gb300_cartridge_nvidia_L11_field_diag_summary.log"/>
    <s v="GB300 L10"/>
    <x v="14"/>
    <s v="A979646X6322333"/>
    <s v="A979646X6321792"/>
    <s v="Rack"/>
    <s v="TX2-5S"/>
    <n v="90160"/>
    <s v="InTest"/>
  </r>
  <r>
    <s v="P26400592"/>
    <s v="4/4/2026 6:08:53 AM"/>
    <x v="3"/>
    <s v="SR020401266004"/>
    <s v="RK216"/>
    <s v="GB200 L11 Cable Cartridge Nvidia FD Test fail"/>
    <s v="4/4/2026"/>
    <x v="0"/>
    <s v="L11 Cable Cartridge Nvidia FD Error while invoking api /redfish/v1/Chassis/CBC_0. Test fail http://10.181.56.71 logs Tesla 2026 April 03 R-BURN A979646X6323222 905A08358593 gb300_cartridge_nvidia_L11_field_diag_summary.log"/>
    <s v="GB300 L10"/>
    <x v="14"/>
    <s v="A979646X6322674"/>
    <s v="A979646X6322265"/>
    <s v="Rack"/>
    <s v="TX2-5S"/>
    <n v="90160"/>
    <s v="InTest"/>
  </r>
  <r>
    <s v="P26400624"/>
    <s v="4/4/2026 1:13:07 PM"/>
    <x v="3"/>
    <s v="SR020401267204"/>
    <s v="RK010"/>
    <s v="Switch Cosmetic Issue (Switch外觀不良)"/>
    <s v="4/4/2026"/>
    <x v="0"/>
    <s v="Switch Cosmetic Issue (Switch外觀不良) 第3顆燈號亮度不足_更換_tw640"/>
    <s v="NVSwitch"/>
    <x v="2"/>
    <s v="MT2611602520"/>
    <s v="MT26056045KR"/>
    <s v="Rack"/>
    <s v="TX2-5S"/>
    <n v="640"/>
    <s v="InTest"/>
  </r>
  <r>
    <s v="P26400631"/>
    <s v="4/4/2026 4:56:50 PM"/>
    <x v="3"/>
    <s v="SR020327261542"/>
    <s v="RK098"/>
    <s v="Use to replace L10 servers that have failed Rburn test from the rack. (更換Rack Rburn test fail的 L10系統)"/>
    <s v="4/4/2026"/>
    <x v="0"/>
    <s v="BIOS BUILD DATE 20251003"/>
    <s v="GB300 L10"/>
    <x v="14"/>
    <s v="A979646X6315187"/>
    <s v="A979646X6314878"/>
    <s v="Rack"/>
    <s v="TX2-5S"/>
    <n v="90066"/>
    <s v="InTest"/>
  </r>
  <r>
    <s v="P26400634"/>
    <s v="4/4/2026 5:58:13 PM"/>
    <x v="3"/>
    <s v="SR020401264934"/>
    <s v="HB003"/>
    <s v="LED failure (LED故障)"/>
    <s v="4/4/2026"/>
    <x v="0"/>
    <s v="LED failure (LEDæ•…éšœ) / NO LED LIGHT NVLINK SW"/>
    <s v="GB300 L10"/>
    <x v="14"/>
    <s v="A979646X6321788"/>
    <s v="A979646X6401235"/>
    <s v="Rack"/>
    <s v="TX2-5S"/>
    <n v="90185"/>
    <s v="InTest"/>
  </r>
  <r>
    <s v="P26400639"/>
    <s v="4/4/2026 8:54:23 PM"/>
    <x v="3"/>
    <s v="SR020401266864"/>
    <s v="RK202"/>
    <s v="GB200 L11 Compute Node Information Consistent Check fail"/>
    <s v="4/4/2026"/>
    <x v="0"/>
    <s v="L11 Compute Node Information Consistent Check fail / NVRM FAIL"/>
    <s v="GB300 L10"/>
    <x v="14"/>
    <s v="A979646X6323438"/>
    <s v="A979646X6319722"/>
    <s v="Rack"/>
    <s v="TX2-5S"/>
    <n v="90160"/>
    <s v="InTest"/>
  </r>
  <r>
    <s v="P26400641"/>
    <s v="4/4/2026 9:03:13 PM"/>
    <x v="3"/>
    <s v="SR020327261542"/>
    <s v="RK202"/>
    <s v="GB200 L11 Compute Node Information Consistent Check fail"/>
    <s v="4/4/2026"/>
    <x v="0"/>
    <s v="L11 Compute Node Information Consistent Check fail / NVRM FAIL"/>
    <s v="GB300 L10"/>
    <x v="14"/>
    <s v="A979646X6315187"/>
    <s v="A979646X6314878"/>
    <s v="Rack"/>
    <s v="TX2-5S"/>
    <n v="90160"/>
    <s v="InTest"/>
  </r>
  <r>
    <s v="P26400645"/>
    <s v="4/4/2026 9:13:52 PM"/>
    <x v="3"/>
    <s v="SR020331269709"/>
    <s v="RK202"/>
    <s v="GB200 L11 Compute Node Information Consistent Check fail"/>
    <s v="4/4/2026"/>
    <x v="0"/>
    <s v="L11 Compute Node Information Consistent Check fail / NVRM FAIL"/>
    <s v="GB300 L10"/>
    <x v="14"/>
    <s v="A979646X6320475"/>
    <s v="A979646X6317417"/>
    <s v="Rack"/>
    <s v="TX2-5S"/>
    <n v="90160"/>
    <s v="InTest"/>
  </r>
  <r>
    <s v="P26400667"/>
    <s v="4/4/2026 10:27:47 PM"/>
    <x v="3"/>
    <s v="SR020401262402"/>
    <s v="RK202"/>
    <s v="GB200 L11 Compute Node Information Consistent Check fail"/>
    <s v="4/4/2026"/>
    <x v="0"/>
    <s v="L11 Compute Node Information Consistent Check fail / NVRM FAIL"/>
    <s v="GB300 L10"/>
    <x v="14"/>
    <s v="A979646X6322369"/>
    <s v="A979646X6401523"/>
    <s v="Rack"/>
    <s v="TX2-5S"/>
    <n v="90160"/>
    <s v="InTest"/>
  </r>
  <r>
    <s v="P26400674"/>
    <s v="4/5/2026 5:15:09 AM"/>
    <x v="3"/>
    <s v="SR020401268403"/>
    <s v="RK205"/>
    <s v="GB200 L11 Compute Tray Nvidia Field Diag Test fail"/>
    <s v="4/5/2026"/>
    <x v="0"/>
    <s v="L11 Compute Tray Nvidia Field Diag Test fail / NVRM invalid state or config @(Rack slot 20, CBC 2, 4x19 connector 2)"/>
    <s v="GB300 L10"/>
    <x v="14"/>
    <s v="A979646X6320385"/>
    <s v="A979646X6323319"/>
    <s v="Rack"/>
    <s v="TX2-5S"/>
    <n v="90160"/>
    <s v="InTest"/>
  </r>
  <r>
    <s v="P26400683"/>
    <s v="4/5/2026 5:49:50 AM"/>
    <x v="3"/>
    <s v="SR020331269324"/>
    <s v="RK214"/>
    <s v="GB200 L11 Unable to power on"/>
    <s v="4/5/2026"/>
    <x v="0"/>
    <s v="L11 Unable to power on/ PANNEL BUTTON NOT POWER ON"/>
    <s v="GB300 L10"/>
    <x v="14"/>
    <s v="A979646X6323408"/>
    <s v="A979646X6317555"/>
    <s v="Rack"/>
    <s v="TX2-5S"/>
    <n v="90160"/>
    <s v="InTest"/>
  </r>
  <r>
    <s v="P26400685"/>
    <s v="4/5/2026 5:54:27 AM"/>
    <x v="3"/>
    <s v="SR020331263251"/>
    <s v="RK214"/>
    <s v="GB200 L11 Unable to power on"/>
    <s v="4/5/2026"/>
    <x v="0"/>
    <s v="L11 Unable to power on/ PUSH BUTTON PANNEL NOT FUNCTION POWER ON"/>
    <s v="GB300 L10"/>
    <x v="14"/>
    <s v="A979646X6317632"/>
    <s v="A979646X6318630"/>
    <s v="Rack"/>
    <s v="TX2-5S"/>
    <n v="90160"/>
    <s v="InTest"/>
  </r>
  <r>
    <s v="P26400687"/>
    <s v="4/5/2026 6:10:13 AM"/>
    <x v="3"/>
    <s v="SR020401263526"/>
    <s v="CH-FAN006"/>
    <s v="FAN sensor failure (風扇感應器不良)"/>
    <s v="4/5/2026"/>
    <x v="0"/>
    <s v="L11 FAN sensor failure (風扇感應器不良) / Log: charts/sensor_data_and_records/ipmi_board_sensor_reading_fail / Chassis0FAN5REAR - RPM reading is 0"/>
    <s v="GB300 L10"/>
    <x v="14"/>
    <s v="A979646X6321283"/>
    <s v="A979646X6315629"/>
    <s v="Rack"/>
    <s v="TX2-5S"/>
    <n v="90160"/>
    <s v="InTest"/>
  </r>
  <r>
    <s v="P26400699"/>
    <s v="4/6/2026 10:13:00 AM"/>
    <x v="3"/>
    <s v="SR020401265465"/>
    <s v="RK023"/>
    <s v="NVLINK Switch Functional Issue"/>
    <s v="4/6/2026"/>
    <x v="1"/>
    <s v="Rack slot 26, CBC 4, 4x19 connector 4, column 3,"/>
    <s v="Cable Cartridge"/>
    <x v="3"/>
    <n v="1820926356600"/>
    <n v="1821026355240"/>
    <s v="Rack"/>
    <s v="TX2-5S"/>
    <n v="2984"/>
    <s v="InTest"/>
  </r>
  <r>
    <s v="P26400714"/>
    <s v="4/6/2026 3:53:26 PM"/>
    <x v="3"/>
    <s v="SR020331265588"/>
    <s v="GP008"/>
    <s v="Other GPU failures (其他GPU異常)"/>
    <s v="4/6/2026"/>
    <x v="0"/>
    <s v="Other GPU failures (其他GPU異常)"/>
    <s v="GB300 L10"/>
    <x v="14"/>
    <s v="A979646X6401091"/>
    <s v="A979646X6325014"/>
    <s v="Rack"/>
    <s v="TX2-5S"/>
    <n v="90185"/>
    <s v="InTest"/>
  </r>
  <r>
    <s v="P26400716"/>
    <s v="4/6/2026 3:54:58 PM"/>
    <x v="3"/>
    <s v="SR020331265588"/>
    <s v="MB010"/>
    <s v="LAN port failure (網路端口故障)"/>
    <s v="4/6/2026"/>
    <x v="0"/>
    <s v="LAN port failure (網路端口故障)"/>
    <s v="GB300 L10"/>
    <x v="14"/>
    <s v="A979646X6322081"/>
    <s v="A979646X6401248"/>
    <s v="Rack"/>
    <s v="TX2-5S"/>
    <n v="90185"/>
    <s v="InTest"/>
  </r>
  <r>
    <s v="P26400734"/>
    <s v="4/6/2026 9:41:15 PM"/>
    <x v="3"/>
    <s v="SR020331264910"/>
    <s v="RK202"/>
    <s v="GB200 L11 Compute Node Information Consistent Check fail"/>
    <s v="4/6/2026"/>
    <x v="0"/>
    <s v="GB200 L11 Compute Node Information Consistent Check fail"/>
    <s v="GB300 L10"/>
    <x v="14"/>
    <s v="A979646X6305518"/>
    <s v="A979646X6318780"/>
    <s v="Rack"/>
    <s v="TX2-5S"/>
    <n v="90185"/>
    <s v="InTest"/>
  </r>
  <r>
    <s v="P26400750"/>
    <s v="4/6/2026 9:58:11 PM"/>
    <x v="3"/>
    <s v="SR020331267483"/>
    <s v="RK214"/>
    <s v="GB200 L11 Unable to power on"/>
    <s v="4/6/2026"/>
    <x v="0"/>
    <s v="GB200 L11 Unable to power on"/>
    <s v="GB300 L10"/>
    <x v="14"/>
    <s v="A979646X6324004"/>
    <s v="A979646X6319013"/>
    <s v="Rack"/>
    <s v="TX2-5S"/>
    <n v="90185"/>
    <s v="InTest"/>
  </r>
  <r>
    <s v="P26400752"/>
    <s v="4/6/2026 10:01:36 PM"/>
    <x v="3"/>
    <s v="SR020401267204"/>
    <s v="RK215"/>
    <s v="GB200 L11 Auto Reboot"/>
    <s v="4/6/2026"/>
    <x v="0"/>
    <s v="GB200 L11 Auto Reboot / Auto Shutdown"/>
    <s v="GB300 L10"/>
    <x v="14"/>
    <s v="A979646X6321237"/>
    <s v="A979646X6401248"/>
    <s v="Rack"/>
    <s v="TX2-5S"/>
    <n v="90185"/>
    <s v="InTest"/>
  </r>
  <r>
    <s v="P26400766"/>
    <s v="4/6/2026 10:11:49 PM"/>
    <x v="3"/>
    <s v="SR020401267204"/>
    <s v="RK215"/>
    <s v="GB200 L11 Auto Reboot"/>
    <s v="4/6/2026"/>
    <x v="0"/>
    <s v="GB200 L11 Auto Reboot / Auto Shutdown"/>
    <s v="GB300 L10"/>
    <x v="14"/>
    <s v="A979646X6401209"/>
    <s v="A979646X6322237"/>
    <s v="Rack"/>
    <s v="TX2-5S"/>
    <n v="90185"/>
    <s v="InTest"/>
  </r>
  <r>
    <s v="P26400770"/>
    <s v="4/6/2026 10:15:04 PM"/>
    <x v="3"/>
    <s v="SR020331267387"/>
    <s v="GP008"/>
    <s v="Other GPU failures (其他GPU異常)"/>
    <s v="4/6/2026"/>
    <x v="0"/>
    <s v="Other GPU failures (其他GPU異常)"/>
    <s v="GB300 L10"/>
    <x v="14"/>
    <s v="A979646X6323916"/>
    <s v="A979646X6322464"/>
    <s v="Rack"/>
    <s v="TX2-5S"/>
    <n v="90185"/>
    <s v="InTest"/>
  </r>
  <r>
    <s v="P26400786"/>
    <s v="4/6/2026 10:26:15 PM"/>
    <x v="3"/>
    <s v="SR020331264910"/>
    <s v="RK202"/>
    <s v="GB200 L11 Compute Node Information Consistent Check fail"/>
    <s v="4/6/2026"/>
    <x v="0"/>
    <s v="GB200 L11 Compute Node Information Consistent Check fail"/>
    <s v="GB300 L10"/>
    <x v="14"/>
    <s v="A979646X6320327"/>
    <s v="A979646X6322444"/>
    <s v="Rack"/>
    <s v="TX2-5S"/>
    <n v="90185"/>
    <s v="InTest"/>
  </r>
  <r>
    <s v="P26400788"/>
    <s v="4/6/2026 10:35:24 PM"/>
    <x v="3"/>
    <s v="SR020331269324"/>
    <s v="RK205"/>
    <s v="GB200 L11 Compute Tray Nvidia Field Diag Test fail"/>
    <s v="4/6/2026"/>
    <x v="0"/>
    <s v="L11 Compute Tray Nvidia Field Diag Test fail"/>
    <s v="GB300 L10"/>
    <x v="14"/>
    <s v="A979646X6217686"/>
    <s v="A979646X6320926"/>
    <s v="Rack"/>
    <s v="TX2-5S"/>
    <n v="90160"/>
    <s v="InTest"/>
  </r>
  <r>
    <s v="P26400790"/>
    <s v="4/6/2026 10:53:32 PM"/>
    <x v="3"/>
    <s v="SR020331264910"/>
    <s v="RK214"/>
    <s v="GB200 L11 Unable to power on"/>
    <s v="4/6/2026"/>
    <x v="0"/>
    <s v="GB200 L11 Unable to power on"/>
    <s v="GB300 L10"/>
    <x v="14"/>
    <s v="A979646X6319744"/>
    <s v="A979646X6314905"/>
    <s v="Rack"/>
    <s v="TX2-5S"/>
    <n v="90185"/>
    <s v="InTest"/>
  </r>
  <r>
    <s v="P26400792"/>
    <s v="4/6/2026 11:26:34 PM"/>
    <x v="3"/>
    <s v="SR020331267387"/>
    <s v="RK024"/>
    <s v="Cable cartridge Defect"/>
    <s v="4/6/2026"/>
    <x v="0"/>
    <s v="Cable cartridge Defect _ Rack0_SW8_acp4 CC3_C0_Lane_16 link_none"/>
    <s v="Cable Cartridge"/>
    <x v="3"/>
    <n v="1820926355133"/>
    <n v="2021026491033"/>
    <s v="Rack"/>
    <s v="TX2-5S"/>
    <n v="90185"/>
    <s v="InTest"/>
  </r>
  <r>
    <s v="P26400794"/>
    <s v="4/7/2026 1:51:16 AM"/>
    <x v="3"/>
    <s v="SR020331269028"/>
    <s v="RK214"/>
    <s v="GB200 L11 Unable to power on"/>
    <s v="4/7/2026"/>
    <x v="0"/>
    <s v="L11 Unable to power on/ power button no function to power on"/>
    <s v="GB300 L10"/>
    <x v="14"/>
    <s v="A979646X6401553"/>
    <s v="A979646X6322244"/>
    <s v="Rack"/>
    <s v="TX2-5S"/>
    <n v="3908"/>
    <s v="InTest"/>
  </r>
  <r>
    <s v="P26400797"/>
    <s v="4/7/2026 4:16:07 AM"/>
    <x v="3"/>
    <s v="SR020331269028"/>
    <s v="RK209"/>
    <s v="GB200 L11 GPU Burn Test"/>
    <s v="4/7/2026"/>
    <x v="0"/>
    <s v="L11 GPU Burn Test /NVIDIA server board Product Name mismatch in FRU : [] () and FRU ID 14: [GB300 MaxQ 1CPU:2GPU 12H Board PC] (1650726010751)"/>
    <s v="GB300 L10"/>
    <x v="14"/>
    <s v="A979646X6302524"/>
    <s v="A979646X6321051"/>
    <s v="Rack"/>
    <s v="TX2-5S"/>
    <n v="90130"/>
    <s v="InTest"/>
  </r>
  <r>
    <s v="P26400799"/>
    <s v="4/7/2026 1:44:21 PM"/>
    <x v="3"/>
    <s v="SR020331269028"/>
    <s v="RK209"/>
    <s v="GB200 L11 GPU Burn Test"/>
    <s v="4/7/2026"/>
    <x v="2"/>
    <s v="L11 GPU Burn Test/ NVIDIA SMI tool only detected 3 GPU and it does not match the requesed 4"/>
    <s v="GB300 L10"/>
    <x v="14"/>
    <s v="A979646X6322404"/>
    <m/>
    <s v="Rack"/>
    <s v="TX2-5S"/>
    <n v="90130"/>
    <s v="InTest"/>
  </r>
  <r>
    <s v="P26400807"/>
    <s v="4/7/2026 10:22:14 AM"/>
    <x v="3"/>
    <s v="SR020401265465"/>
    <s v="RK023"/>
    <s v="NVLINK Switch Functional Issue"/>
    <s v="4/7/2026"/>
    <x v="0"/>
    <s v="Rack slot 9, CBC 4, 8x10 connector 7, column 10"/>
    <s v="NVSwitch"/>
    <x v="2"/>
    <s v="MT2610604P3E"/>
    <s v="MT26116017PU"/>
    <s v="Rack"/>
    <s v="TX2-5S"/>
    <n v="2984"/>
    <s v="InTest"/>
  </r>
  <r>
    <s v="P26400836"/>
    <s v="4/7/2026 1:16:58 PM"/>
    <x v="3"/>
    <s v="SR020331264121"/>
    <s v="RK205"/>
    <s v="GB200 L11 Compute Tray Nvidia Field Diag Test fail"/>
    <s v="4/7/2026"/>
    <x v="0"/>
    <s v="only 54 NVLink status shows OK, expected 72.only 3 Fabric state shows OK, expected 4_已更換_PM_1265"/>
    <s v="GB300 L10"/>
    <x v="14"/>
    <s v="A979646X6319314"/>
    <s v="A979646X6322248"/>
    <s v="Rack"/>
    <s v="TX2-5S"/>
    <n v="1237"/>
    <s v="InBurnin"/>
  </r>
  <r>
    <s v="P26400864"/>
    <s v="4/7/2026 4:20:55 PM"/>
    <x v="3"/>
    <s v="SR020331269324"/>
    <s v="RK207"/>
    <s v="GB200 L11 18 Node NCCL Test fail"/>
    <s v="4/7/2026"/>
    <x v="0"/>
    <s v="GB200 L11 18 Node NCCL Test fail"/>
    <s v="GB300 L10"/>
    <x v="14"/>
    <s v="A979646X6302676"/>
    <s v="A979646X6319302"/>
    <s v="Rack"/>
    <s v="TX2-5S"/>
    <n v="90185"/>
    <s v="InTest"/>
  </r>
  <r>
    <s v="P26400876"/>
    <s v="4/7/2026 6:18:11 PM"/>
    <x v="3"/>
    <s v="SR020331263467"/>
    <s v="RK215"/>
    <s v="GB200 L11 Auto Reboot"/>
    <s v="4/7/2026"/>
    <x v="0"/>
    <s v="GB200 L11 Auto Reboot / Auto Shutdown"/>
    <s v="GB300 L10"/>
    <x v="14"/>
    <s v="A979646X6306256"/>
    <s v="A979646X6319808"/>
    <s v="Rack"/>
    <s v="TX2-5S"/>
    <n v="90185"/>
    <s v="InTest"/>
  </r>
  <r>
    <s v="P26400939"/>
    <s v="4/7/2026 9:26:44 PM"/>
    <x v="3"/>
    <s v="SR020401268403"/>
    <s v="RK120"/>
    <s v="GB200 IPMI no response/ no IP detected"/>
    <s v="4/7/2026"/>
    <x v="0"/>
    <s v="L11 IPMI no response"/>
    <s v="GB300 L10"/>
    <x v="14"/>
    <s v="A979646X6324007"/>
    <s v="A979646X6322980"/>
    <s v="Rack"/>
    <s v="TX2-5S"/>
    <n v="90160"/>
    <s v="InTest"/>
  </r>
  <r>
    <s v="P26400941"/>
    <s v="4/7/2026 9:43:51 PM"/>
    <x v="3"/>
    <s v="SR020401268403"/>
    <s v="RK202"/>
    <s v="GB200 L11 Compute Node Information Consistent Check fail"/>
    <s v="4/7/2026"/>
    <x v="0"/>
    <s v="L11 Compute Node Information Consistent Check fail / NVRM FAIL"/>
    <s v="GB300 L10"/>
    <x v="14"/>
    <s v="A979646X6322438"/>
    <s v="A979646X6322576"/>
    <s v="Rack"/>
    <s v="TX2-5S"/>
    <n v="90160"/>
    <s v="InTest"/>
  </r>
  <r>
    <s v="P26400949"/>
    <s v="4/7/2026 10:35:43 PM"/>
    <x v="3"/>
    <s v="SR020331264121"/>
    <s v="RK215"/>
    <s v="GB200 L11 Auto Reboot"/>
    <s v="4/7/2026"/>
    <x v="0"/>
    <s v="GB200 L11 Auto Reboot / Auto Shutdown"/>
    <s v="GB300 L10"/>
    <x v="14"/>
    <s v="A979646X6307584"/>
    <s v="A979646X6303168"/>
    <s v="Rack"/>
    <s v="TX2-5S"/>
    <n v="90185"/>
    <s v="InTest"/>
  </r>
  <r>
    <s v="P26400950"/>
    <s v="4/7/2026 10:38:06 PM"/>
    <x v="3"/>
    <s v="SR020331264121"/>
    <s v="RK205"/>
    <s v="GB200 L11 Compute Tray Nvidia Field Diag Test fail"/>
    <s v="4/7/2026"/>
    <x v="0"/>
    <s v="GB200 L11 Compute Tray Nvidia Field Diag Test fail"/>
    <s v="GB300 L10"/>
    <x v="14"/>
    <s v="A979646X6217527"/>
    <s v="A979646X6320314"/>
    <s v="Rack"/>
    <s v="TX2-5S"/>
    <n v="90185"/>
    <s v="InTest"/>
  </r>
  <r>
    <s v="P26401020"/>
    <s v="4/8/2026 1:00:09 PM"/>
    <x v="3"/>
    <s v="SR020331267441"/>
    <s v="RK098"/>
    <s v="Use to replace L10 servers that have failed Rburn test from the rack. (更換Rack Rburn test fail的 L10系統)"/>
    <s v="4/8/2026"/>
    <x v="0"/>
    <s v="Auto Shutdown_已更換_PM1265"/>
    <s v="GB300 L10"/>
    <x v="14"/>
    <s v="A979646X6323054"/>
    <s v="A979646X6323868"/>
    <s v="Rack"/>
    <s v="TX2-5S"/>
    <n v="3908"/>
    <s v="InTest"/>
  </r>
  <r>
    <s v="P26401052"/>
    <s v="4/8/2026 3:50:59 PM"/>
    <x v="3"/>
    <s v="SR020331264121"/>
    <s v="RK215"/>
    <s v="GB200 L11 Auto Reboot"/>
    <s v="4/8/2026"/>
    <x v="0"/>
    <s v="GB200 L11 Auto Reboot / Auto Shutdown"/>
    <s v="GB300 L10"/>
    <x v="14"/>
    <s v="A979646X6322085"/>
    <s v="A979646X6322723"/>
    <s v="Rack"/>
    <s v="TX2-5S"/>
    <n v="90185"/>
    <s v="InTest"/>
  </r>
  <r>
    <s v="P26401061"/>
    <s v="4/8/2026 5:59:24 PM"/>
    <x v="3"/>
    <s v="SR020401265055"/>
    <s v="RK024"/>
    <s v="Cable cartridge Defect"/>
    <s v="4/8/2026"/>
    <x v="0"/>
    <s v="L11 Cable cartridge Defect (BENT PIN SLOT 16)"/>
    <s v="Cable Cartridge"/>
    <x v="3"/>
    <n v="1820926356615"/>
    <n v="1821026355220"/>
    <s v="Rack"/>
    <s v="TX2-5S"/>
    <n v="90160"/>
    <s v="InTest"/>
  </r>
  <r>
    <s v="P26401122"/>
    <s v="4/8/2026 8:33:14 PM"/>
    <x v="3"/>
    <s v="SR020331261552"/>
    <s v="RK202"/>
    <s v="GB200 L11 Compute Node Information Consistent Check fail"/>
    <s v="4/8/2026"/>
    <x v="0"/>
    <s v="L11 Compute Node Information Consistent Check fail / NVRM FAIL"/>
    <s v="GB300 L10"/>
    <x v="14"/>
    <s v="A979646X6323429"/>
    <s v="A979646X6321732"/>
    <s v="Rack"/>
    <s v="TX2-5S"/>
    <n v="90160"/>
    <s v="InTest"/>
  </r>
  <r>
    <s v="P26401145"/>
    <s v="4/9/2026 5:29:54 PM"/>
    <x v="3"/>
    <s v="SR020331269082"/>
    <s v="RK212"/>
    <s v="GB200 L11 GPU Missing"/>
    <s v="4/8/2026"/>
    <x v="1"/>
    <s v="L11 GPU Missing"/>
    <s v="GB300 L10"/>
    <x v="14"/>
    <s v="A979646X6302524"/>
    <m/>
    <s v="Rack"/>
    <s v="TX2-5S"/>
    <n v="90160"/>
    <s v="InTest"/>
  </r>
  <r>
    <s v="P26401231"/>
    <s v="4/9/2026 9:11:20 AM"/>
    <x v="3"/>
    <s v="SR020331264121"/>
    <s v="RK110"/>
    <s v="GB200 NVIDIA Manufacturer Diagnostic CX7 / CX8 fail"/>
    <s v="4/9/2026"/>
    <x v="0"/>
    <s v="BF3 port 燈號無作用_已更換_PM1265"/>
    <s v="GB300 L10"/>
    <x v="14"/>
    <s v="403945AD0C83"/>
    <s v="A979646X6319757"/>
    <s v="Rack"/>
    <s v="TX2-5S"/>
    <n v="1237"/>
    <s v="InTest"/>
  </r>
  <r>
    <s v="P26401310"/>
    <s v="4/9/2026 5:17:03 PM"/>
    <x v="3"/>
    <s v="SR020331263868"/>
    <s v="RK213"/>
    <s v="GB200 L11 No BMC IP"/>
    <s v="4/9/2026"/>
    <x v="0"/>
    <s v="GB200 L11 No BMC IP"/>
    <s v="GB300 L10"/>
    <x v="14"/>
    <s v="A979646X6318103"/>
    <s v="A979646X6312144"/>
    <s v="Rack"/>
    <s v="TX2-5S"/>
    <n v="3908"/>
    <s v="InTest"/>
  </r>
  <r>
    <s v="P26401314"/>
    <s v="4/9/2026 5:20:05 PM"/>
    <x v="3"/>
    <s v="SR020331263868"/>
    <s v="RK213"/>
    <s v="GB200 L11 No BMC IP"/>
    <s v="4/9/2026"/>
    <x v="0"/>
    <s v="GB200 L11 No BMC IP"/>
    <s v="GB300 L10"/>
    <x v="14"/>
    <s v="A979646X6217848"/>
    <s v="A979646X6317980"/>
    <s v="Rack"/>
    <s v="TX2-5S"/>
    <n v="3908"/>
    <s v="InTest"/>
  </r>
  <r>
    <s v="P26401318"/>
    <s v="4/9/2026 5:27:33 PM"/>
    <x v="3"/>
    <s v="SR020331263868"/>
    <s v="RK213"/>
    <s v="GB200 L11 No BMC IP"/>
    <s v="4/9/2026"/>
    <x v="0"/>
    <s v="GB200 L11 No BMC IP"/>
    <s v="GB300 L10"/>
    <x v="14"/>
    <s v="A979646X6319744"/>
    <s v="A979646X6321180"/>
    <s v="Rack"/>
    <s v="TX2-5S"/>
    <n v="90131"/>
    <s v="InTest"/>
  </r>
  <r>
    <s v="P26401336"/>
    <s v="4/9/2026 8:40:57 PM"/>
    <x v="3"/>
    <s v="SR020331269082"/>
    <s v="RK216"/>
    <s v="GB200 L11 Cable Cartridge Nvidia FD Test fail"/>
    <s v="4/9/2026"/>
    <x v="0"/>
    <s v="L11 Cable Cartridge Nvidia FD Test fail"/>
    <s v="GB300 L10"/>
    <x v="14"/>
    <s v="A979646X6322975"/>
    <s v="A979646X6317814"/>
    <s v="Rack"/>
    <s v="TX2-5S"/>
    <n v="90160"/>
    <s v="InTest"/>
  </r>
  <r>
    <s v="P26401351"/>
    <s v="4/9/2026 10:13:15 PM"/>
    <x v="3"/>
    <s v="SR020327268138"/>
    <s v="RK024"/>
    <s v="Cable cartridge Defect"/>
    <s v="4/9/2026"/>
    <x v="0"/>
    <s v="Cable cartridge Defect /Rack0_SW0_acp30 CC1_C7_Lane_0 link_none 0"/>
    <s v="Cable Cartridge"/>
    <x v="3"/>
    <n v="1820926356611"/>
    <n v="1821026355219"/>
    <s v="Rack"/>
    <s v="TX2-5S"/>
    <n v="90185"/>
    <s v="InTest"/>
  </r>
  <r>
    <s v="P26401371"/>
    <s v="4/10/2026 4:57:42 PM"/>
    <x v="3"/>
    <s v="SR020331263095"/>
    <s v="RK202"/>
    <s v="GB200 L11 Compute Node Information Consistent Check fail"/>
    <s v="4/10/2026"/>
    <x v="0"/>
    <s v="GB200 L11 Compute Node Information Consistent Check fail"/>
    <s v="GB300 L10"/>
    <x v="14"/>
    <s v="A979646X6317160"/>
    <s v="A979646X6302524"/>
    <s v="Rack"/>
    <s v="TX2-5S"/>
    <n v="90066"/>
    <s v="InTest"/>
  </r>
  <r>
    <s v="P26401372"/>
    <s v="4/10/2026 5:27:22 AM"/>
    <x v="3"/>
    <s v="SR020331269082"/>
    <s v="RK205"/>
    <s v="GB200 L11 Compute Tray Nvidia Field Diag Test fail"/>
    <s v="4/10/2026"/>
    <x v="0"/>
    <s v="L11 Compute Tray Nvidia Field Diag Test fail"/>
    <s v="GB300 L10"/>
    <x v="14"/>
    <s v="A979646X6217527"/>
    <s v="A979646X6324768"/>
    <s v="Rack"/>
    <s v="TX2-5S"/>
    <n v="90066"/>
    <s v="InTest"/>
  </r>
  <r>
    <s v="P26401375"/>
    <s v="4/10/2026 5:50:17 AM"/>
    <x v="3"/>
    <s v="SR020331268856"/>
    <s v="RK131"/>
    <s v="GB200 GPU Missing"/>
    <s v="4/10/2026"/>
    <x v="0"/>
    <s v="L11 FRU data is missing [Board Product] is empty [Board Serial] is empty [Board Part Number] is empty [Product Serial] is empty NVIDIA server board Product Name mismatch in FRU : [] () and FRU ID 14: [GB300 MaxQ 1CPU:2GPU 12H Board PC]"/>
    <s v="GB300 L10"/>
    <x v="14"/>
    <s v="A979646X6307582"/>
    <s v="A979646X6321086"/>
    <s v="Rack"/>
    <s v="TX2-5S"/>
    <n v="90066"/>
    <s v="InTest"/>
  </r>
  <r>
    <s v="P26401377"/>
    <s v="4/10/2026 5:55:18 AM"/>
    <x v="3"/>
    <s v="SR020331263868"/>
    <s v="RK131"/>
    <s v="GB200 GPU Missing"/>
    <s v="4/10/2026"/>
    <x v="0"/>
    <s v="L11 FRU data is missing [Board Product] is empty [Board Serial] is empty [Board Part Number] is empty [Product Serial] is empty NVIDIA server board Product Name mismatch in FRU : [] () and FRU ID 14: [GB300 MaxQ 1CPU:2GPU 12H Board PC] (1760926820400"/>
    <s v="GB300 L10"/>
    <x v="14"/>
    <s v="A979646X6305518"/>
    <s v="A979646X6313111"/>
    <s v="Rack"/>
    <s v="TX2-5S"/>
    <n v="90066"/>
    <s v="InTest"/>
  </r>
  <r>
    <s v="P26401379"/>
    <s v="4/10/2026 6:02:10 AM"/>
    <x v="3"/>
    <s v="SR020331264561"/>
    <s v="RK214"/>
    <s v="GB200 L11 Unable to power on"/>
    <s v="4/10/2026"/>
    <x v="0"/>
    <s v="L11 Unable to power on / PUSH BUTTON NOT FUNCTION"/>
    <s v="GB300 L10"/>
    <x v="14"/>
    <s v="A979646X6317632"/>
    <s v="A979646X6319743"/>
    <s v="Rack"/>
    <s v="TX2-5S"/>
    <n v="90066"/>
    <s v="InTest"/>
  </r>
  <r>
    <s v="P26401435"/>
    <s v="4/10/2026 12:36:27 PM"/>
    <x v="3"/>
    <s v="SR020331264160"/>
    <s v="RK023"/>
    <s v="NVLINK Switch Functional Issue"/>
    <s v="4/10/2026"/>
    <x v="0"/>
    <s v="CC0_C2_Lane_17"/>
    <s v="Cable Cartridge"/>
    <x v="3"/>
    <n v="1821026355186"/>
    <n v="1821026355236"/>
    <s v="Rack"/>
    <s v="TX2-5S"/>
    <n v="2984"/>
    <s v="InTest"/>
  </r>
  <r>
    <s v="P26401530"/>
    <s v="4/10/2026 4:59:44 PM"/>
    <x v="3"/>
    <s v="SR020331263095"/>
    <s v="RK202"/>
    <s v="GB200 L11 Compute Node Information Consistent Check fail"/>
    <s v="4/10/2026"/>
    <x v="0"/>
    <s v="GB200 L11 Compute Node Information Consistent Check fail"/>
    <s v="GB300 L10"/>
    <x v="14"/>
    <s v="A979646X6302524"/>
    <s v="A979646X6317631"/>
    <s v="Rack"/>
    <s v="TX2-5S"/>
    <n v="3908"/>
    <s v="InTest"/>
  </r>
  <r>
    <s v="P26401581"/>
    <s v="4/11/2026 7:07:18 AM"/>
    <x v="3"/>
    <s v="SR020331263095"/>
    <s v="RK205"/>
    <s v="GB200 L11 Compute Tray Nvidia Field Diag Test fail"/>
    <s v="4/11/2026"/>
    <x v="0"/>
    <s v="L11 Compute Tray Nvidia Field Diag Test fail"/>
    <s v="GB300 L10"/>
    <x v="14"/>
    <s v="A979646X6317955"/>
    <s v="A979646X6317160"/>
    <s v="Rack"/>
    <s v="TX2-5S"/>
    <n v="90160"/>
    <s v="InTest"/>
  </r>
  <r>
    <s v="P26401864"/>
    <s v="4/13/2026 8:25:23 PM"/>
    <x v="3"/>
    <s v="SR020331262251"/>
    <s v="RK202"/>
    <s v="GB200 L11 Compute Node Information Consistent Check fail"/>
    <s v="4/13/2026"/>
    <x v="0"/>
    <s v="L11 Compute Node Information Consistent Check fail / NVRM FAIL"/>
    <s v="GB300 L10"/>
    <x v="14"/>
    <s v="A979646X6321433"/>
    <s v="A979646X6405658"/>
    <s v="Rack"/>
    <s v="TX2-5S"/>
    <n v="90160"/>
    <s v="InTest"/>
  </r>
  <r>
    <s v="P26401868"/>
    <s v="4/13/2026 8:41:42 PM"/>
    <x v="3"/>
    <s v="SR020331262233"/>
    <s v="RK201"/>
    <s v="GB200 L11 NVLink Switch Information Consistent Check fail"/>
    <s v="4/13/2026"/>
    <x v="0"/>
    <s v="L11 NVLink Switch Information Consistent Check fail"/>
    <s v="NVSwitch"/>
    <x v="2"/>
    <s v="MT2610604112"/>
    <s v="MT26116022BK"/>
    <s v="Rack"/>
    <s v="TX2-5S"/>
    <n v="90160"/>
    <s v="InTest"/>
  </r>
  <r>
    <s v="P26401870"/>
    <s v="4/13/2026 9:12:55 PM"/>
    <x v="3"/>
    <s v="SR020331265606"/>
    <s v="RK202"/>
    <s v="GB200 L11 Compute Node Information Consistent Check fail"/>
    <s v="4/13/2026"/>
    <x v="0"/>
    <s v="L11 Compute Node Information Consistent Check fail / NVRM FAIL"/>
    <s v="GB300 L10"/>
    <x v="14"/>
    <s v="A979646X6302124"/>
    <s v="A979646X6322975"/>
    <s v="Rack"/>
    <s v="TX2-5S"/>
    <n v="90160"/>
    <s v="InTest"/>
  </r>
  <r>
    <s v="P26401895"/>
    <s v="4/13/2026 9:20:02 PM"/>
    <x v="3"/>
    <s v="SR020331267937"/>
    <s v="RK202"/>
    <s v="GB200 L11 Compute Node Information Consistent Check fail"/>
    <s v="4/13/2026"/>
    <x v="0"/>
    <s v="L11 Compute Node Information Consistent Check fail / NVRM FAIL"/>
    <s v="GB300 L10"/>
    <x v="14"/>
    <s v="A979646X6320385"/>
    <s v="A979646X6320967"/>
    <s v="Rack"/>
    <s v="TX2-5S"/>
    <n v="90160"/>
    <s v="InTest"/>
  </r>
  <r>
    <s v="P26401951"/>
    <s v="4/14/2026 12:42:30 PM"/>
    <x v="3"/>
    <s v="SR020331264561"/>
    <s v="RK023"/>
    <s v="NVLINK Switch Functional Issue"/>
    <s v="4/14/2026"/>
    <x v="0"/>
    <s v="Error while invoking api /redfish/v1/Chassis/CBC_3. Error message =&gt; The requested resource of type Chassis named 'CBC_3' was not found"/>
    <s v="Cable Cartridge"/>
    <x v="3"/>
    <n v="1820926356122"/>
    <n v="1820926356307"/>
    <s v="Rack"/>
    <s v="TX2-5S"/>
    <n v="2984"/>
    <s v="InTest"/>
  </r>
  <r>
    <s v="P26401952"/>
    <s v="4/14/2026 12:38:27 PM"/>
    <x v="3"/>
    <s v="SR020331262233"/>
    <s v="RK023"/>
    <s v="NVLINK Switch Functional Issue"/>
    <s v="4/14/2026"/>
    <x v="0"/>
    <s v="Error while invoking api /redfish/v1/Chassis/CBC_0. Error message =&gt; The requested resource of type Chassis named 'CBC_0' was not found"/>
    <s v="Cable Cartridge"/>
    <x v="3"/>
    <n v="1820926354374"/>
    <n v="1820926356300"/>
    <s v="Rack"/>
    <s v="TX2-5S"/>
    <n v="2984"/>
    <s v="InTest"/>
  </r>
  <r>
    <s v="P26402129"/>
    <s v="4/14/2026 8:55:45 PM"/>
    <x v="3"/>
    <s v="SR020331264561"/>
    <s v="RK202"/>
    <s v="GB200 L11 Compute Node Information Consistent Check fail"/>
    <s v="4/14/2026"/>
    <x v="0"/>
    <s v="L11 Compute Node Information Consistent Check fail / NVRM FAIL"/>
    <s v="GB300 L10"/>
    <x v="14"/>
    <s v="A979646X6318103"/>
    <s v="A979646X6406776"/>
    <s v="Rack"/>
    <s v="TX2-5S"/>
    <n v="90160"/>
    <s v="InTest"/>
  </r>
  <r>
    <s v="P26402133"/>
    <s v="4/14/2026 9:04:11 PM"/>
    <x v="3"/>
    <s v="SR020331264561"/>
    <s v="RK202"/>
    <s v="GB200 L11 Compute Node Information Consistent Check fail"/>
    <s v="4/14/2026"/>
    <x v="0"/>
    <s v="L11 Compute Node Information Consistent Check fail / NVRM FAIL"/>
    <s v="GB300 L10"/>
    <x v="14"/>
    <s v="A979646X6321788"/>
    <s v="A979646X6304996"/>
    <s v="Rack"/>
    <s v="TX2-5S"/>
    <n v="90160"/>
    <s v="InTest"/>
  </r>
  <r>
    <s v="P26402137"/>
    <s v="4/14/2026 9:08:15 PM"/>
    <x v="3"/>
    <s v="SR020331264561"/>
    <s v="RK202"/>
    <s v="GB200 L11 Compute Node Information Consistent Check fail"/>
    <s v="4/14/2026"/>
    <x v="0"/>
    <s v="L11 Compute Node Information Consistent Check fail / NVRM FAIL"/>
    <s v="GB300 L10"/>
    <x v="14"/>
    <s v="A979646X6320238"/>
    <s v="A979646X6318103"/>
    <s v="Rack"/>
    <s v="TX2-5S"/>
    <n v="90160"/>
    <s v="InTest"/>
  </r>
  <r>
    <s v="P26402146"/>
    <s v="4/14/2026 9:20:35 PM"/>
    <x v="3"/>
    <s v="SR020331264561"/>
    <s v="RK202"/>
    <s v="GB200 L11 Compute Node Information Consistent Check fail"/>
    <s v="4/14/2026"/>
    <x v="0"/>
    <s v="L11 Compute Node Information Consistent Check fail / NVRM FAIL"/>
    <s v="GB300 L10"/>
    <x v="14"/>
    <s v="A979646X6323438"/>
    <s v="A979646X6406774"/>
    <s v="Rack"/>
    <s v="TX2-5S"/>
    <n v="90160"/>
    <s v="InTest"/>
  </r>
  <r>
    <s v="P26402148"/>
    <s v="4/14/2026 9:48:53 PM"/>
    <x v="3"/>
    <s v="SR020331269845"/>
    <s v="RK202"/>
    <s v="GB200 L11 Compute Node Information Consistent Check fail"/>
    <s v="4/14/2026"/>
    <x v="0"/>
    <s v="L11 Compute Node Information Consistent Check fail / NVRM FAIL"/>
    <s v="GB300 L10"/>
    <x v="14"/>
    <s v="A979646X6306872"/>
    <s v="A979646X6302430"/>
    <s v="Rack"/>
    <s v="TX2-5S"/>
    <n v="90160"/>
    <s v="InTest"/>
  </r>
  <r>
    <s v="P26402182"/>
    <s v="4/14/2026 10:58:35 PM"/>
    <x v="3"/>
    <s v="SR020331269845"/>
    <s v="RK131"/>
    <s v="GB200 GPU Missing"/>
    <s v="4/14/2026"/>
    <x v="0"/>
    <s v="L11 GPU-NVGB300-12-MAXQ ( 1650726011412 ) missing gpu"/>
    <s v="GB300 L10"/>
    <x v="14"/>
    <s v="A979646X6406785"/>
    <s v="A979646X6405684"/>
    <s v="Rack"/>
    <s v="TX2-5S"/>
    <n v="90185"/>
    <s v="InTest"/>
  </r>
  <r>
    <s v="P26402187"/>
    <s v="4/14/2026 11:25:04 PM"/>
    <x v="3"/>
    <s v="SR020331262233"/>
    <s v="RK120"/>
    <s v="GB200 IPMI no response/ no IP detected"/>
    <s v="4/14/2026"/>
    <x v="0"/>
    <s v="L11 compute tray IPs cannot be detected from PXE"/>
    <s v="GB300 L10"/>
    <x v="14"/>
    <s v="A979646X6406879"/>
    <s v="A979646X6405656"/>
    <s v="Rack"/>
    <s v="TX2-5S"/>
    <n v="90185"/>
    <s v="InTest"/>
  </r>
  <r>
    <s v="P26402192"/>
    <s v="4/15/2026 5:47:24 AM"/>
    <x v="3"/>
    <s v="SR020331262233"/>
    <s v="RK118"/>
    <s v="GB200 GPU Burn Test fail"/>
    <s v="4/15/2026"/>
    <x v="0"/>
    <s v="L11 GPU Burn Test fail"/>
    <s v="GB300 L10"/>
    <x v="14"/>
    <s v="A979646X6217527"/>
    <s v="A979646X6323822"/>
    <s v="Rack"/>
    <s v="TX2-5S"/>
    <n v="90112"/>
    <s v="InTest"/>
  </r>
  <r>
    <s v="P26402194"/>
    <s v="4/15/2026 5:53:25 AM"/>
    <x v="3"/>
    <s v="SR020331264561"/>
    <s v="RK118"/>
    <s v="GB200 GPU Burn Test fail"/>
    <s v="4/15/2026"/>
    <x v="0"/>
    <s v="L11 GPU Burn Test fail"/>
    <s v="GB300 L10"/>
    <x v="14"/>
    <s v="A979646X6304996"/>
    <s v="A979646X6405665"/>
    <s v="Rack"/>
    <s v="TX2-5S"/>
    <n v="90112"/>
    <s v="InTest"/>
  </r>
  <r>
    <s v="P26402196"/>
    <s v="4/15/2026 6:23:36 AM"/>
    <x v="3"/>
    <s v="SR020331264561"/>
    <s v="RK120"/>
    <s v="GB200 IPMI no response/ no IP detected"/>
    <s v="4/15/2026"/>
    <x v="0"/>
    <s v="L11 IPMI no response/ no IP detected"/>
    <s v="GB300 L10"/>
    <x v="14"/>
    <s v="A979646X6406880"/>
    <s v="A979646X6406774"/>
    <s v="Rack"/>
    <s v="TX2-5S"/>
    <n v="90160"/>
    <s v="InTest"/>
  </r>
  <r>
    <s v="P26402201"/>
    <s v="4/15/2026 6:39:36 AM"/>
    <x v="3"/>
    <s v="SR020331269845"/>
    <s v="RK120"/>
    <s v="GB200 IPMI no response/ no IP detected"/>
    <s v="4/15/2026"/>
    <x v="0"/>
    <s v="L11 compute tray IP cannot be detected"/>
    <s v="GB300 L10"/>
    <x v="14"/>
    <s v="A979646X6406781"/>
    <s v="A979646X6405684"/>
    <s v="Rack"/>
    <s v="TX2-5S"/>
    <n v="90160"/>
    <s v="InTest"/>
  </r>
  <r>
    <s v="P26402270"/>
    <s v="4/15/2026 1:04:03 PM"/>
    <x v="3"/>
    <s v="SR020331264561"/>
    <s v="RK023"/>
    <s v="NVLINK Switch Functional Issue"/>
    <s v="4/15/2026"/>
    <x v="0"/>
    <s v="PEER (Rack slot 16, CBC 4, 8x10 connector 7"/>
    <s v="NVSwitch"/>
    <x v="2"/>
    <s v="MT26116028WU"/>
    <s v="MT26116022BJ"/>
    <s v="Rack"/>
    <s v="TX2-5S"/>
    <n v="4369"/>
    <s v="InTest"/>
  </r>
  <r>
    <s v="P26402271"/>
    <s v="4/15/2026 1:04:03 PM"/>
    <x v="3"/>
    <s v="SR020331264561"/>
    <s v="RK024"/>
    <s v="Cable cartridge Defect"/>
    <s v="4/15/2026"/>
    <x v="0"/>
    <s v="bandwidth out of range @(Rack slot 22, CBC 2, 4x19 connector 2)"/>
    <s v="Cable Cartridge"/>
    <x v="3"/>
    <n v="1820926354333"/>
    <n v="1821026354997"/>
    <s v="Rack"/>
    <s v="TX2-5S"/>
    <n v="4369"/>
    <s v="InTest"/>
  </r>
  <r>
    <s v="P26402385"/>
    <s v="4/16/2026 6:14:17 AM"/>
    <x v="3"/>
    <s v="SR020331269845"/>
    <s v="RK205"/>
    <s v="GB200 L11 Compute Tray Nvidia Field Diag Test fail"/>
    <s v="4/16/2026"/>
    <x v="0"/>
    <s v="L11 Compute Node Information Consistent Check fail / NVRM FAIL"/>
    <s v="GB300 L10"/>
    <x v="14"/>
    <s v="A979646X6406881"/>
    <s v="A979646X6322268"/>
    <s v="Rack"/>
    <s v="TX2-5S"/>
    <n v="90169"/>
    <s v="InTest"/>
  </r>
  <r>
    <s v="P26402391"/>
    <s v="4/16/2026 8:19:43 AM"/>
    <x v="3"/>
    <s v="SR020331269845"/>
    <s v="RK024"/>
    <s v="Cable cartridge Defect"/>
    <s v="4/16/2026"/>
    <x v="0"/>
    <s v="CC0_C6_Lane_14, link_none,0, 0"/>
    <s v="Cable Cartridge"/>
    <x v="3"/>
    <n v="1820926357066"/>
    <n v="1821026355081"/>
    <s v="Rack"/>
    <s v="TX2-5S"/>
    <n v="2984"/>
    <s v="InTest"/>
  </r>
  <r>
    <s v="P26402573"/>
    <s v="4/16/2026 10:35:14 PM"/>
    <x v="3"/>
    <s v="SR020331269845"/>
    <s v="RK205"/>
    <s v="GB200 L11 Compute Tray Nvidia Field Diag Test fail"/>
    <s v="4/16/2026"/>
    <x v="0"/>
    <s v="http://10.181.56.71/logs/Tesla/2026/April/SR020331269845/16/R-BURN/A979646X6405669/905A08360E5C/Failure-Records-Full.txt"/>
    <s v="GB300 L10"/>
    <x v="14"/>
    <s v="A979646X6320385"/>
    <s v="A979646X6405687"/>
    <s v="Rack"/>
    <s v="TX2-5S"/>
    <n v="90066"/>
    <s v="InTest"/>
  </r>
  <r>
    <s v="P26402632"/>
    <s v="4/17/2026 10:05:44 AM"/>
    <x v="3"/>
    <s v="SR020331269845"/>
    <s v="RK023"/>
    <s v="NVLINK Switch Functional Issue"/>
    <s v="4/17/2026"/>
    <x v="0"/>
    <s v="Failed to executed command sudo python import base64 cable cartridge3 eeprom"/>
    <s v="NVSwitch"/>
    <x v="2"/>
    <s v="MT26116016C5"/>
    <s v="MT2611602268"/>
    <s v="Rack"/>
    <s v="TX2-5S"/>
    <n v="2984"/>
    <s v="InTest"/>
  </r>
  <r>
    <s v="P26402692"/>
    <s v="4/17/2026 5:30:24 PM"/>
    <x v="3"/>
    <s v="SR020331269845"/>
    <s v="RK205"/>
    <s v="GB200 L11 Compute Tray Nvidia Field Diag Test fail"/>
    <s v="4/17/2026"/>
    <x v="0"/>
    <s v="http://10.181.56.71/logs/Tesla/2026/April/SR020331269845/17/R-BURN/A979646X6405669/905A08360E5C/gb300_compute_nvidia_L11_field_diag_summary.log"/>
    <s v="GB300 L10"/>
    <x v="14"/>
    <s v="A979646X6405687"/>
    <s v="A979646X6405679"/>
    <s v="Rack"/>
    <s v="TX2-5S"/>
    <n v="90160"/>
    <s v="InTest"/>
  </r>
  <r>
    <s v="P26402713"/>
    <s v="4/17/2026 7:51:14 PM"/>
    <x v="3"/>
    <s v="SR020331265669"/>
    <s v="RK216"/>
    <s v="GB200 L11 Cable Cartridge Nvidia FD Test fail"/>
    <s v="4/17/2026"/>
    <x v="0"/>
    <s v="http://10.181.56.71/logs/Tesla/2026/April/SR020331265669/17/R-BURN/A979646X6317355/905A0834F292/gb300_cartridge_nvidia_L11_field_diag_summary.log"/>
    <s v="GB300 L10"/>
    <x v="14"/>
    <s v="A979646X6401091"/>
    <s v="A979646X6324725"/>
    <s v="Rack"/>
    <s v="TX2-5S"/>
    <n v="90185"/>
    <s v="InTest"/>
  </r>
  <r>
    <s v="P26402726"/>
    <s v="4/17/2026 8:20:30 PM"/>
    <x v="3"/>
    <s v="SR020331265669"/>
    <s v="RK131"/>
    <s v="GB200 GPU Missing"/>
    <s v="4/17/2026"/>
    <x v="0"/>
    <s v="http://10.181.56.71/logs/Tesla/2026/April/SR020331265669/17/R-BURN/A979646X6315476/905A083506A1/Failure-Records-Full.txt"/>
    <s v="GB300 L10"/>
    <x v="14"/>
    <s v="SR020331265669"/>
    <s v="A979646X6322769"/>
    <s v="Rack"/>
    <s v="TX2-5S"/>
    <n v="90185"/>
    <s v="InTest"/>
  </r>
  <r>
    <s v="P26403055"/>
    <s v="4/21/2026 6:27:38 AM"/>
    <x v="3"/>
    <s v="SR020331268326"/>
    <s v="RK120"/>
    <s v="GB200 IPMI no response/ no IP detected"/>
    <s v="4/21/2026"/>
    <x v="0"/>
    <s v="L11 IPMI no response/ no IP detected"/>
    <s v="GB300 L10"/>
    <x v="14"/>
    <s v="A979646X6406881"/>
    <s v="A979646X6300831"/>
    <s v="Rack"/>
    <s v="TX2-5S"/>
    <n v="90169"/>
    <s v="InTest"/>
  </r>
  <r>
    <s v="P26403244"/>
    <s v="4/22/2026 6:43:21 AM"/>
    <x v="3"/>
    <s v="SR020331268326"/>
    <s v="RK212"/>
    <s v="GB200 L11 GPU Missing"/>
    <s v="4/22/2026"/>
    <x v="0"/>
    <s v="L11 GPU Missing / NVIDIA server board Product Name mismatch in FRU : [] () and FRU ID 14: [GB300 MaxQ 1CPU:2GPU 12H Board PC] (1650726010751)"/>
    <s v="GB300 L10"/>
    <x v="14"/>
    <s v="A979646X6406785"/>
    <s v="A979646X6405687"/>
    <s v="Rack"/>
    <s v="TX2-5S"/>
    <n v="90169"/>
    <s v="InTest"/>
  </r>
  <r>
    <s v="P26403247"/>
    <s v="4/22/2026 6:47:24 AM"/>
    <x v="3"/>
    <s v="SR020331268326"/>
    <s v="RK212"/>
    <s v="GB200 L11 GPU Missing"/>
    <s v="4/22/2026"/>
    <x v="0"/>
    <s v="L11 GPU Missing / NVIDIA server board Product Name mismatch in FRU ID 14: [GB300 MaxQ 1CPU:2GPU 12H Board PC] (1760726823566) and FRU : [] ()"/>
    <s v="GB300 L10"/>
    <x v="14"/>
    <s v="A979646X6307582"/>
    <s v="A979646X6406880"/>
    <s v="Rack"/>
    <s v="TX2-5S"/>
    <n v="90169"/>
    <s v="InTest"/>
  </r>
  <r>
    <s v="P26403267"/>
    <s v="4/22/2026 12:24:02 PM"/>
    <x v="3"/>
    <s v="SR020331268326"/>
    <s v="RK216"/>
    <s v="GB200 L11 Cable Cartridge Nvidia FD Test fail"/>
    <s v="4/22/2026"/>
    <x v="0"/>
    <s v="C15,C16 CBC_2. Error message =&gt; The requested resource of type Chassis named 'CBC_2' was not found.;Update ErrorCode:RK024 To RK216 on 4/22/2026"/>
    <s v="Cable Cartridge"/>
    <x v="3"/>
    <s v="1821026354787C"/>
    <n v="1820926356122"/>
    <s v="Rack"/>
    <s v="TX2-5S"/>
    <n v="2874"/>
    <s v="InTest"/>
  </r>
  <r>
    <m/>
    <m/>
    <x v="6"/>
    <m/>
    <m/>
    <m/>
    <m/>
    <x v="4"/>
    <m/>
    <m/>
    <x v="18"/>
    <m/>
    <m/>
    <m/>
    <m/>
    <m/>
    <m/>
  </r>
  <r>
    <m/>
    <m/>
    <x v="6"/>
    <m/>
    <m/>
    <m/>
    <m/>
    <x v="4"/>
    <m/>
    <m/>
    <x v="18"/>
    <m/>
    <m/>
    <m/>
    <m/>
    <m/>
    <m/>
  </r>
  <r>
    <m/>
    <m/>
    <x v="6"/>
    <m/>
    <m/>
    <m/>
    <m/>
    <x v="4"/>
    <m/>
    <m/>
    <x v="1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C1682-E5B0-4EDF-9862-49BE1790F4BE}" name="樞紐分析表3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4:B7" firstHeaderRow="1" firstDataRow="1" firstDataCol="1" rowPageCount="2" colPageCount="1"/>
  <pivotFields count="17">
    <pivotField showAll="0"/>
    <pivotField showAll="0"/>
    <pivotField axis="axisPage" multipleItemSelectionAllowed="1" showAll="0">
      <items count="8">
        <item h="1" x="2"/>
        <item h="1" x="1"/>
        <item h="1" x="0"/>
        <item h="1" x="6"/>
        <item h="1" x="3"/>
        <item h="1" x="4"/>
        <item x="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h="1" x="1"/>
        <item h="1" x="2"/>
        <item x="0"/>
        <item h="1" x="4"/>
        <item h="1" x="3"/>
        <item t="default"/>
      </items>
    </pivotField>
    <pivotField showAll="0"/>
    <pivotField showAll="0"/>
    <pivotField axis="axisRow" dataField="1" showAll="0" sortType="descending">
      <items count="21">
        <item x="12"/>
        <item x="9"/>
        <item x="10"/>
        <item x="6"/>
        <item x="1"/>
        <item x="4"/>
        <item x="5"/>
        <item x="0"/>
        <item x="11"/>
        <item x="7"/>
        <item x="8"/>
        <item x="3"/>
        <item x="2"/>
        <item x="18"/>
        <item x="13"/>
        <item x="14"/>
        <item x="15"/>
        <item x="16"/>
        <item x="17"/>
        <item m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 v="18"/>
    </i>
    <i>
      <x v="11"/>
    </i>
    <i t="grand">
      <x/>
    </i>
  </rowItems>
  <colItems count="1">
    <i/>
  </colItems>
  <pageFields count="2">
    <pageField fld="2" hier="-1"/>
    <pageField fld="7" hier="-1"/>
  </pageFields>
  <dataFields count="1">
    <dataField name="計數 - Defect P/N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76927-F1CE-442E-8D22-1D5F39B81C1E}" name="樞紐分析表1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E4:F12" firstHeaderRow="1" firstDataRow="1" firstDataCol="1" rowPageCount="2" colPageCount="1"/>
  <pivotFields count="17">
    <pivotField showAll="0"/>
    <pivotField showAll="0"/>
    <pivotField axis="axisPage" multipleItemSelectionAllowed="1" showAll="0">
      <items count="8">
        <item h="1" x="2"/>
        <item h="1" x="1"/>
        <item h="1" x="0"/>
        <item h="1" x="6"/>
        <item x="3"/>
        <item h="1" x="4"/>
        <item h="1" x="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h="1" x="1"/>
        <item h="1" x="2"/>
        <item x="0"/>
        <item h="1" x="4"/>
        <item h="1" x="3"/>
        <item t="default"/>
      </items>
    </pivotField>
    <pivotField showAll="0"/>
    <pivotField showAll="0"/>
    <pivotField axis="axisRow" dataField="1" showAll="0" sortType="descending">
      <items count="21">
        <item x="12"/>
        <item x="9"/>
        <item x="10"/>
        <item x="6"/>
        <item x="1"/>
        <item x="4"/>
        <item x="5"/>
        <item x="0"/>
        <item x="11"/>
        <item x="7"/>
        <item x="8"/>
        <item x="3"/>
        <item x="2"/>
        <item x="18"/>
        <item x="13"/>
        <item x="14"/>
        <item x="15"/>
        <item x="16"/>
        <item x="17"/>
        <item m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 v="15"/>
    </i>
    <i>
      <x v="11"/>
    </i>
    <i>
      <x v="12"/>
    </i>
    <i>
      <x v="8"/>
    </i>
    <i>
      <x v="16"/>
    </i>
    <i>
      <x v="17"/>
    </i>
    <i>
      <x v="9"/>
    </i>
    <i t="grand">
      <x/>
    </i>
  </rowItems>
  <colItems count="1">
    <i/>
  </colItems>
  <pageFields count="2">
    <pageField fld="2" hier="-1"/>
    <pageField fld="7" hier="-1"/>
  </pageFields>
  <dataFields count="1">
    <dataField name="計數 - Defect P/N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61580-E22F-414A-B248-72178F6CC09E}" name="樞紐分析表5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4:J13" firstHeaderRow="1" firstDataRow="1" firstDataCol="1" rowPageCount="2" colPageCount="1"/>
  <pivotFields count="17">
    <pivotField showAll="0"/>
    <pivotField showAll="0"/>
    <pivotField axis="axisPage" multipleItemSelectionAllowed="1" showAll="0">
      <items count="8">
        <item x="2"/>
        <item h="1" x="1"/>
        <item h="1" x="0"/>
        <item h="1" x="6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h="1" x="1"/>
        <item h="1" x="2"/>
        <item x="0"/>
        <item h="1" x="4"/>
        <item h="1" x="3"/>
        <item t="default"/>
      </items>
    </pivotField>
    <pivotField showAll="0"/>
    <pivotField showAll="0"/>
    <pivotField axis="axisRow" dataField="1" showAll="0" sortType="descending">
      <items count="21">
        <item x="12"/>
        <item x="9"/>
        <item x="10"/>
        <item x="6"/>
        <item x="1"/>
        <item x="4"/>
        <item x="5"/>
        <item x="0"/>
        <item x="11"/>
        <item x="7"/>
        <item x="8"/>
        <item x="3"/>
        <item x="2"/>
        <item x="18"/>
        <item x="13"/>
        <item x="14"/>
        <item x="15"/>
        <item x="16"/>
        <item x="17"/>
        <item m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9">
    <i>
      <x/>
    </i>
    <i>
      <x v="11"/>
    </i>
    <i>
      <x v="12"/>
    </i>
    <i>
      <x v="7"/>
    </i>
    <i>
      <x v="5"/>
    </i>
    <i>
      <x v="6"/>
    </i>
    <i>
      <x v="15"/>
    </i>
    <i>
      <x v="14"/>
    </i>
    <i t="grand">
      <x/>
    </i>
  </rowItems>
  <colItems count="1">
    <i/>
  </colItems>
  <pageFields count="2">
    <pageField fld="2" hier="-1"/>
    <pageField fld="7" hier="-1"/>
  </pageFields>
  <dataFields count="1">
    <dataField name="計數 - Defect P/N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A601-1B78-417A-B60C-787615B144F5}">
  <sheetPr>
    <tabColor theme="8"/>
  </sheetPr>
  <dimension ref="A1:BC31"/>
  <sheetViews>
    <sheetView zoomScaleNormal="100" workbookViewId="0">
      <pane xSplit="1" topLeftCell="AI1" activePane="topRight" state="frozen"/>
      <selection pane="topRight" sqref="A1:BC9"/>
    </sheetView>
  </sheetViews>
  <sheetFormatPr defaultColWidth="8.8984375" defaultRowHeight="14.5" x14ac:dyDescent="0.3"/>
  <cols>
    <col min="1" max="1" width="22" style="1" bestFit="1" customWidth="1"/>
    <col min="2" max="2" width="9.3984375" style="1" hidden="1" customWidth="1"/>
    <col min="3" max="3" width="9" style="1" hidden="1" customWidth="1"/>
    <col min="4" max="5" width="9.3984375" style="1" hidden="1" customWidth="1"/>
    <col min="6" max="6" width="9" style="1" hidden="1" customWidth="1"/>
    <col min="7" max="7" width="7.69921875" style="1" hidden="1" customWidth="1"/>
    <col min="8" max="8" width="9.3984375" style="1" hidden="1" customWidth="1"/>
    <col min="9" max="9" width="6.69921875" style="1" hidden="1" customWidth="1"/>
    <col min="10" max="10" width="8.3984375" style="1" hidden="1" customWidth="1"/>
    <col min="11" max="11" width="7.69921875" style="1" hidden="1" customWidth="1"/>
    <col min="12" max="12" width="5.09765625" style="1" hidden="1" customWidth="1"/>
    <col min="13" max="13" width="5.69921875" style="1" hidden="1" customWidth="1"/>
    <col min="14" max="14" width="6.69921875" style="1" hidden="1" customWidth="1"/>
    <col min="15" max="15" width="8.8984375" style="1" hidden="1" customWidth="1"/>
    <col min="16" max="16" width="7.3984375" style="1" hidden="1" customWidth="1"/>
    <col min="17" max="17" width="9.69921875" style="1" hidden="1" customWidth="1"/>
    <col min="18" max="18" width="9" style="1" hidden="1" customWidth="1"/>
    <col min="19" max="19" width="7.09765625" style="1" hidden="1" customWidth="1"/>
    <col min="20" max="20" width="8.8984375" style="1" hidden="1" customWidth="1"/>
    <col min="21" max="21" width="7" style="1" hidden="1" customWidth="1"/>
    <col min="22" max="23" width="8.8984375" style="1" hidden="1" customWidth="1"/>
    <col min="24" max="24" width="9" style="1" hidden="1" customWidth="1"/>
    <col min="25" max="25" width="8.8984375" style="1" hidden="1" customWidth="1"/>
    <col min="26" max="26" width="12.3984375" style="1" hidden="1" customWidth="1"/>
    <col min="27" max="28" width="8.8984375" style="1" hidden="1" customWidth="1"/>
    <col min="29" max="30" width="7" style="1" hidden="1" customWidth="1"/>
    <col min="31" max="31" width="8.8984375" style="1" hidden="1" customWidth="1"/>
    <col min="32" max="34" width="8.8984375" style="1" customWidth="1"/>
    <col min="35" max="35" width="9.59765625" style="1" customWidth="1"/>
    <col min="36" max="58" width="8.8984375" style="1" customWidth="1"/>
    <col min="59" max="16384" width="8.8984375" style="1"/>
  </cols>
  <sheetData>
    <row r="1" spans="1:55" x14ac:dyDescent="0.3">
      <c r="B1" s="2" t="str">
        <f t="shared" ref="B1:AQ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Mon</v>
      </c>
      <c r="I1" s="2" t="str">
        <f t="shared" si="0"/>
        <v>Tue</v>
      </c>
      <c r="J1" s="2" t="str">
        <f t="shared" si="0"/>
        <v>Wed</v>
      </c>
      <c r="K1" s="2" t="str">
        <f t="shared" si="0"/>
        <v>Thu</v>
      </c>
      <c r="L1" s="2" t="str">
        <f t="shared" si="0"/>
        <v>Fri</v>
      </c>
      <c r="M1" s="2" t="str">
        <f t="shared" si="0"/>
        <v>Sat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">
        <v>5062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  <c r="AK1" s="2" t="str">
        <f t="shared" si="0"/>
        <v>Sat</v>
      </c>
      <c r="AL1" s="2" t="str">
        <f t="shared" si="0"/>
        <v>Mon</v>
      </c>
      <c r="AM1" s="2" t="str">
        <f t="shared" si="0"/>
        <v>Tue</v>
      </c>
      <c r="AN1" s="2" t="str">
        <f t="shared" si="0"/>
        <v>Wed</v>
      </c>
      <c r="AO1" s="2" t="str">
        <f t="shared" si="0"/>
        <v>Thu</v>
      </c>
      <c r="AP1" s="2" t="str">
        <f>TEXT(AP2,"ddd")</f>
        <v>Fri</v>
      </c>
      <c r="AQ1" s="2" t="str">
        <f t="shared" si="0"/>
        <v>Tue</v>
      </c>
      <c r="AR1" s="2" t="str">
        <f t="shared" ref="AR1:BA1" si="1">TEXT(AR2,"ddd")</f>
        <v>Wed</v>
      </c>
      <c r="AS1" s="2" t="str">
        <f t="shared" si="1"/>
        <v>Thu</v>
      </c>
      <c r="AT1" s="2" t="str">
        <f t="shared" si="1"/>
        <v>Fri</v>
      </c>
      <c r="AU1" s="2" t="str">
        <f t="shared" si="1"/>
        <v>Mon</v>
      </c>
      <c r="AV1" s="2" t="str">
        <f t="shared" si="1"/>
        <v>Tue</v>
      </c>
      <c r="AW1" s="2" t="str">
        <f t="shared" si="1"/>
        <v>Wed</v>
      </c>
      <c r="AX1" s="2" t="str">
        <f t="shared" si="1"/>
        <v>Thu</v>
      </c>
      <c r="AY1" s="2" t="str">
        <f t="shared" si="1"/>
        <v>Fri</v>
      </c>
      <c r="AZ1" s="2" t="str">
        <f t="shared" si="1"/>
        <v>Mon</v>
      </c>
      <c r="BA1" s="2" t="str">
        <f t="shared" si="1"/>
        <v>Tue</v>
      </c>
      <c r="BB1" s="2" t="str">
        <f>TEXT(BB2,"ddd")</f>
        <v>Wed</v>
      </c>
      <c r="BC1" s="2" t="str">
        <f>TEXT(BC2,"ddd")</f>
        <v>Thu</v>
      </c>
    </row>
    <row r="2" spans="1:55" x14ac:dyDescent="0.3">
      <c r="B2" s="2">
        <v>46065</v>
      </c>
      <c r="C2" s="2">
        <v>46066</v>
      </c>
      <c r="D2" s="2">
        <v>46067</v>
      </c>
      <c r="E2" s="2">
        <v>46072</v>
      </c>
      <c r="F2" s="2">
        <v>46073</v>
      </c>
      <c r="G2" s="2">
        <v>46074</v>
      </c>
      <c r="H2" s="2">
        <v>46076</v>
      </c>
      <c r="I2" s="2">
        <v>46077</v>
      </c>
      <c r="J2" s="2">
        <v>46078</v>
      </c>
      <c r="K2" s="2">
        <v>46079</v>
      </c>
      <c r="L2" s="2">
        <v>46080</v>
      </c>
      <c r="M2" s="2">
        <v>46081</v>
      </c>
      <c r="N2" s="2">
        <v>46083</v>
      </c>
      <c r="O2" s="2">
        <v>46084</v>
      </c>
      <c r="P2" s="2">
        <v>46085</v>
      </c>
      <c r="Q2" s="2">
        <v>46086</v>
      </c>
      <c r="R2" s="2">
        <v>46087</v>
      </c>
      <c r="S2" s="2">
        <v>46088</v>
      </c>
      <c r="T2" s="2">
        <v>46090</v>
      </c>
      <c r="U2" s="2">
        <v>46091</v>
      </c>
      <c r="V2" s="2">
        <v>46092</v>
      </c>
      <c r="W2" s="2">
        <v>46093</v>
      </c>
      <c r="X2" s="2">
        <v>46094</v>
      </c>
      <c r="Y2" s="2">
        <v>46095</v>
      </c>
      <c r="Z2" s="2" t="s">
        <v>5061</v>
      </c>
      <c r="AA2" s="2">
        <v>46098</v>
      </c>
      <c r="AB2" s="2">
        <v>46099</v>
      </c>
      <c r="AC2" s="2">
        <v>46100</v>
      </c>
      <c r="AD2" s="2">
        <v>46101</v>
      </c>
      <c r="AE2" s="2">
        <v>46102</v>
      </c>
      <c r="AF2" s="2">
        <v>46104</v>
      </c>
      <c r="AG2" s="2">
        <v>46105</v>
      </c>
      <c r="AH2" s="2">
        <v>46106</v>
      </c>
      <c r="AI2" s="2">
        <v>46107</v>
      </c>
      <c r="AJ2" s="2">
        <v>46108</v>
      </c>
      <c r="AK2" s="2">
        <v>46109</v>
      </c>
      <c r="AL2" s="2">
        <v>46111</v>
      </c>
      <c r="AM2" s="2">
        <v>46112</v>
      </c>
      <c r="AN2" s="2">
        <v>46113</v>
      </c>
      <c r="AO2" s="2">
        <v>46114</v>
      </c>
      <c r="AP2" s="2">
        <v>46115</v>
      </c>
      <c r="AQ2" s="2">
        <v>46119</v>
      </c>
      <c r="AR2" s="2">
        <v>46120</v>
      </c>
      <c r="AS2" s="2">
        <v>46121</v>
      </c>
      <c r="AT2" s="2">
        <v>46122</v>
      </c>
      <c r="AU2" s="2">
        <v>46125</v>
      </c>
      <c r="AV2" s="2">
        <v>46126</v>
      </c>
      <c r="AW2" s="2">
        <v>46127</v>
      </c>
      <c r="AX2" s="2">
        <v>46128</v>
      </c>
      <c r="AY2" s="2">
        <v>46129</v>
      </c>
      <c r="AZ2" s="2">
        <v>46132</v>
      </c>
      <c r="BA2" s="2">
        <v>46133</v>
      </c>
      <c r="BB2" s="2">
        <v>46134</v>
      </c>
      <c r="BC2" s="2">
        <v>46135</v>
      </c>
    </row>
    <row r="3" spans="1:55" x14ac:dyDescent="0.3">
      <c r="A3" s="3" t="s">
        <v>4499</v>
      </c>
      <c r="B3" s="23">
        <v>4</v>
      </c>
      <c r="C3" s="23">
        <v>1</v>
      </c>
      <c r="D3" s="23">
        <v>1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2</v>
      </c>
      <c r="N3" s="23">
        <v>12</v>
      </c>
      <c r="O3" s="23">
        <v>17</v>
      </c>
      <c r="P3" s="23">
        <v>14</v>
      </c>
      <c r="Q3" s="23">
        <v>18</v>
      </c>
      <c r="R3" s="23">
        <v>20</v>
      </c>
      <c r="S3" s="23">
        <v>21</v>
      </c>
      <c r="T3" s="23">
        <v>20</v>
      </c>
      <c r="U3" s="23">
        <v>16</v>
      </c>
      <c r="V3" s="23">
        <v>19</v>
      </c>
      <c r="W3" s="23">
        <v>17</v>
      </c>
      <c r="X3" s="23">
        <v>20</v>
      </c>
      <c r="Y3" s="23">
        <v>18</v>
      </c>
      <c r="Z3" s="23">
        <v>30</v>
      </c>
      <c r="AA3" s="23">
        <v>17</v>
      </c>
      <c r="AB3" s="23">
        <v>11</v>
      </c>
      <c r="AC3" s="23">
        <v>7</v>
      </c>
      <c r="AD3" s="23">
        <v>15</v>
      </c>
      <c r="AE3" s="23">
        <v>9</v>
      </c>
      <c r="AF3" s="23">
        <v>13</v>
      </c>
      <c r="AG3" s="23">
        <v>16</v>
      </c>
      <c r="AH3" s="23">
        <v>18</v>
      </c>
      <c r="AI3" s="23">
        <v>14</v>
      </c>
      <c r="AJ3" s="23">
        <v>15</v>
      </c>
      <c r="AK3" s="23">
        <v>18</v>
      </c>
      <c r="AL3" s="23">
        <v>29</v>
      </c>
      <c r="AM3" s="23">
        <v>20</v>
      </c>
      <c r="AN3" s="23">
        <v>18</v>
      </c>
      <c r="AO3" s="23">
        <v>20</v>
      </c>
      <c r="AP3" s="23">
        <v>20</v>
      </c>
      <c r="AQ3" s="23">
        <v>32</v>
      </c>
      <c r="AR3" s="23">
        <v>21</v>
      </c>
      <c r="AS3" s="23">
        <v>3</v>
      </c>
      <c r="AT3" s="23">
        <v>5</v>
      </c>
      <c r="AU3" s="23">
        <v>2</v>
      </c>
      <c r="AV3" s="23">
        <v>1</v>
      </c>
      <c r="AW3" s="23">
        <v>0</v>
      </c>
      <c r="AX3" s="23">
        <v>1</v>
      </c>
      <c r="AY3" s="23">
        <v>0</v>
      </c>
      <c r="AZ3" s="23">
        <v>1</v>
      </c>
      <c r="BA3" s="23">
        <v>0</v>
      </c>
      <c r="BB3" s="23">
        <v>0</v>
      </c>
      <c r="BC3" s="23">
        <v>0</v>
      </c>
    </row>
    <row r="4" spans="1:55" x14ac:dyDescent="0.3">
      <c r="A4" s="4" t="s">
        <v>0</v>
      </c>
      <c r="B4" s="23">
        <v>4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1</v>
      </c>
      <c r="J4" s="23">
        <v>0</v>
      </c>
      <c r="K4" s="23">
        <v>1</v>
      </c>
      <c r="L4" s="23">
        <v>0</v>
      </c>
      <c r="M4" s="23">
        <v>0</v>
      </c>
      <c r="N4" s="23">
        <v>9</v>
      </c>
      <c r="O4" s="23">
        <v>16</v>
      </c>
      <c r="P4" s="23">
        <v>18</v>
      </c>
      <c r="Q4" s="23">
        <v>5</v>
      </c>
      <c r="R4" s="23">
        <v>3</v>
      </c>
      <c r="S4" s="23">
        <v>18</v>
      </c>
      <c r="T4" s="23">
        <v>18</v>
      </c>
      <c r="U4" s="23">
        <v>11</v>
      </c>
      <c r="V4" s="23">
        <v>18</v>
      </c>
      <c r="W4" s="23">
        <v>19</v>
      </c>
      <c r="X4" s="23">
        <v>19</v>
      </c>
      <c r="Y4" s="23">
        <v>19</v>
      </c>
      <c r="Z4" s="23">
        <v>37</v>
      </c>
      <c r="AA4" s="23">
        <v>18</v>
      </c>
      <c r="AB4" s="23">
        <v>17</v>
      </c>
      <c r="AC4" s="23">
        <v>17</v>
      </c>
      <c r="AD4" s="23">
        <v>14</v>
      </c>
      <c r="AE4" s="23">
        <v>8</v>
      </c>
      <c r="AF4" s="23">
        <v>13</v>
      </c>
      <c r="AG4" s="23">
        <v>18</v>
      </c>
      <c r="AH4" s="23">
        <v>13</v>
      </c>
      <c r="AI4" s="23">
        <v>7</v>
      </c>
      <c r="AJ4" s="23">
        <v>18</v>
      </c>
      <c r="AK4" s="23">
        <v>16</v>
      </c>
      <c r="AL4" s="23">
        <v>28</v>
      </c>
      <c r="AM4" s="23">
        <v>18</v>
      </c>
      <c r="AN4" s="23">
        <v>19</v>
      </c>
      <c r="AO4" s="23">
        <v>19</v>
      </c>
      <c r="AP4" s="23">
        <v>15</v>
      </c>
      <c r="AQ4" s="23">
        <v>50</v>
      </c>
      <c r="AR4" s="23">
        <v>12</v>
      </c>
      <c r="AS4" s="23">
        <v>9</v>
      </c>
      <c r="AT4" s="23">
        <v>14</v>
      </c>
      <c r="AU4" s="23">
        <v>8</v>
      </c>
      <c r="AV4" s="23">
        <v>4</v>
      </c>
      <c r="AW4" s="23">
        <v>1</v>
      </c>
      <c r="AX4" s="23">
        <v>1</v>
      </c>
      <c r="AY4" s="23">
        <v>0</v>
      </c>
      <c r="AZ4" s="23">
        <v>1</v>
      </c>
      <c r="BA4" s="23">
        <v>1</v>
      </c>
      <c r="BB4" s="23">
        <v>0</v>
      </c>
      <c r="BC4" s="23">
        <v>0</v>
      </c>
    </row>
    <row r="5" spans="1:55" x14ac:dyDescent="0.3">
      <c r="A5" s="4" t="s">
        <v>5</v>
      </c>
      <c r="B5" s="23">
        <v>0</v>
      </c>
      <c r="C5" s="23">
        <f>B6+C3-C4-C6</f>
        <v>0</v>
      </c>
      <c r="D5" s="23">
        <f t="shared" ref="D5:M5" si="2">C6+D3-D4-D6</f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  <c r="I5" s="23">
        <f t="shared" si="2"/>
        <v>0</v>
      </c>
      <c r="J5" s="23">
        <f t="shared" si="2"/>
        <v>0</v>
      </c>
      <c r="K5" s="23">
        <f t="shared" si="2"/>
        <v>0</v>
      </c>
      <c r="L5" s="23">
        <f t="shared" si="2"/>
        <v>0</v>
      </c>
      <c r="M5" s="23">
        <f t="shared" si="2"/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2</v>
      </c>
      <c r="AX5" s="23">
        <v>2</v>
      </c>
      <c r="AY5" s="23">
        <v>2</v>
      </c>
      <c r="AZ5" s="23">
        <v>1</v>
      </c>
      <c r="BA5" s="23">
        <v>0</v>
      </c>
      <c r="BB5" s="23">
        <f t="shared" ref="BB5:BC5" si="3">BA6+BB3-BB4</f>
        <v>0</v>
      </c>
      <c r="BC5" s="23">
        <f t="shared" si="3"/>
        <v>0</v>
      </c>
    </row>
    <row r="6" spans="1:55" x14ac:dyDescent="0.3">
      <c r="A6" s="4" t="s">
        <v>3</v>
      </c>
      <c r="B6" s="23">
        <v>0</v>
      </c>
      <c r="C6" s="23">
        <v>1</v>
      </c>
      <c r="D6" s="23">
        <v>2</v>
      </c>
      <c r="E6" s="23">
        <v>2</v>
      </c>
      <c r="F6" s="23">
        <v>2</v>
      </c>
      <c r="G6" s="23">
        <v>2</v>
      </c>
      <c r="H6" s="23">
        <v>2</v>
      </c>
      <c r="I6" s="23">
        <v>1</v>
      </c>
      <c r="J6" s="23">
        <v>1</v>
      </c>
      <c r="K6" s="23">
        <v>0</v>
      </c>
      <c r="L6" s="23">
        <v>0</v>
      </c>
      <c r="M6" s="23">
        <v>2</v>
      </c>
      <c r="N6" s="23">
        <v>5</v>
      </c>
      <c r="O6" s="23">
        <v>6</v>
      </c>
      <c r="P6" s="23">
        <v>2</v>
      </c>
      <c r="Q6" s="23">
        <v>15</v>
      </c>
      <c r="R6" s="23">
        <v>32</v>
      </c>
      <c r="S6" s="23">
        <v>35</v>
      </c>
      <c r="T6" s="23">
        <v>37</v>
      </c>
      <c r="U6" s="23">
        <v>42</v>
      </c>
      <c r="V6" s="23">
        <v>43</v>
      </c>
      <c r="W6" s="23">
        <v>41</v>
      </c>
      <c r="X6" s="23">
        <v>42</v>
      </c>
      <c r="Y6" s="23">
        <v>41</v>
      </c>
      <c r="Z6" s="23">
        <v>34</v>
      </c>
      <c r="AA6" s="23">
        <v>33</v>
      </c>
      <c r="AB6" s="23">
        <v>27</v>
      </c>
      <c r="AC6" s="23">
        <v>17</v>
      </c>
      <c r="AD6" s="23">
        <v>18</v>
      </c>
      <c r="AE6" s="23">
        <v>19</v>
      </c>
      <c r="AF6" s="23">
        <v>19</v>
      </c>
      <c r="AG6" s="23">
        <v>17</v>
      </c>
      <c r="AH6" s="23">
        <v>22</v>
      </c>
      <c r="AI6" s="23">
        <v>29</v>
      </c>
      <c r="AJ6" s="23">
        <v>26</v>
      </c>
      <c r="AK6" s="23">
        <v>28</v>
      </c>
      <c r="AL6" s="23">
        <v>29</v>
      </c>
      <c r="AM6" s="23">
        <v>31</v>
      </c>
      <c r="AN6" s="23">
        <v>30</v>
      </c>
      <c r="AO6" s="23">
        <v>31</v>
      </c>
      <c r="AP6" s="23">
        <v>36</v>
      </c>
      <c r="AQ6" s="23">
        <v>32</v>
      </c>
      <c r="AR6" s="23">
        <v>21</v>
      </c>
      <c r="AS6" s="23">
        <v>11</v>
      </c>
      <c r="AT6" s="23">
        <v>2</v>
      </c>
      <c r="AU6" s="23">
        <v>2</v>
      </c>
      <c r="AV6" s="23">
        <v>1</v>
      </c>
      <c r="AW6" s="23">
        <v>0</v>
      </c>
      <c r="AX6" s="23">
        <v>0</v>
      </c>
      <c r="AY6" s="23">
        <v>0</v>
      </c>
      <c r="AZ6" s="23">
        <v>0</v>
      </c>
      <c r="BA6" s="23">
        <v>0</v>
      </c>
      <c r="BB6" s="23">
        <v>0</v>
      </c>
      <c r="BC6" s="23">
        <v>0</v>
      </c>
    </row>
    <row r="7" spans="1:55" ht="29" x14ac:dyDescent="0.3">
      <c r="A7" s="22" t="s">
        <v>4543</v>
      </c>
      <c r="B7" s="23">
        <v>4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2</v>
      </c>
      <c r="K7" s="23">
        <v>0</v>
      </c>
      <c r="L7" s="23">
        <v>0</v>
      </c>
      <c r="M7" s="23">
        <v>0</v>
      </c>
      <c r="N7" s="23">
        <v>7</v>
      </c>
      <c r="O7" s="23">
        <v>16</v>
      </c>
      <c r="P7" s="23">
        <v>17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8</v>
      </c>
      <c r="W7" s="23">
        <v>8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23">
        <v>0</v>
      </c>
      <c r="AH7" s="23">
        <v>5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0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</row>
    <row r="8" spans="1:55" ht="28.4" customHeight="1" thickBot="1" x14ac:dyDescent="0.35">
      <c r="A8" s="22" t="s">
        <v>127</v>
      </c>
      <c r="B8" s="24">
        <v>4</v>
      </c>
      <c r="C8" s="24">
        <f>B8+C4</f>
        <v>4</v>
      </c>
      <c r="D8" s="24">
        <f t="shared" ref="D8:R8" si="4">C8+D4</f>
        <v>4</v>
      </c>
      <c r="E8" s="24">
        <f t="shared" si="4"/>
        <v>4</v>
      </c>
      <c r="F8" s="24">
        <f t="shared" si="4"/>
        <v>4</v>
      </c>
      <c r="G8" s="24">
        <f t="shared" si="4"/>
        <v>4</v>
      </c>
      <c r="H8" s="24">
        <f t="shared" si="4"/>
        <v>4</v>
      </c>
      <c r="I8" s="24">
        <f t="shared" si="4"/>
        <v>5</v>
      </c>
      <c r="J8" s="24">
        <f t="shared" si="4"/>
        <v>5</v>
      </c>
      <c r="K8" s="24">
        <f t="shared" si="4"/>
        <v>6</v>
      </c>
      <c r="L8" s="24">
        <f t="shared" si="4"/>
        <v>6</v>
      </c>
      <c r="M8" s="24">
        <f t="shared" si="4"/>
        <v>6</v>
      </c>
      <c r="N8" s="24">
        <f t="shared" si="4"/>
        <v>15</v>
      </c>
      <c r="O8" s="24">
        <f t="shared" si="4"/>
        <v>31</v>
      </c>
      <c r="P8" s="24">
        <f t="shared" si="4"/>
        <v>49</v>
      </c>
      <c r="Q8" s="24">
        <f>P8+Q4</f>
        <v>54</v>
      </c>
      <c r="R8" s="24">
        <f t="shared" si="4"/>
        <v>57</v>
      </c>
      <c r="S8" s="24">
        <f t="shared" ref="S8" si="5">R8+S4</f>
        <v>75</v>
      </c>
      <c r="T8" s="24">
        <f t="shared" ref="T8" si="6">S8+T4</f>
        <v>93</v>
      </c>
      <c r="U8" s="24">
        <f t="shared" ref="U8" si="7">T8+U4</f>
        <v>104</v>
      </c>
      <c r="V8" s="24">
        <f t="shared" ref="V8" si="8">U8+V4</f>
        <v>122</v>
      </c>
      <c r="W8" s="24">
        <f t="shared" ref="W8" si="9">V8+W4</f>
        <v>141</v>
      </c>
      <c r="X8" s="24">
        <f t="shared" ref="X8" si="10">W8+X4</f>
        <v>160</v>
      </c>
      <c r="Y8" s="24">
        <f t="shared" ref="Y8" si="11">X8+Y4</f>
        <v>179</v>
      </c>
      <c r="Z8" s="24">
        <f t="shared" ref="Z8" si="12">Y8+Z4</f>
        <v>216</v>
      </c>
      <c r="AA8" s="24">
        <f t="shared" ref="AA8" si="13">Z8+AA4</f>
        <v>234</v>
      </c>
      <c r="AB8" s="24">
        <f t="shared" ref="AB8" si="14">AA8+AB4</f>
        <v>251</v>
      </c>
      <c r="AC8" s="24">
        <f t="shared" ref="AC8" si="15">AB8+AC4</f>
        <v>268</v>
      </c>
      <c r="AD8" s="24">
        <f t="shared" ref="AD8" si="16">AC8+AD4</f>
        <v>282</v>
      </c>
      <c r="AE8" s="24">
        <f t="shared" ref="AE8" si="17">AD8+AE4</f>
        <v>290</v>
      </c>
      <c r="AF8" s="24">
        <f t="shared" ref="AF8" si="18">AE8+AF4</f>
        <v>303</v>
      </c>
      <c r="AG8" s="24">
        <f t="shared" ref="AG8" si="19">AF8+AG4</f>
        <v>321</v>
      </c>
      <c r="AH8" s="24">
        <f t="shared" ref="AH8" si="20">AG8+AH4</f>
        <v>334</v>
      </c>
      <c r="AI8" s="24">
        <f t="shared" ref="AI8" si="21">AH8+AI4</f>
        <v>341</v>
      </c>
      <c r="AJ8" s="24">
        <f>AI8+AJ4</f>
        <v>359</v>
      </c>
      <c r="AK8" s="24">
        <f t="shared" ref="AK8" si="22">AJ8+AK4</f>
        <v>375</v>
      </c>
      <c r="AL8" s="24">
        <f t="shared" ref="AL8" si="23">AK8+AL4</f>
        <v>403</v>
      </c>
      <c r="AM8" s="24">
        <f t="shared" ref="AM8" si="24">AL8+AM4</f>
        <v>421</v>
      </c>
      <c r="AN8" s="24">
        <f t="shared" ref="AN8" si="25">AM8+AN4</f>
        <v>440</v>
      </c>
      <c r="AO8" s="24">
        <f t="shared" ref="AO8" si="26">AN8+AO4</f>
        <v>459</v>
      </c>
      <c r="AP8" s="24">
        <f t="shared" ref="AP8" si="27">AO8+AP4</f>
        <v>474</v>
      </c>
      <c r="AQ8" s="24">
        <f t="shared" ref="AQ8" si="28">AP8+AQ4</f>
        <v>524</v>
      </c>
      <c r="AR8" s="24">
        <f t="shared" ref="AR8" si="29">AQ8+AR4</f>
        <v>536</v>
      </c>
      <c r="AS8" s="24">
        <f t="shared" ref="AS8" si="30">AR8+AS4</f>
        <v>545</v>
      </c>
      <c r="AT8" s="24">
        <f t="shared" ref="AT8" si="31">AS8+AT4</f>
        <v>559</v>
      </c>
      <c r="AU8" s="24">
        <f t="shared" ref="AU8" si="32">AT8+AU4</f>
        <v>567</v>
      </c>
      <c r="AV8" s="24">
        <f t="shared" ref="AV8" si="33">AU8+AV4</f>
        <v>571</v>
      </c>
      <c r="AW8" s="24">
        <f t="shared" ref="AW8" si="34">AV8+AW4</f>
        <v>572</v>
      </c>
      <c r="AX8" s="24">
        <f t="shared" ref="AX8" si="35">AW8+AX4</f>
        <v>573</v>
      </c>
      <c r="AY8" s="24">
        <f t="shared" ref="AY8" si="36">AX8+AY4</f>
        <v>573</v>
      </c>
      <c r="AZ8" s="24">
        <f t="shared" ref="AZ8" si="37">AY8+AZ4</f>
        <v>574</v>
      </c>
      <c r="BA8" s="24">
        <f t="shared" ref="BA8" si="38">AZ8+BA4</f>
        <v>575</v>
      </c>
      <c r="BB8" s="24">
        <f t="shared" ref="BB8:BC8" si="39">BA8+BB4</f>
        <v>575</v>
      </c>
      <c r="BC8" s="24">
        <f t="shared" si="39"/>
        <v>575</v>
      </c>
    </row>
    <row r="9" spans="1:55" ht="15" thickBot="1" x14ac:dyDescent="0.35">
      <c r="A9" s="5" t="s">
        <v>1</v>
      </c>
      <c r="B9" s="25">
        <f>IFERROR((B4-B7)/(B4+B6),"N/a")</f>
        <v>0</v>
      </c>
      <c r="C9" s="25">
        <f t="shared" ref="C9:R9" si="40">IFERROR((C4-C7)/(C4+C6),"N/a")</f>
        <v>0</v>
      </c>
      <c r="D9" s="25">
        <f t="shared" si="40"/>
        <v>0</v>
      </c>
      <c r="E9" s="25">
        <f t="shared" si="40"/>
        <v>0</v>
      </c>
      <c r="F9" s="25">
        <f t="shared" si="40"/>
        <v>0</v>
      </c>
      <c r="G9" s="25">
        <f t="shared" si="40"/>
        <v>0</v>
      </c>
      <c r="H9" s="25">
        <f t="shared" si="40"/>
        <v>0</v>
      </c>
      <c r="I9" s="25">
        <f t="shared" si="40"/>
        <v>0.5</v>
      </c>
      <c r="J9" s="25">
        <f>IFERROR((J4-J7)/(J4+J6),"N/a")</f>
        <v>-2</v>
      </c>
      <c r="K9" s="25">
        <f t="shared" si="40"/>
        <v>1</v>
      </c>
      <c r="L9" s="25" t="str">
        <f>IFERROR((L4-L7)/(L4+L6),"N/A")</f>
        <v>N/A</v>
      </c>
      <c r="M9" s="25">
        <f t="shared" si="40"/>
        <v>0</v>
      </c>
      <c r="N9" s="25">
        <f t="shared" si="40"/>
        <v>0.14285714285714285</v>
      </c>
      <c r="O9" s="25">
        <f t="shared" si="40"/>
        <v>0</v>
      </c>
      <c r="P9" s="25">
        <f>IFERROR((P4-P7)/(P4+P6),"N/a")</f>
        <v>0.05</v>
      </c>
      <c r="Q9" s="25">
        <f t="shared" si="40"/>
        <v>0.25</v>
      </c>
      <c r="R9" s="25">
        <f t="shared" si="40"/>
        <v>8.5714285714285715E-2</v>
      </c>
      <c r="S9" s="25">
        <f t="shared" ref="S9:BB9" si="41">IFERROR(S4/(S4+S6),"N/A")</f>
        <v>0.33962264150943394</v>
      </c>
      <c r="T9" s="25">
        <f t="shared" si="41"/>
        <v>0.32727272727272727</v>
      </c>
      <c r="U9" s="25">
        <f t="shared" si="41"/>
        <v>0.20754716981132076</v>
      </c>
      <c r="V9" s="25">
        <f>IFERROR(V4/(V4+V6),"N/A")</f>
        <v>0.29508196721311475</v>
      </c>
      <c r="W9" s="25">
        <f t="shared" si="41"/>
        <v>0.31666666666666665</v>
      </c>
      <c r="X9" s="25">
        <f t="shared" si="41"/>
        <v>0.31147540983606559</v>
      </c>
      <c r="Y9" s="25">
        <f t="shared" si="41"/>
        <v>0.31666666666666665</v>
      </c>
      <c r="Z9" s="25">
        <f t="shared" si="41"/>
        <v>0.52112676056338025</v>
      </c>
      <c r="AA9" s="25">
        <f t="shared" si="41"/>
        <v>0.35294117647058826</v>
      </c>
      <c r="AB9" s="25">
        <f t="shared" si="41"/>
        <v>0.38636363636363635</v>
      </c>
      <c r="AC9" s="25">
        <f>IFERROR(AC4/(AC4+AC6),"N/A")</f>
        <v>0.5</v>
      </c>
      <c r="AD9" s="25">
        <f t="shared" si="41"/>
        <v>0.4375</v>
      </c>
      <c r="AE9" s="25">
        <f t="shared" si="41"/>
        <v>0.29629629629629628</v>
      </c>
      <c r="AF9" s="25">
        <f t="shared" si="41"/>
        <v>0.40625</v>
      </c>
      <c r="AG9" s="25">
        <f t="shared" si="41"/>
        <v>0.51428571428571423</v>
      </c>
      <c r="AH9" s="25">
        <f t="shared" si="41"/>
        <v>0.37142857142857144</v>
      </c>
      <c r="AI9" s="25">
        <f t="shared" si="41"/>
        <v>0.19444444444444445</v>
      </c>
      <c r="AJ9" s="25">
        <f t="shared" si="41"/>
        <v>0.40909090909090912</v>
      </c>
      <c r="AK9" s="25">
        <f t="shared" si="41"/>
        <v>0.36363636363636365</v>
      </c>
      <c r="AL9" s="25">
        <f t="shared" si="41"/>
        <v>0.49122807017543857</v>
      </c>
      <c r="AM9" s="25">
        <f t="shared" si="41"/>
        <v>0.36734693877551022</v>
      </c>
      <c r="AN9" s="25">
        <f t="shared" si="41"/>
        <v>0.38775510204081631</v>
      </c>
      <c r="AO9" s="25">
        <f t="shared" si="41"/>
        <v>0.38</v>
      </c>
      <c r="AP9" s="25">
        <f t="shared" si="41"/>
        <v>0.29411764705882354</v>
      </c>
      <c r="AQ9" s="25">
        <f t="shared" si="41"/>
        <v>0.6097560975609756</v>
      </c>
      <c r="AR9" s="25">
        <f t="shared" si="41"/>
        <v>0.36363636363636365</v>
      </c>
      <c r="AS9" s="25">
        <f t="shared" si="41"/>
        <v>0.45</v>
      </c>
      <c r="AT9" s="25">
        <f t="shared" si="41"/>
        <v>0.875</v>
      </c>
      <c r="AU9" s="25">
        <f t="shared" si="41"/>
        <v>0.8</v>
      </c>
      <c r="AV9" s="25">
        <f t="shared" si="41"/>
        <v>0.8</v>
      </c>
      <c r="AW9" s="25">
        <f t="shared" si="41"/>
        <v>1</v>
      </c>
      <c r="AX9" s="25">
        <f t="shared" si="41"/>
        <v>1</v>
      </c>
      <c r="AY9" s="25" t="str">
        <f t="shared" si="41"/>
        <v>N/A</v>
      </c>
      <c r="AZ9" s="25">
        <f t="shared" si="41"/>
        <v>1</v>
      </c>
      <c r="BA9" s="25">
        <f t="shared" si="41"/>
        <v>1</v>
      </c>
      <c r="BB9" s="25" t="str">
        <f t="shared" si="41"/>
        <v>N/A</v>
      </c>
      <c r="BC9" s="25" t="str">
        <f t="shared" ref="BC9" si="42">IFERROR(BC4/(BC4+BC6),"N/A")</f>
        <v>N/A</v>
      </c>
    </row>
    <row r="14" spans="1:55" x14ac:dyDescent="0.3">
      <c r="U14" s="31"/>
    </row>
    <row r="15" spans="1:55" x14ac:dyDescent="0.3">
      <c r="U15" s="31"/>
    </row>
    <row r="16" spans="1:55" x14ac:dyDescent="0.3">
      <c r="U16" s="31"/>
    </row>
    <row r="17" spans="21:21" x14ac:dyDescent="0.3">
      <c r="U17" s="31"/>
    </row>
    <row r="18" spans="21:21" x14ac:dyDescent="0.3">
      <c r="U18" s="31"/>
    </row>
    <row r="19" spans="21:21" x14ac:dyDescent="0.3">
      <c r="U19" s="31"/>
    </row>
    <row r="20" spans="21:21" x14ac:dyDescent="0.3">
      <c r="U20" s="31"/>
    </row>
    <row r="21" spans="21:21" x14ac:dyDescent="0.3">
      <c r="U21" s="31"/>
    </row>
    <row r="22" spans="21:21" x14ac:dyDescent="0.3">
      <c r="U22" s="31"/>
    </row>
    <row r="23" spans="21:21" x14ac:dyDescent="0.3">
      <c r="U23" s="31"/>
    </row>
    <row r="24" spans="21:21" x14ac:dyDescent="0.3">
      <c r="U24" s="31"/>
    </row>
    <row r="25" spans="21:21" x14ac:dyDescent="0.3">
      <c r="U25" s="31"/>
    </row>
    <row r="26" spans="21:21" x14ac:dyDescent="0.3">
      <c r="U26" s="31"/>
    </row>
    <row r="27" spans="21:21" x14ac:dyDescent="0.3">
      <c r="U27" s="31"/>
    </row>
    <row r="28" spans="21:21" x14ac:dyDescent="0.3">
      <c r="U28" s="31"/>
    </row>
    <row r="29" spans="21:21" x14ac:dyDescent="0.3">
      <c r="U29" s="31"/>
    </row>
    <row r="30" spans="21:21" x14ac:dyDescent="0.3">
      <c r="U30" s="31"/>
    </row>
    <row r="31" spans="21:21" x14ac:dyDescent="0.3">
      <c r="U31" s="31"/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EBA0-0AED-4046-98E9-9D19E03E57AF}">
  <sheetPr>
    <tabColor theme="7"/>
  </sheetPr>
  <dimension ref="A4:D74"/>
  <sheetViews>
    <sheetView showGridLines="0" topLeftCell="A27" zoomScale="90" zoomScaleNormal="90" workbookViewId="0">
      <selection activeCell="D55" sqref="D55"/>
    </sheetView>
  </sheetViews>
  <sheetFormatPr defaultColWidth="8.8984375" defaultRowHeight="17" x14ac:dyDescent="0.3"/>
  <cols>
    <col min="1" max="1" width="41.3984375" style="12" bestFit="1" customWidth="1"/>
    <col min="2" max="2" width="50.3984375" style="12" customWidth="1"/>
    <col min="3" max="3" width="11.3984375" style="12" bestFit="1" customWidth="1"/>
    <col min="4" max="4" width="13.3984375" style="12" bestFit="1" customWidth="1"/>
    <col min="5" max="5" width="8.8984375" style="12"/>
    <col min="6" max="6" width="8.3984375" style="12" customWidth="1"/>
    <col min="7" max="14" width="8.8984375" style="12"/>
    <col min="15" max="15" width="39.09765625" style="12" bestFit="1" customWidth="1"/>
    <col min="16" max="16" width="4.3984375" style="12" bestFit="1" customWidth="1"/>
    <col min="17" max="16384" width="8.8984375" style="12"/>
  </cols>
  <sheetData>
    <row r="4" spans="1:4" x14ac:dyDescent="0.3">
      <c r="A4" s="18" t="s">
        <v>71</v>
      </c>
      <c r="B4" s="18" t="s">
        <v>72</v>
      </c>
      <c r="C4" s="18" t="s">
        <v>73</v>
      </c>
      <c r="D4" s="19" t="s">
        <v>74</v>
      </c>
    </row>
    <row r="5" spans="1:4" ht="18.5" x14ac:dyDescent="0.3">
      <c r="A5" s="20" t="str">
        <f>VLOOKUP(B5,'PN Dictionary'!A:B,2,FALSE)</f>
        <v>GB300 L10</v>
      </c>
      <c r="B5" s="20" t="str">
        <f>PIVOT!A5</f>
        <v>ARS-121GL-NB3-LC1-TD004</v>
      </c>
      <c r="C5" s="20">
        <f>PIVOT!B5</f>
        <v>2</v>
      </c>
      <c r="D5" s="21">
        <f>C5/$C$16</f>
        <v>0.66666666666666663</v>
      </c>
    </row>
    <row r="6" spans="1:4" ht="18.5" x14ac:dyDescent="0.3">
      <c r="A6" s="20" t="str">
        <f>VLOOKUP(B6,'PN Dictionary'!A:B,2,FALSE)</f>
        <v>Cable Cartridge</v>
      </c>
      <c r="B6" s="20" t="str">
        <f>PIVOT!A6</f>
        <v>SSE-NVL72-CC</v>
      </c>
      <c r="C6" s="20">
        <f>PIVOT!B6</f>
        <v>1</v>
      </c>
      <c r="D6" s="21">
        <f t="shared" ref="D6:D14" si="0">C6/$C$16</f>
        <v>0.33333333333333331</v>
      </c>
    </row>
    <row r="7" spans="1:4" ht="18.5" x14ac:dyDescent="0.3">
      <c r="A7" s="20"/>
      <c r="B7" s="20" t="s">
        <v>4673</v>
      </c>
      <c r="C7" s="20">
        <f>PIVOT!B7</f>
        <v>3</v>
      </c>
      <c r="D7" s="21">
        <f t="shared" si="0"/>
        <v>1</v>
      </c>
    </row>
    <row r="8" spans="1:4" ht="18.5" x14ac:dyDescent="0.3">
      <c r="A8" s="20" t="e">
        <f>VLOOKUP(B8,'PN Dictionary'!A:B,2,FALSE)</f>
        <v>#N/A</v>
      </c>
      <c r="B8" s="20">
        <f>PIVOT!A8</f>
        <v>0</v>
      </c>
      <c r="C8" s="20">
        <f>PIVOT!B8</f>
        <v>0</v>
      </c>
      <c r="D8" s="21">
        <f t="shared" si="0"/>
        <v>0</v>
      </c>
    </row>
    <row r="9" spans="1:4" ht="18.5" x14ac:dyDescent="0.3">
      <c r="A9" s="20" t="e">
        <f>VLOOKUP(B9,'PN Dictionary'!A:B,2,FALSE)</f>
        <v>#N/A</v>
      </c>
      <c r="B9" s="20">
        <f>PIVOT!A9</f>
        <v>0</v>
      </c>
      <c r="C9" s="20">
        <f>PIVOT!B9</f>
        <v>0</v>
      </c>
      <c r="D9" s="21">
        <f t="shared" si="0"/>
        <v>0</v>
      </c>
    </row>
    <row r="10" spans="1:4" ht="18.5" x14ac:dyDescent="0.3">
      <c r="A10" s="20" t="e">
        <f>VLOOKUP(B10,'PN Dictionary'!A:B,2,FALSE)</f>
        <v>#N/A</v>
      </c>
      <c r="B10" s="20">
        <f>PIVOT!A10</f>
        <v>0</v>
      </c>
      <c r="C10" s="20">
        <f>PIVOT!B10</f>
        <v>0</v>
      </c>
      <c r="D10" s="21">
        <f>C10/$C$16</f>
        <v>0</v>
      </c>
    </row>
    <row r="11" spans="1:4" ht="18.5" x14ac:dyDescent="0.3">
      <c r="A11" s="20" t="e">
        <f>VLOOKUP(B11,'PN Dictionary'!A:B,2,FALSE)</f>
        <v>#N/A</v>
      </c>
      <c r="B11" s="20">
        <f>PIVOT!A11</f>
        <v>0</v>
      </c>
      <c r="C11" s="20">
        <f>PIVOT!B11</f>
        <v>0</v>
      </c>
      <c r="D11" s="21">
        <f>C11/$C$16</f>
        <v>0</v>
      </c>
    </row>
    <row r="12" spans="1:4" ht="18.5" x14ac:dyDescent="0.3">
      <c r="A12" s="20" t="e">
        <f>VLOOKUP(B12,'PN Dictionary'!A:B,2,FALSE)</f>
        <v>#N/A</v>
      </c>
      <c r="B12" s="20">
        <f>PIVOT!A12</f>
        <v>0</v>
      </c>
      <c r="C12" s="20">
        <f>PIVOT!B12</f>
        <v>0</v>
      </c>
      <c r="D12" s="21">
        <f t="shared" si="0"/>
        <v>0</v>
      </c>
    </row>
    <row r="13" spans="1:4" ht="18.5" x14ac:dyDescent="0.3">
      <c r="A13" s="20"/>
      <c r="B13" s="20" t="s">
        <v>4673</v>
      </c>
      <c r="C13" s="20">
        <f>PIVOT!B13</f>
        <v>0</v>
      </c>
      <c r="D13" s="21">
        <f t="shared" si="0"/>
        <v>0</v>
      </c>
    </row>
    <row r="14" spans="1:4" ht="18.5" x14ac:dyDescent="0.3">
      <c r="A14" s="20" t="e">
        <f>VLOOKUP(B14,'PN Dictionary'!A:B,2,FALSE)</f>
        <v>#N/A</v>
      </c>
      <c r="B14" s="20">
        <f>PIVOT!A14</f>
        <v>0</v>
      </c>
      <c r="C14" s="20">
        <f>PIVOT!B14</f>
        <v>0</v>
      </c>
      <c r="D14" s="21">
        <f t="shared" si="0"/>
        <v>0</v>
      </c>
    </row>
    <row r="15" spans="1:4" x14ac:dyDescent="0.3">
      <c r="A15" s="13"/>
      <c r="B15" s="13"/>
      <c r="C15" s="13"/>
      <c r="D15" s="14">
        <f t="shared" ref="D15" si="1">C15/$C$16</f>
        <v>0</v>
      </c>
    </row>
    <row r="16" spans="1:4" ht="18.5" x14ac:dyDescent="0.3">
      <c r="A16" s="29"/>
      <c r="B16" s="20" t="s">
        <v>75</v>
      </c>
      <c r="C16" s="20">
        <v>3</v>
      </c>
      <c r="D16" s="40">
        <f>C16/$C$16</f>
        <v>1</v>
      </c>
    </row>
    <row r="36" spans="1:4" x14ac:dyDescent="0.3">
      <c r="A36" s="18" t="s">
        <v>71</v>
      </c>
      <c r="B36" s="18" t="s">
        <v>72</v>
      </c>
      <c r="C36" s="18" t="s">
        <v>73</v>
      </c>
      <c r="D36" s="19" t="s">
        <v>74</v>
      </c>
    </row>
    <row r="37" spans="1:4" ht="18.5" x14ac:dyDescent="0.3">
      <c r="A37" s="20" t="str">
        <f>VLOOKUP(B37,'PN Dictionary'!A:B,2,FALSE)</f>
        <v>GB300 L10</v>
      </c>
      <c r="B37" s="20" t="str">
        <f>PIVOT!E5</f>
        <v>PIO-121GL-NB3-LC5-TI036</v>
      </c>
      <c r="C37" s="20">
        <f>PIVOT!F5</f>
        <v>332</v>
      </c>
      <c r="D37" s="21">
        <f t="shared" ref="D37:D43" si="2">C37/$C$48</f>
        <v>0.7597254004576659</v>
      </c>
    </row>
    <row r="38" spans="1:4" ht="18.5" x14ac:dyDescent="0.3">
      <c r="A38" s="20" t="str">
        <f>VLOOKUP(B38,'PN Dictionary'!A:B,2,FALSE)</f>
        <v>Cable Cartridge</v>
      </c>
      <c r="B38" s="20" t="str">
        <f>PIVOT!E6</f>
        <v>SSE-NVL72-CC</v>
      </c>
      <c r="C38" s="20">
        <f>PIVOT!F6</f>
        <v>54</v>
      </c>
      <c r="D38" s="21">
        <f t="shared" si="2"/>
        <v>0.12356979405034325</v>
      </c>
    </row>
    <row r="39" spans="1:4" ht="18.5" x14ac:dyDescent="0.3">
      <c r="A39" s="20" t="str">
        <f>VLOOKUP(B39,'PN Dictionary'!A:B,2,FALSE)</f>
        <v>NVSwitch</v>
      </c>
      <c r="B39" s="20" t="str">
        <f>PIVOT!E7</f>
        <v>SSE-NVL72SW-N5500</v>
      </c>
      <c r="C39" s="20">
        <f>PIVOT!F7</f>
        <v>35</v>
      </c>
      <c r="D39" s="21">
        <f t="shared" si="2"/>
        <v>8.0091533180778038E-2</v>
      </c>
    </row>
    <row r="40" spans="1:4" ht="18.5" x14ac:dyDescent="0.3">
      <c r="A40" s="20" t="str">
        <f>VLOOKUP(B40,'PN Dictionary'!A:B,2,FALSE)</f>
        <v>power shelf left input</v>
      </c>
      <c r="B40" s="20" t="str">
        <f>PIVOT!E8</f>
        <v>SRK-01LNPF-33B1-01</v>
      </c>
      <c r="C40" s="20">
        <f>PIVOT!F8</f>
        <v>6</v>
      </c>
      <c r="D40" s="21">
        <f t="shared" si="2"/>
        <v>1.3729977116704805E-2</v>
      </c>
    </row>
    <row r="41" spans="1:4" ht="18.5" x14ac:dyDescent="0.3">
      <c r="A41" s="20" t="str">
        <f>VLOOKUP(B41,'PN Dictionary'!A:B,2,FALSE)</f>
        <v>Power shelf control module</v>
      </c>
      <c r="B41" s="20" t="str">
        <f>PIVOT!E9</f>
        <v>SRK-01LNPM-PMB1-01-TI036</v>
      </c>
      <c r="C41" s="20">
        <f>PIVOT!F9</f>
        <v>5</v>
      </c>
      <c r="D41" s="21">
        <f t="shared" si="2"/>
        <v>1.1441647597254004E-2</v>
      </c>
    </row>
    <row r="42" spans="1:4" ht="18.5" x14ac:dyDescent="0.3">
      <c r="A42" s="20" t="str">
        <f>VLOOKUP(B42,'PN Dictionary'!A:B,2,FALSE)</f>
        <v xml:space="preserve">	5.5kW PSU GB300</v>
      </c>
      <c r="B42" s="20" t="str">
        <f>PIVOT!E10</f>
        <v>SRK-01LNPW-5KB1-01-TI036</v>
      </c>
      <c r="C42" s="20">
        <f>PIVOT!F10</f>
        <v>4</v>
      </c>
      <c r="D42" s="21">
        <f t="shared" si="2"/>
        <v>9.1533180778032037E-3</v>
      </c>
    </row>
    <row r="43" spans="1:4" ht="18.5" x14ac:dyDescent="0.3">
      <c r="A43" s="20" t="str">
        <f>VLOOKUP(B43,'PN Dictionary'!A:B,2,FALSE)</f>
        <v>LiteOn Power Shelf Right Input</v>
      </c>
      <c r="B43" s="20" t="str">
        <f>PIVOT!E11</f>
        <v>SRK-01LNPF-33B1R-01</v>
      </c>
      <c r="C43" s="20">
        <f>PIVOT!F11</f>
        <v>1</v>
      </c>
      <c r="D43" s="21">
        <f t="shared" si="2"/>
        <v>2.2883295194508009E-3</v>
      </c>
    </row>
    <row r="44" spans="1:4" ht="18.5" x14ac:dyDescent="0.3">
      <c r="A44" s="13"/>
      <c r="B44" s="20" t="s">
        <v>4673</v>
      </c>
      <c r="C44" s="20">
        <v>437</v>
      </c>
      <c r="D44" s="21"/>
    </row>
    <row r="45" spans="1:4" ht="18.5" x14ac:dyDescent="0.3">
      <c r="A45" s="13"/>
      <c r="B45" s="13"/>
      <c r="C45" s="13"/>
      <c r="D45" s="21"/>
    </row>
    <row r="46" spans="1:4" ht="18.5" x14ac:dyDescent="0.3">
      <c r="A46" s="13"/>
      <c r="B46" s="13"/>
      <c r="C46" s="13"/>
      <c r="D46" s="21"/>
    </row>
    <row r="47" spans="1:4" ht="18.5" x14ac:dyDescent="0.3">
      <c r="A47" s="13"/>
      <c r="B47" s="13"/>
      <c r="C47" s="13"/>
      <c r="D47" s="21"/>
    </row>
    <row r="48" spans="1:4" ht="18.5" x14ac:dyDescent="0.3">
      <c r="A48" s="29"/>
      <c r="B48" s="20" t="s">
        <v>75</v>
      </c>
      <c r="C48" s="20">
        <v>437</v>
      </c>
      <c r="D48" s="40">
        <f>SUM(D37:D43)</f>
        <v>0.99999999999999989</v>
      </c>
    </row>
    <row r="62" spans="1:4" x14ac:dyDescent="0.3">
      <c r="A62" s="18" t="s">
        <v>71</v>
      </c>
      <c r="B62" s="18" t="s">
        <v>72</v>
      </c>
      <c r="C62" s="18" t="s">
        <v>73</v>
      </c>
      <c r="D62" s="19" t="s">
        <v>74</v>
      </c>
    </row>
    <row r="63" spans="1:4" ht="18.5" x14ac:dyDescent="0.3">
      <c r="A63" s="20" t="e">
        <f>VLOOKUP(B63,'PN Dictionary'!A:B,2,FALSE)</f>
        <v>#REF!</v>
      </c>
      <c r="B63" s="20" t="e">
        <f>#REF!</f>
        <v>#REF!</v>
      </c>
      <c r="C63" s="20" t="e">
        <f>#REF!</f>
        <v>#REF!</v>
      </c>
      <c r="D63" s="21" t="e">
        <f>C63/$C$48</f>
        <v>#REF!</v>
      </c>
    </row>
    <row r="64" spans="1:4" ht="18.5" x14ac:dyDescent="0.3">
      <c r="A64" s="20" t="e">
        <f>VLOOKUP(B64,'PN Dictionary'!A:B,2,FALSE)</f>
        <v>#REF!</v>
      </c>
      <c r="B64" s="20" t="e">
        <f>#REF!</f>
        <v>#REF!</v>
      </c>
      <c r="C64" s="20" t="e">
        <f>#REF!</f>
        <v>#REF!</v>
      </c>
      <c r="D64" s="21" t="e">
        <f>C64/$C$48</f>
        <v>#REF!</v>
      </c>
    </row>
    <row r="65" spans="1:4" ht="18.5" x14ac:dyDescent="0.3">
      <c r="A65" s="20" t="e">
        <f>VLOOKUP(B65,'PN Dictionary'!A:B,2,FALSE)</f>
        <v>#REF!</v>
      </c>
      <c r="B65" s="20" t="e">
        <f>#REF!</f>
        <v>#REF!</v>
      </c>
      <c r="C65" s="20" t="e">
        <f>#REF!</f>
        <v>#REF!</v>
      </c>
      <c r="D65" s="21" t="e">
        <f>C65/$C$48</f>
        <v>#REF!</v>
      </c>
    </row>
    <row r="66" spans="1:4" ht="18.5" x14ac:dyDescent="0.3">
      <c r="A66" s="20" t="e">
        <f>VLOOKUP(B66,'PN Dictionary'!A:B,2,FALSE)</f>
        <v>#REF!</v>
      </c>
      <c r="B66" s="20" t="e">
        <f>#REF!</f>
        <v>#REF!</v>
      </c>
      <c r="C66" s="20" t="e">
        <f>#REF!</f>
        <v>#REF!</v>
      </c>
      <c r="D66" s="21" t="e">
        <f>C66/$C$48</f>
        <v>#REF!</v>
      </c>
    </row>
    <row r="67" spans="1:4" ht="18.5" x14ac:dyDescent="0.3">
      <c r="A67" s="20" t="e">
        <f>VLOOKUP(B67,'PN Dictionary'!A:B,2,FALSE)</f>
        <v>#REF!</v>
      </c>
      <c r="B67" s="20" t="e">
        <f>#REF!</f>
        <v>#REF!</v>
      </c>
      <c r="C67" s="20" t="e">
        <f>#REF!</f>
        <v>#REF!</v>
      </c>
      <c r="D67" s="21" t="e">
        <f>C67/$C$48</f>
        <v>#REF!</v>
      </c>
    </row>
    <row r="68" spans="1:4" ht="18.5" x14ac:dyDescent="0.3">
      <c r="A68" s="20" t="e">
        <f>VLOOKUP(B68,'PN Dictionary'!A:B,2,FALSE)</f>
        <v>#REF!</v>
      </c>
      <c r="B68" s="20" t="e">
        <f>#REF!</f>
        <v>#REF!</v>
      </c>
      <c r="C68" s="20" t="e">
        <f>#REF!</f>
        <v>#REF!</v>
      </c>
      <c r="D68" s="21" t="e">
        <f t="shared" ref="D68:D69" si="3">C68/$C$48</f>
        <v>#REF!</v>
      </c>
    </row>
    <row r="69" spans="1:4" ht="18.5" x14ac:dyDescent="0.3">
      <c r="A69" s="20" t="e">
        <f>VLOOKUP(B69,'PN Dictionary'!A:B,2,FALSE)</f>
        <v>#REF!</v>
      </c>
      <c r="B69" s="20" t="e">
        <f>#REF!</f>
        <v>#REF!</v>
      </c>
      <c r="C69" s="20" t="e">
        <f>#REF!</f>
        <v>#REF!</v>
      </c>
      <c r="D69" s="21" t="e">
        <f t="shared" si="3"/>
        <v>#REF!</v>
      </c>
    </row>
    <row r="70" spans="1:4" ht="18.5" x14ac:dyDescent="0.3">
      <c r="A70" s="13"/>
      <c r="B70" s="13"/>
      <c r="C70" s="13"/>
      <c r="D70" s="21"/>
    </row>
    <row r="71" spans="1:4" ht="18.5" x14ac:dyDescent="0.3">
      <c r="A71" s="13"/>
      <c r="B71" s="13"/>
      <c r="C71" s="13"/>
      <c r="D71" s="21"/>
    </row>
    <row r="72" spans="1:4" ht="18.5" x14ac:dyDescent="0.3">
      <c r="A72" s="13"/>
      <c r="B72" s="13"/>
      <c r="C72" s="13"/>
      <c r="D72" s="21"/>
    </row>
    <row r="73" spans="1:4" ht="18.5" x14ac:dyDescent="0.3">
      <c r="A73" s="13"/>
      <c r="B73" s="13"/>
      <c r="C73" s="13"/>
      <c r="D73" s="21"/>
    </row>
    <row r="74" spans="1:4" ht="18.5" x14ac:dyDescent="0.3">
      <c r="A74" s="29"/>
      <c r="B74" s="20" t="s">
        <v>75</v>
      </c>
      <c r="C74" s="20" t="e">
        <f>SUM(C63:C73)</f>
        <v>#REF!</v>
      </c>
      <c r="D74" s="40" t="e">
        <f>SUM(D63:D73)</f>
        <v>#REF!</v>
      </c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11A8-B5D3-49D4-B73E-D93765E47AF9}">
  <dimension ref="A1:J13"/>
  <sheetViews>
    <sheetView workbookViewId="0">
      <selection activeCell="F9" sqref="F9"/>
    </sheetView>
  </sheetViews>
  <sheetFormatPr defaultRowHeight="14.5" x14ac:dyDescent="0.3"/>
  <cols>
    <col min="1" max="1" width="28.8984375" bestFit="1" customWidth="1"/>
    <col min="2" max="2" width="25.09765625" bestFit="1" customWidth="1"/>
    <col min="5" max="5" width="29.796875" bestFit="1" customWidth="1"/>
    <col min="6" max="6" width="31.8984375" bestFit="1" customWidth="1"/>
    <col min="9" max="9" width="29.09765625" bestFit="1" customWidth="1"/>
    <col min="10" max="10" width="32.5" bestFit="1" customWidth="1"/>
  </cols>
  <sheetData>
    <row r="1" spans="1:10" x14ac:dyDescent="0.3">
      <c r="A1" s="15" t="s">
        <v>1541</v>
      </c>
      <c r="B1" t="s">
        <v>5638</v>
      </c>
      <c r="E1" s="15" t="s">
        <v>1541</v>
      </c>
      <c r="F1" t="s">
        <v>4309</v>
      </c>
      <c r="I1" s="15" t="s">
        <v>1541</v>
      </c>
      <c r="J1" t="s">
        <v>3608</v>
      </c>
    </row>
    <row r="2" spans="1:10" x14ac:dyDescent="0.3">
      <c r="A2" s="15" t="s">
        <v>43</v>
      </c>
      <c r="B2" t="s">
        <v>39</v>
      </c>
      <c r="E2" s="15" t="s">
        <v>43</v>
      </c>
      <c r="F2" t="s">
        <v>39</v>
      </c>
      <c r="I2" s="15" t="s">
        <v>43</v>
      </c>
      <c r="J2" t="s">
        <v>39</v>
      </c>
    </row>
    <row r="4" spans="1:10" x14ac:dyDescent="0.3">
      <c r="A4" s="15" t="s">
        <v>76</v>
      </c>
      <c r="B4" t="s">
        <v>3889</v>
      </c>
      <c r="E4" s="15" t="s">
        <v>76</v>
      </c>
      <c r="F4" t="s">
        <v>3889</v>
      </c>
      <c r="I4" s="15" t="s">
        <v>76</v>
      </c>
      <c r="J4" t="s">
        <v>3889</v>
      </c>
    </row>
    <row r="5" spans="1:10" x14ac:dyDescent="0.3">
      <c r="A5" s="16" t="s">
        <v>5640</v>
      </c>
      <c r="B5">
        <v>2</v>
      </c>
      <c r="E5" s="16" t="s">
        <v>4318</v>
      </c>
      <c r="F5">
        <v>332</v>
      </c>
      <c r="I5" s="16" t="s">
        <v>3612</v>
      </c>
      <c r="J5">
        <v>96</v>
      </c>
    </row>
    <row r="6" spans="1:10" x14ac:dyDescent="0.3">
      <c r="A6" s="16" t="s">
        <v>6</v>
      </c>
      <c r="B6">
        <v>1</v>
      </c>
      <c r="E6" s="16" t="s">
        <v>6</v>
      </c>
      <c r="F6">
        <v>54</v>
      </c>
      <c r="I6" s="16" t="s">
        <v>6</v>
      </c>
      <c r="J6">
        <v>56</v>
      </c>
    </row>
    <row r="7" spans="1:10" x14ac:dyDescent="0.3">
      <c r="A7" s="16" t="s">
        <v>77</v>
      </c>
      <c r="B7">
        <v>3</v>
      </c>
      <c r="E7" s="16" t="s">
        <v>7</v>
      </c>
      <c r="F7">
        <v>35</v>
      </c>
      <c r="I7" s="16" t="s">
        <v>7</v>
      </c>
      <c r="J7">
        <v>19</v>
      </c>
    </row>
    <row r="8" spans="1:10" x14ac:dyDescent="0.3">
      <c r="E8" s="16" t="s">
        <v>3529</v>
      </c>
      <c r="F8">
        <v>6</v>
      </c>
      <c r="I8" s="16" t="s">
        <v>11</v>
      </c>
      <c r="J8">
        <v>10</v>
      </c>
    </row>
    <row r="9" spans="1:10" x14ac:dyDescent="0.3">
      <c r="E9" s="16" t="s">
        <v>4746</v>
      </c>
      <c r="F9">
        <v>5</v>
      </c>
      <c r="I9" s="16" t="s">
        <v>10</v>
      </c>
      <c r="J9">
        <v>8</v>
      </c>
    </row>
    <row r="10" spans="1:10" x14ac:dyDescent="0.3">
      <c r="E10" s="16" t="s">
        <v>5266</v>
      </c>
      <c r="F10">
        <v>4</v>
      </c>
      <c r="I10" s="16" t="s">
        <v>353</v>
      </c>
      <c r="J10">
        <v>6</v>
      </c>
    </row>
    <row r="11" spans="1:10" x14ac:dyDescent="0.3">
      <c r="E11" s="16" t="s">
        <v>30</v>
      </c>
      <c r="F11">
        <v>1</v>
      </c>
      <c r="I11" s="16" t="s">
        <v>4318</v>
      </c>
      <c r="J11">
        <v>1</v>
      </c>
    </row>
    <row r="12" spans="1:10" x14ac:dyDescent="0.3">
      <c r="E12" s="16" t="s">
        <v>77</v>
      </c>
      <c r="F12">
        <v>437</v>
      </c>
      <c r="I12" s="16" t="s">
        <v>3997</v>
      </c>
      <c r="J12">
        <v>1</v>
      </c>
    </row>
    <row r="13" spans="1:10" x14ac:dyDescent="0.3">
      <c r="I13" s="16" t="s">
        <v>77</v>
      </c>
      <c r="J13">
        <v>197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AFAE-58FC-428A-8538-CD494434A2FD}">
  <sheetPr filterMode="1"/>
  <dimension ref="A1:R1384"/>
  <sheetViews>
    <sheetView tabSelected="1" zoomScale="115" zoomScaleNormal="115" workbookViewId="0">
      <pane ySplit="1" topLeftCell="A1360" activePane="bottomLeft" state="frozen"/>
      <selection pane="bottomLeft" activeCell="I1376" sqref="I1376"/>
    </sheetView>
  </sheetViews>
  <sheetFormatPr defaultColWidth="33" defaultRowHeight="13.5" x14ac:dyDescent="0.3"/>
  <cols>
    <col min="1" max="1" width="11.09765625" style="26" bestFit="1" customWidth="1"/>
    <col min="2" max="2" width="22.8984375" style="26" bestFit="1" customWidth="1"/>
    <col min="3" max="3" width="33" style="26" customWidth="1"/>
    <col min="4" max="4" width="16.59765625" style="26" customWidth="1"/>
    <col min="5" max="5" width="17" style="26" customWidth="1"/>
    <col min="6" max="6" width="39.3984375" style="26" customWidth="1"/>
    <col min="7" max="7" width="16.3984375" style="26" bestFit="1" customWidth="1"/>
    <col min="8" max="8" width="12.8984375" style="26" bestFit="1" customWidth="1"/>
    <col min="9" max="9" width="50" style="26" customWidth="1"/>
    <col min="10" max="10" width="31.3984375" style="26" bestFit="1" customWidth="1"/>
    <col min="11" max="11" width="28.3984375" style="26" bestFit="1" customWidth="1"/>
    <col min="12" max="12" width="25.59765625" style="50" bestFit="1" customWidth="1"/>
    <col min="13" max="13" width="25.09765625" style="51" bestFit="1" customWidth="1"/>
    <col min="14" max="14" width="18.09765625" style="26" bestFit="1" customWidth="1"/>
    <col min="15" max="15" width="22" style="26" bestFit="1" customWidth="1"/>
    <col min="16" max="16" width="13.3984375" style="26" bestFit="1" customWidth="1"/>
    <col min="17" max="17" width="15.8984375" style="26" bestFit="1" customWidth="1"/>
    <col min="18" max="18" width="33" style="26" customWidth="1"/>
    <col min="19" max="16384" width="33" style="26"/>
  </cols>
  <sheetData>
    <row r="1" spans="1:17" x14ac:dyDescent="0.3">
      <c r="A1" s="17" t="s">
        <v>40</v>
      </c>
      <c r="B1" s="17" t="s">
        <v>41</v>
      </c>
      <c r="C1" s="17" t="s">
        <v>1362</v>
      </c>
      <c r="D1" s="17" t="s">
        <v>141</v>
      </c>
      <c r="E1" s="17" t="s">
        <v>42</v>
      </c>
      <c r="F1" s="17" t="s">
        <v>3605</v>
      </c>
      <c r="G1" s="17" t="s">
        <v>1556</v>
      </c>
      <c r="H1" s="17" t="s">
        <v>43</v>
      </c>
      <c r="I1" s="17" t="s">
        <v>70</v>
      </c>
      <c r="J1" s="17" t="s">
        <v>67</v>
      </c>
      <c r="K1" s="17" t="s">
        <v>44</v>
      </c>
      <c r="L1" s="49" t="s">
        <v>45</v>
      </c>
      <c r="M1" s="52" t="s">
        <v>46</v>
      </c>
      <c r="N1" s="17" t="s">
        <v>47</v>
      </c>
      <c r="O1" s="17" t="s">
        <v>48</v>
      </c>
      <c r="P1" s="17" t="s">
        <v>49</v>
      </c>
      <c r="Q1" s="17" t="s">
        <v>193</v>
      </c>
    </row>
    <row r="2" spans="1:17" ht="27" hidden="1" x14ac:dyDescent="0.3">
      <c r="A2" s="11" t="s">
        <v>56</v>
      </c>
      <c r="B2" s="32" t="s">
        <v>57</v>
      </c>
      <c r="C2" s="11" t="s">
        <v>50</v>
      </c>
      <c r="D2" s="11" t="s">
        <v>51</v>
      </c>
      <c r="E2" s="11" t="s">
        <v>58</v>
      </c>
      <c r="F2" s="11"/>
      <c r="G2" s="11" t="s">
        <v>37</v>
      </c>
      <c r="H2" s="11" t="s">
        <v>39</v>
      </c>
      <c r="I2" s="11" t="s">
        <v>59</v>
      </c>
      <c r="J2" s="11" t="str">
        <f>VLOOKUP(K2,'PN Dictionary'!A:B,2,FALSE)</f>
        <v>Power Shelf Control Module</v>
      </c>
      <c r="K2" s="32" t="s">
        <v>11</v>
      </c>
      <c r="L2" s="43" t="s">
        <v>60</v>
      </c>
      <c r="M2" s="32" t="s">
        <v>61</v>
      </c>
      <c r="N2" s="11" t="s">
        <v>53</v>
      </c>
      <c r="O2" s="11" t="s">
        <v>54</v>
      </c>
      <c r="P2" s="11">
        <v>3600</v>
      </c>
      <c r="Q2" s="11" t="s">
        <v>55</v>
      </c>
    </row>
    <row r="3" spans="1:17" ht="27" hidden="1" x14ac:dyDescent="0.3">
      <c r="A3" s="11" t="s">
        <v>62</v>
      </c>
      <c r="B3" s="32" t="s">
        <v>63</v>
      </c>
      <c r="C3" s="11" t="s">
        <v>50</v>
      </c>
      <c r="D3" s="11" t="s">
        <v>64</v>
      </c>
      <c r="E3" s="11" t="s">
        <v>38</v>
      </c>
      <c r="F3" s="11"/>
      <c r="G3" s="11" t="s">
        <v>37</v>
      </c>
      <c r="H3" s="11" t="s">
        <v>39</v>
      </c>
      <c r="I3" s="11" t="s">
        <v>65</v>
      </c>
      <c r="J3" s="11" t="str">
        <f>VLOOKUP(K3,'PN Dictionary'!A:B,2,FALSE)</f>
        <v>GB300 L10</v>
      </c>
      <c r="K3" s="11" t="s">
        <v>36</v>
      </c>
      <c r="L3" s="43" t="s">
        <v>142</v>
      </c>
      <c r="M3" s="32" t="s">
        <v>66</v>
      </c>
      <c r="N3" s="11" t="s">
        <v>53</v>
      </c>
      <c r="O3" s="11" t="s">
        <v>54</v>
      </c>
      <c r="P3" s="11">
        <v>3600</v>
      </c>
      <c r="Q3" s="11" t="s">
        <v>55</v>
      </c>
    </row>
    <row r="4" spans="1:17" hidden="1" x14ac:dyDescent="0.3">
      <c r="A4" s="26" t="s">
        <v>143</v>
      </c>
      <c r="B4" s="26" t="s">
        <v>80</v>
      </c>
      <c r="C4" s="26" t="s">
        <v>50</v>
      </c>
      <c r="D4" s="26" t="s">
        <v>64</v>
      </c>
      <c r="E4" s="26" t="s">
        <v>81</v>
      </c>
      <c r="G4" s="26" t="s">
        <v>78</v>
      </c>
      <c r="H4" s="26" t="s">
        <v>39</v>
      </c>
      <c r="I4" s="26" t="s">
        <v>82</v>
      </c>
      <c r="J4" s="11" t="str">
        <f>VLOOKUP(K4,'PN Dictionary'!A:B,2,FALSE)</f>
        <v>GB300 L10</v>
      </c>
      <c r="K4" s="26" t="s">
        <v>36</v>
      </c>
      <c r="L4" s="44" t="s">
        <v>1409</v>
      </c>
      <c r="M4" s="26" t="s">
        <v>83</v>
      </c>
      <c r="N4" s="26" t="s">
        <v>53</v>
      </c>
      <c r="O4" s="26" t="s">
        <v>54</v>
      </c>
      <c r="P4" s="26">
        <v>1348</v>
      </c>
      <c r="Q4" s="26" t="s">
        <v>55</v>
      </c>
    </row>
    <row r="5" spans="1:17" hidden="1" x14ac:dyDescent="0.3">
      <c r="A5" s="26" t="s">
        <v>145</v>
      </c>
      <c r="B5" s="26" t="s">
        <v>91</v>
      </c>
      <c r="C5" s="26" t="s">
        <v>1542</v>
      </c>
      <c r="D5" s="26" t="s">
        <v>92</v>
      </c>
      <c r="E5" s="26" t="s">
        <v>81</v>
      </c>
      <c r="G5" s="26" t="s">
        <v>88</v>
      </c>
      <c r="H5" s="26" t="s">
        <v>39</v>
      </c>
      <c r="I5" s="26" t="s">
        <v>93</v>
      </c>
      <c r="J5" s="11" t="str">
        <f>VLOOKUP(K5,'PN Dictionary'!A:B,2,FALSE)</f>
        <v>GB300 L10</v>
      </c>
      <c r="K5" s="26" t="s">
        <v>36</v>
      </c>
      <c r="L5" s="44" t="s">
        <v>1410</v>
      </c>
      <c r="M5" s="26" t="s">
        <v>94</v>
      </c>
      <c r="N5" s="26" t="s">
        <v>53</v>
      </c>
      <c r="O5" s="26" t="s">
        <v>54</v>
      </c>
      <c r="P5" s="26">
        <v>1348</v>
      </c>
      <c r="Q5" s="26" t="s">
        <v>55</v>
      </c>
    </row>
    <row r="6" spans="1:17" hidden="1" x14ac:dyDescent="0.3">
      <c r="A6" s="26" t="s">
        <v>147</v>
      </c>
      <c r="B6" s="26" t="s">
        <v>99</v>
      </c>
      <c r="C6" s="26" t="s">
        <v>50</v>
      </c>
      <c r="D6" s="26" t="s">
        <v>86</v>
      </c>
      <c r="E6" s="26" t="s">
        <v>87</v>
      </c>
      <c r="G6" s="26" t="s">
        <v>88</v>
      </c>
      <c r="H6" s="26" t="s">
        <v>39</v>
      </c>
      <c r="I6" s="26" t="s">
        <v>100</v>
      </c>
      <c r="J6" s="11" t="str">
        <f>VLOOKUP(K6,'PN Dictionary'!A:B,2,FALSE)</f>
        <v>GB300 L10</v>
      </c>
      <c r="K6" s="26" t="s">
        <v>36</v>
      </c>
      <c r="L6" s="44" t="s">
        <v>1411</v>
      </c>
      <c r="M6" s="26" t="s">
        <v>102</v>
      </c>
      <c r="N6" s="26" t="s">
        <v>53</v>
      </c>
      <c r="O6" s="26" t="s">
        <v>54</v>
      </c>
      <c r="P6" s="26">
        <v>1348</v>
      </c>
      <c r="Q6" s="26" t="s">
        <v>55</v>
      </c>
    </row>
    <row r="7" spans="1:17" hidden="1" x14ac:dyDescent="0.3">
      <c r="A7" s="26" t="s">
        <v>144</v>
      </c>
      <c r="B7" s="26" t="s">
        <v>85</v>
      </c>
      <c r="C7" s="26" t="s">
        <v>50</v>
      </c>
      <c r="D7" s="26" t="s">
        <v>86</v>
      </c>
      <c r="E7" s="26" t="s">
        <v>87</v>
      </c>
      <c r="G7" s="26" t="s">
        <v>88</v>
      </c>
      <c r="H7" s="26" t="s">
        <v>39</v>
      </c>
      <c r="I7" s="26" t="s">
        <v>89</v>
      </c>
      <c r="J7" s="11" t="str">
        <f>VLOOKUP(K7,'PN Dictionary'!A:B,2,FALSE)</f>
        <v>GB300 L10</v>
      </c>
      <c r="K7" s="26" t="s">
        <v>36</v>
      </c>
      <c r="L7" s="44" t="s">
        <v>1412</v>
      </c>
      <c r="M7" s="26" t="s">
        <v>90</v>
      </c>
      <c r="N7" s="26" t="s">
        <v>53</v>
      </c>
      <c r="O7" s="26" t="s">
        <v>54</v>
      </c>
      <c r="P7" s="26">
        <v>1348</v>
      </c>
      <c r="Q7" s="26" t="s">
        <v>55</v>
      </c>
    </row>
    <row r="8" spans="1:17" hidden="1" x14ac:dyDescent="0.3">
      <c r="A8" s="26" t="s">
        <v>146</v>
      </c>
      <c r="B8" s="26" t="s">
        <v>95</v>
      </c>
      <c r="C8" s="26" t="s">
        <v>50</v>
      </c>
      <c r="D8" s="26" t="s">
        <v>96</v>
      </c>
      <c r="E8" s="26" t="s">
        <v>87</v>
      </c>
      <c r="G8" s="26" t="s">
        <v>88</v>
      </c>
      <c r="H8" s="26" t="s">
        <v>39</v>
      </c>
      <c r="I8" s="26" t="s">
        <v>97</v>
      </c>
      <c r="J8" s="11" t="str">
        <f>VLOOKUP(K8,'PN Dictionary'!A:B,2,FALSE)</f>
        <v>GB300 L10</v>
      </c>
      <c r="K8" s="26" t="s">
        <v>36</v>
      </c>
      <c r="L8" s="44" t="s">
        <v>1413</v>
      </c>
      <c r="M8" s="26" t="s">
        <v>98</v>
      </c>
      <c r="N8" s="26" t="s">
        <v>53</v>
      </c>
      <c r="O8" s="26" t="s">
        <v>54</v>
      </c>
      <c r="P8" s="26">
        <v>1348</v>
      </c>
      <c r="Q8" s="26" t="s">
        <v>55</v>
      </c>
    </row>
    <row r="9" spans="1:17" hidden="1" x14ac:dyDescent="0.3">
      <c r="A9" s="26" t="s">
        <v>150</v>
      </c>
      <c r="B9" s="26" t="s">
        <v>111</v>
      </c>
      <c r="C9" s="26" t="s">
        <v>50</v>
      </c>
      <c r="D9" s="26" t="s">
        <v>112</v>
      </c>
      <c r="E9" s="26" t="s">
        <v>113</v>
      </c>
      <c r="G9" s="26" t="s">
        <v>104</v>
      </c>
      <c r="H9" s="26" t="s">
        <v>39</v>
      </c>
      <c r="I9" s="26" t="s">
        <v>114</v>
      </c>
      <c r="J9" s="11" t="str">
        <f>VLOOKUP(K9,'PN Dictionary'!A:B,2,FALSE)</f>
        <v>GB300 L10</v>
      </c>
      <c r="K9" s="26" t="s">
        <v>36</v>
      </c>
      <c r="L9" s="44" t="s">
        <v>1414</v>
      </c>
      <c r="M9" s="26" t="s">
        <v>115</v>
      </c>
      <c r="N9" s="26" t="s">
        <v>53</v>
      </c>
      <c r="O9" s="26" t="s">
        <v>54</v>
      </c>
      <c r="P9" s="26">
        <v>1348</v>
      </c>
      <c r="Q9" s="26" t="s">
        <v>55</v>
      </c>
    </row>
    <row r="10" spans="1:17" hidden="1" x14ac:dyDescent="0.3">
      <c r="A10" s="26" t="s">
        <v>149</v>
      </c>
      <c r="B10" s="26" t="s">
        <v>107</v>
      </c>
      <c r="C10" s="26" t="s">
        <v>50</v>
      </c>
      <c r="D10" s="26" t="s">
        <v>86</v>
      </c>
      <c r="E10" s="26" t="s">
        <v>81</v>
      </c>
      <c r="G10" s="26" t="s">
        <v>104</v>
      </c>
      <c r="H10" s="26" t="s">
        <v>39</v>
      </c>
      <c r="I10" s="26" t="s">
        <v>108</v>
      </c>
      <c r="J10" s="11" t="str">
        <f>VLOOKUP(K10,'PN Dictionary'!A:B,2,FALSE)</f>
        <v>GB300 L10</v>
      </c>
      <c r="K10" s="26" t="s">
        <v>36</v>
      </c>
      <c r="L10" s="44" t="s">
        <v>1415</v>
      </c>
      <c r="M10" s="26" t="s">
        <v>110</v>
      </c>
      <c r="N10" s="26" t="s">
        <v>53</v>
      </c>
      <c r="O10" s="26" t="s">
        <v>54</v>
      </c>
      <c r="P10" s="26">
        <v>1348</v>
      </c>
      <c r="Q10" s="26" t="s">
        <v>55</v>
      </c>
    </row>
    <row r="11" spans="1:17" hidden="1" x14ac:dyDescent="0.3">
      <c r="A11" s="26" t="s">
        <v>148</v>
      </c>
      <c r="B11" s="26" t="s">
        <v>103</v>
      </c>
      <c r="C11" s="26" t="s">
        <v>50</v>
      </c>
      <c r="D11" s="26" t="s">
        <v>86</v>
      </c>
      <c r="E11" s="26" t="s">
        <v>81</v>
      </c>
      <c r="G11" s="26" t="s">
        <v>104</v>
      </c>
      <c r="H11" s="26" t="s">
        <v>39</v>
      </c>
      <c r="I11" s="26" t="s">
        <v>105</v>
      </c>
      <c r="J11" s="11" t="str">
        <f>VLOOKUP(K11,'PN Dictionary'!A:B,2,FALSE)</f>
        <v>GB300 L10</v>
      </c>
      <c r="K11" s="26" t="s">
        <v>36</v>
      </c>
      <c r="L11" s="44" t="s">
        <v>1416</v>
      </c>
      <c r="M11" s="26" t="s">
        <v>106</v>
      </c>
      <c r="N11" s="26" t="s">
        <v>53</v>
      </c>
      <c r="O11" s="26" t="s">
        <v>54</v>
      </c>
      <c r="P11" s="26">
        <v>1348</v>
      </c>
      <c r="Q11" s="26" t="s">
        <v>55</v>
      </c>
    </row>
    <row r="12" spans="1:17" hidden="1" x14ac:dyDescent="0.3">
      <c r="A12" s="26" t="s">
        <v>152</v>
      </c>
      <c r="B12" s="26" t="s">
        <v>122</v>
      </c>
      <c r="C12" s="26" t="s">
        <v>50</v>
      </c>
      <c r="D12" s="26" t="s">
        <v>123</v>
      </c>
      <c r="E12" s="26" t="s">
        <v>52</v>
      </c>
      <c r="G12" s="26" t="s">
        <v>118</v>
      </c>
      <c r="H12" s="26" t="s">
        <v>39</v>
      </c>
      <c r="I12" s="26" t="s">
        <v>124</v>
      </c>
      <c r="J12" s="11" t="str">
        <f>VLOOKUP(K12,'PN Dictionary'!A:B,2,FALSE)</f>
        <v>GB300 L10</v>
      </c>
      <c r="K12" s="26" t="s">
        <v>36</v>
      </c>
      <c r="L12" s="44" t="s">
        <v>1417</v>
      </c>
      <c r="M12" s="26" t="s">
        <v>126</v>
      </c>
      <c r="N12" s="26" t="s">
        <v>53</v>
      </c>
      <c r="O12" s="26" t="s">
        <v>54</v>
      </c>
      <c r="P12" s="26">
        <v>3600</v>
      </c>
      <c r="Q12" s="26" t="s">
        <v>55</v>
      </c>
    </row>
    <row r="13" spans="1:17" hidden="1" x14ac:dyDescent="0.3">
      <c r="A13" s="26" t="s">
        <v>151</v>
      </c>
      <c r="B13" s="26" t="s">
        <v>116</v>
      </c>
      <c r="C13" s="26" t="s">
        <v>50</v>
      </c>
      <c r="D13" s="26" t="s">
        <v>96</v>
      </c>
      <c r="E13" s="26" t="s">
        <v>117</v>
      </c>
      <c r="G13" s="26" t="s">
        <v>118</v>
      </c>
      <c r="H13" s="26" t="s">
        <v>39</v>
      </c>
      <c r="I13" s="26" t="s">
        <v>119</v>
      </c>
      <c r="J13" s="11" t="str">
        <f>VLOOKUP(K13,'PN Dictionary'!A:B,2,FALSE)</f>
        <v>GB300 L10</v>
      </c>
      <c r="K13" s="26" t="s">
        <v>36</v>
      </c>
      <c r="L13" s="44" t="s">
        <v>120</v>
      </c>
      <c r="M13" s="26" t="s">
        <v>121</v>
      </c>
      <c r="N13" s="26" t="s">
        <v>53</v>
      </c>
      <c r="O13" s="26" t="s">
        <v>54</v>
      </c>
      <c r="P13" s="26">
        <v>3600</v>
      </c>
      <c r="Q13" s="26" t="s">
        <v>55</v>
      </c>
    </row>
    <row r="14" spans="1:17" hidden="1" x14ac:dyDescent="0.3">
      <c r="A14" s="32" t="s">
        <v>1550</v>
      </c>
      <c r="B14" s="32" t="s">
        <v>1551</v>
      </c>
      <c r="C14" s="32" t="s">
        <v>50</v>
      </c>
      <c r="D14" s="32" t="s">
        <v>112</v>
      </c>
      <c r="E14" s="32" t="s">
        <v>128</v>
      </c>
      <c r="F14" s="32"/>
      <c r="G14" s="32" t="s">
        <v>118</v>
      </c>
      <c r="H14" s="32" t="s">
        <v>619</v>
      </c>
      <c r="I14" s="32" t="s">
        <v>520</v>
      </c>
      <c r="J14" s="11" t="str">
        <f>VLOOKUP(K14,'PN Dictionary'!A:B,2,FALSE)</f>
        <v>GB300 L10</v>
      </c>
      <c r="K14" s="11" t="s">
        <v>36</v>
      </c>
      <c r="L14" s="44" t="s">
        <v>191</v>
      </c>
      <c r="M14" s="32"/>
      <c r="N14" s="32" t="s">
        <v>53</v>
      </c>
      <c r="O14" s="32" t="s">
        <v>54</v>
      </c>
      <c r="P14" s="32">
        <v>90131</v>
      </c>
      <c r="Q14" s="32" t="s">
        <v>1552</v>
      </c>
    </row>
    <row r="15" spans="1:17" ht="27" hidden="1" x14ac:dyDescent="0.3">
      <c r="A15" s="32" t="s">
        <v>129</v>
      </c>
      <c r="B15" s="32" t="s">
        <v>130</v>
      </c>
      <c r="C15" s="32" t="s">
        <v>50</v>
      </c>
      <c r="D15" s="32" t="s">
        <v>123</v>
      </c>
      <c r="E15" s="32" t="s">
        <v>81</v>
      </c>
      <c r="F15" s="32"/>
      <c r="G15" s="32" t="s">
        <v>131</v>
      </c>
      <c r="H15" s="32" t="s">
        <v>39</v>
      </c>
      <c r="I15" s="32" t="s">
        <v>132</v>
      </c>
      <c r="J15" s="11" t="str">
        <f>VLOOKUP(K15,'PN Dictionary'!A:B,2,FALSE)</f>
        <v>NVSwitch</v>
      </c>
      <c r="K15" s="26" t="s">
        <v>7</v>
      </c>
      <c r="L15" s="43" t="s">
        <v>133</v>
      </c>
      <c r="M15" s="32" t="s">
        <v>134</v>
      </c>
      <c r="N15" s="32" t="s">
        <v>53</v>
      </c>
      <c r="O15" s="32" t="s">
        <v>54</v>
      </c>
      <c r="P15" s="32">
        <v>3600</v>
      </c>
      <c r="Q15" s="32" t="s">
        <v>55</v>
      </c>
    </row>
    <row r="16" spans="1:17" ht="27" hidden="1" x14ac:dyDescent="0.3">
      <c r="A16" s="32" t="s">
        <v>135</v>
      </c>
      <c r="B16" s="32" t="s">
        <v>136</v>
      </c>
      <c r="C16" s="32" t="s">
        <v>50</v>
      </c>
      <c r="D16" s="32" t="s">
        <v>137</v>
      </c>
      <c r="E16" s="32" t="s">
        <v>128</v>
      </c>
      <c r="F16" s="32"/>
      <c r="G16" s="32" t="s">
        <v>131</v>
      </c>
      <c r="H16" s="32" t="s">
        <v>39</v>
      </c>
      <c r="I16" s="32" t="s">
        <v>138</v>
      </c>
      <c r="J16" s="11" t="str">
        <f>VLOOKUP(K16,'PN Dictionary'!A:B,2,FALSE)</f>
        <v>Cable Cartridge</v>
      </c>
      <c r="K16" s="26" t="s">
        <v>6</v>
      </c>
      <c r="L16" s="43">
        <v>1823425350328</v>
      </c>
      <c r="M16" s="32">
        <v>1823225356627</v>
      </c>
      <c r="N16" s="32" t="s">
        <v>53</v>
      </c>
      <c r="O16" s="32" t="s">
        <v>54</v>
      </c>
      <c r="P16" s="32">
        <v>3600</v>
      </c>
      <c r="Q16" s="32" t="s">
        <v>55</v>
      </c>
    </row>
    <row r="17" spans="1:17" hidden="1" x14ac:dyDescent="0.3">
      <c r="A17" s="26" t="s">
        <v>153</v>
      </c>
      <c r="B17" s="26" t="s">
        <v>154</v>
      </c>
      <c r="C17" s="26" t="s">
        <v>50</v>
      </c>
      <c r="D17" s="26" t="s">
        <v>155</v>
      </c>
      <c r="E17" s="26" t="s">
        <v>128</v>
      </c>
      <c r="G17" s="26" t="s">
        <v>156</v>
      </c>
      <c r="H17" s="26" t="s">
        <v>39</v>
      </c>
      <c r="I17" s="26" t="s">
        <v>157</v>
      </c>
      <c r="J17" s="11" t="str">
        <f>VLOOKUP(K17,'PN Dictionary'!A:B,2,FALSE)</f>
        <v>Cable Cartridge</v>
      </c>
      <c r="K17" s="26" t="s">
        <v>6</v>
      </c>
      <c r="L17" s="44">
        <v>1823325351260</v>
      </c>
      <c r="M17" s="26">
        <v>1823225356593</v>
      </c>
      <c r="N17" s="26" t="s">
        <v>53</v>
      </c>
      <c r="O17" s="26" t="s">
        <v>54</v>
      </c>
      <c r="P17" s="26">
        <v>1348</v>
      </c>
      <c r="Q17" s="26" t="s">
        <v>55</v>
      </c>
    </row>
    <row r="18" spans="1:17" hidden="1" x14ac:dyDescent="0.3">
      <c r="A18" s="26" t="s">
        <v>158</v>
      </c>
      <c r="B18" s="26" t="s">
        <v>159</v>
      </c>
      <c r="C18" s="26" t="s">
        <v>50</v>
      </c>
      <c r="D18" s="26" t="s">
        <v>160</v>
      </c>
      <c r="E18" s="26" t="s">
        <v>52</v>
      </c>
      <c r="G18" s="26" t="s">
        <v>156</v>
      </c>
      <c r="H18" s="26" t="s">
        <v>39</v>
      </c>
      <c r="I18" s="26" t="s">
        <v>161</v>
      </c>
      <c r="J18" s="11" t="str">
        <f>VLOOKUP(K18,'PN Dictionary'!A:B,2,FALSE)</f>
        <v>GB300 L10</v>
      </c>
      <c r="K18" s="26" t="s">
        <v>36</v>
      </c>
      <c r="L18" s="44" t="s">
        <v>166</v>
      </c>
      <c r="M18" s="26" t="s">
        <v>162</v>
      </c>
      <c r="N18" s="26" t="s">
        <v>53</v>
      </c>
      <c r="O18" s="26" t="s">
        <v>54</v>
      </c>
      <c r="P18" s="26">
        <v>3600</v>
      </c>
      <c r="Q18" s="26" t="s">
        <v>55</v>
      </c>
    </row>
    <row r="19" spans="1:17" hidden="1" x14ac:dyDescent="0.3">
      <c r="A19" s="26" t="s">
        <v>163</v>
      </c>
      <c r="B19" s="26" t="s">
        <v>164</v>
      </c>
      <c r="C19" s="26" t="s">
        <v>50</v>
      </c>
      <c r="D19" s="26" t="s">
        <v>92</v>
      </c>
      <c r="E19" s="26" t="s">
        <v>128</v>
      </c>
      <c r="G19" s="26" t="s">
        <v>156</v>
      </c>
      <c r="H19" s="26" t="s">
        <v>39</v>
      </c>
      <c r="I19" s="26" t="s">
        <v>165</v>
      </c>
      <c r="J19" s="11" t="str">
        <f>VLOOKUP(K19,'PN Dictionary'!A:B,2,FALSE)</f>
        <v>Cable Cartridge</v>
      </c>
      <c r="K19" s="26" t="s">
        <v>6</v>
      </c>
      <c r="L19" s="44">
        <v>1823425350158</v>
      </c>
      <c r="M19" s="26">
        <v>2023825882527</v>
      </c>
      <c r="N19" s="26" t="s">
        <v>53</v>
      </c>
      <c r="O19" s="26" t="s">
        <v>54</v>
      </c>
      <c r="P19" s="26">
        <v>3600</v>
      </c>
      <c r="Q19" s="26" t="s">
        <v>55</v>
      </c>
    </row>
    <row r="20" spans="1:17" hidden="1" x14ac:dyDescent="0.3">
      <c r="A20" s="26" t="s">
        <v>167</v>
      </c>
      <c r="B20" s="26" t="s">
        <v>168</v>
      </c>
      <c r="C20" s="26" t="s">
        <v>50</v>
      </c>
      <c r="D20" s="26" t="s">
        <v>160</v>
      </c>
      <c r="E20" s="26" t="s">
        <v>52</v>
      </c>
      <c r="G20" s="26" t="s">
        <v>156</v>
      </c>
      <c r="H20" s="26" t="s">
        <v>39</v>
      </c>
      <c r="I20" s="26" t="s">
        <v>79</v>
      </c>
      <c r="J20" s="11" t="str">
        <f>VLOOKUP(K20,'PN Dictionary'!A:B,2,FALSE)</f>
        <v>GB300 L10</v>
      </c>
      <c r="K20" s="26" t="s">
        <v>36</v>
      </c>
      <c r="L20" s="44" t="s">
        <v>169</v>
      </c>
      <c r="M20" s="26" t="s">
        <v>170</v>
      </c>
      <c r="N20" s="26" t="s">
        <v>53</v>
      </c>
      <c r="O20" s="26" t="s">
        <v>54</v>
      </c>
      <c r="P20" s="26">
        <v>1348</v>
      </c>
      <c r="Q20" s="26" t="s">
        <v>55</v>
      </c>
    </row>
    <row r="21" spans="1:17" hidden="1" x14ac:dyDescent="0.3">
      <c r="A21" s="26" t="s">
        <v>171</v>
      </c>
      <c r="B21" s="26" t="s">
        <v>172</v>
      </c>
      <c r="C21" s="26" t="s">
        <v>50</v>
      </c>
      <c r="D21" s="26" t="s">
        <v>173</v>
      </c>
      <c r="E21" s="26" t="s">
        <v>52</v>
      </c>
      <c r="G21" s="26" t="s">
        <v>156</v>
      </c>
      <c r="H21" s="26" t="s">
        <v>39</v>
      </c>
      <c r="I21" s="26" t="s">
        <v>79</v>
      </c>
      <c r="J21" s="11" t="str">
        <f>VLOOKUP(K21,'PN Dictionary'!A:B,2,FALSE)</f>
        <v>GB300 L10</v>
      </c>
      <c r="K21" s="26" t="s">
        <v>36</v>
      </c>
      <c r="L21" s="44" t="s">
        <v>174</v>
      </c>
      <c r="M21" s="26" t="s">
        <v>175</v>
      </c>
      <c r="N21" s="26" t="s">
        <v>53</v>
      </c>
      <c r="O21" s="26" t="s">
        <v>54</v>
      </c>
      <c r="P21" s="26">
        <v>1348</v>
      </c>
      <c r="Q21" s="26" t="s">
        <v>55</v>
      </c>
    </row>
    <row r="22" spans="1:17" hidden="1" x14ac:dyDescent="0.3">
      <c r="A22" s="26" t="s">
        <v>176</v>
      </c>
      <c r="B22" s="26" t="s">
        <v>177</v>
      </c>
      <c r="C22" s="26" t="s">
        <v>50</v>
      </c>
      <c r="D22" s="26" t="s">
        <v>178</v>
      </c>
      <c r="E22" s="26" t="s">
        <v>52</v>
      </c>
      <c r="G22" s="26" t="s">
        <v>179</v>
      </c>
      <c r="H22" s="26" t="s">
        <v>39</v>
      </c>
      <c r="I22" s="26" t="s">
        <v>79</v>
      </c>
      <c r="J22" s="11" t="str">
        <f>VLOOKUP(K22,'PN Dictionary'!A:B,2,FALSE)</f>
        <v>GB300 L10</v>
      </c>
      <c r="K22" s="26" t="s">
        <v>36</v>
      </c>
      <c r="L22" s="44" t="s">
        <v>109</v>
      </c>
      <c r="M22" s="26" t="s">
        <v>180</v>
      </c>
      <c r="N22" s="26" t="s">
        <v>53</v>
      </c>
      <c r="O22" s="26" t="s">
        <v>54</v>
      </c>
      <c r="P22" s="26">
        <v>1348</v>
      </c>
      <c r="Q22" s="26" t="s">
        <v>55</v>
      </c>
    </row>
    <row r="23" spans="1:17" hidden="1" x14ac:dyDescent="0.3">
      <c r="A23" s="26" t="s">
        <v>181</v>
      </c>
      <c r="B23" s="26" t="s">
        <v>182</v>
      </c>
      <c r="C23" s="26" t="s">
        <v>50</v>
      </c>
      <c r="D23" s="26" t="s">
        <v>178</v>
      </c>
      <c r="E23" s="26" t="s">
        <v>52</v>
      </c>
      <c r="G23" s="26" t="s">
        <v>179</v>
      </c>
      <c r="H23" s="26" t="s">
        <v>39</v>
      </c>
      <c r="I23" s="26" t="s">
        <v>79</v>
      </c>
      <c r="J23" s="11" t="str">
        <f>VLOOKUP(K23,'PN Dictionary'!A:B,2,FALSE)</f>
        <v>GB300 L10</v>
      </c>
      <c r="K23" s="26" t="s">
        <v>36</v>
      </c>
      <c r="L23" s="44" t="s">
        <v>125</v>
      </c>
      <c r="M23" s="26" t="s">
        <v>183</v>
      </c>
      <c r="N23" s="26" t="s">
        <v>53</v>
      </c>
      <c r="O23" s="26" t="s">
        <v>54</v>
      </c>
      <c r="P23" s="26">
        <v>1348</v>
      </c>
      <c r="Q23" s="26" t="s">
        <v>55</v>
      </c>
    </row>
    <row r="24" spans="1:17" hidden="1" x14ac:dyDescent="0.3">
      <c r="A24" s="26" t="s">
        <v>184</v>
      </c>
      <c r="B24" s="26" t="s">
        <v>185</v>
      </c>
      <c r="C24" s="26" t="s">
        <v>50</v>
      </c>
      <c r="D24" s="26" t="s">
        <v>178</v>
      </c>
      <c r="E24" s="26" t="s">
        <v>117</v>
      </c>
      <c r="G24" s="26" t="s">
        <v>179</v>
      </c>
      <c r="H24" s="26" t="s">
        <v>39</v>
      </c>
      <c r="I24" s="26" t="s">
        <v>186</v>
      </c>
      <c r="J24" s="11" t="str">
        <f>VLOOKUP(K24,'PN Dictionary'!A:B,2,FALSE)</f>
        <v>GB300 L10</v>
      </c>
      <c r="K24" s="26" t="s">
        <v>36</v>
      </c>
      <c r="L24" s="44" t="s">
        <v>1418</v>
      </c>
      <c r="M24" s="26" t="s">
        <v>187</v>
      </c>
      <c r="N24" s="26" t="s">
        <v>53</v>
      </c>
      <c r="O24" s="26" t="s">
        <v>54</v>
      </c>
      <c r="P24" s="26">
        <v>3600</v>
      </c>
      <c r="Q24" s="26" t="s">
        <v>55</v>
      </c>
    </row>
    <row r="25" spans="1:17" hidden="1" x14ac:dyDescent="0.3">
      <c r="A25" s="26" t="s">
        <v>188</v>
      </c>
      <c r="B25" s="26" t="s">
        <v>189</v>
      </c>
      <c r="C25" s="26" t="s">
        <v>50</v>
      </c>
      <c r="D25" s="26" t="s">
        <v>178</v>
      </c>
      <c r="E25" s="26" t="s">
        <v>81</v>
      </c>
      <c r="G25" s="26" t="s">
        <v>179</v>
      </c>
      <c r="H25" s="26" t="s">
        <v>39</v>
      </c>
      <c r="I25" s="26" t="s">
        <v>190</v>
      </c>
      <c r="J25" s="11" t="str">
        <f>VLOOKUP(K25,'PN Dictionary'!A:B,2,FALSE)</f>
        <v>GB300 L10</v>
      </c>
      <c r="K25" s="26" t="s">
        <v>36</v>
      </c>
      <c r="L25" s="44" t="s">
        <v>1419</v>
      </c>
      <c r="M25" s="26" t="s">
        <v>192</v>
      </c>
      <c r="N25" s="26" t="s">
        <v>53</v>
      </c>
      <c r="O25" s="26" t="s">
        <v>54</v>
      </c>
      <c r="P25" s="26">
        <v>3600</v>
      </c>
      <c r="Q25" s="26" t="s">
        <v>55</v>
      </c>
    </row>
    <row r="26" spans="1:17" hidden="1" x14ac:dyDescent="0.3">
      <c r="A26" s="26" t="s">
        <v>194</v>
      </c>
      <c r="B26" s="26" t="s">
        <v>195</v>
      </c>
      <c r="C26" s="26" t="s">
        <v>50</v>
      </c>
      <c r="D26" s="26" t="s">
        <v>196</v>
      </c>
      <c r="E26" s="26" t="s">
        <v>128</v>
      </c>
      <c r="G26" s="26" t="s">
        <v>179</v>
      </c>
      <c r="H26" s="26" t="s">
        <v>39</v>
      </c>
      <c r="I26" s="26" t="s">
        <v>246</v>
      </c>
      <c r="J26" s="11" t="str">
        <f>VLOOKUP(K26,'PN Dictionary'!A:B,2,FALSE)</f>
        <v>Cable Cartridge</v>
      </c>
      <c r="K26" s="26" t="s">
        <v>6</v>
      </c>
      <c r="L26" s="44">
        <v>1823025355085</v>
      </c>
      <c r="M26" s="26">
        <v>1822825354542</v>
      </c>
      <c r="N26" s="26" t="s">
        <v>53</v>
      </c>
      <c r="O26" s="26" t="s">
        <v>54</v>
      </c>
      <c r="P26" s="26">
        <v>1348</v>
      </c>
      <c r="Q26" s="26" t="s">
        <v>55</v>
      </c>
    </row>
    <row r="27" spans="1:17" hidden="1" x14ac:dyDescent="0.3">
      <c r="A27" s="26" t="s">
        <v>197</v>
      </c>
      <c r="B27" s="26" t="s">
        <v>198</v>
      </c>
      <c r="C27" s="26" t="s">
        <v>50</v>
      </c>
      <c r="D27" s="26" t="s">
        <v>199</v>
      </c>
      <c r="E27" s="26" t="s">
        <v>52</v>
      </c>
      <c r="G27" s="26" t="s">
        <v>179</v>
      </c>
      <c r="H27" s="26" t="s">
        <v>39</v>
      </c>
      <c r="I27" s="26" t="s">
        <v>79</v>
      </c>
      <c r="J27" s="11" t="str">
        <f>VLOOKUP(K27,'PN Dictionary'!A:B,2,FALSE)</f>
        <v>GB300 L10</v>
      </c>
      <c r="K27" s="26" t="s">
        <v>36</v>
      </c>
      <c r="L27" s="44" t="s">
        <v>1420</v>
      </c>
      <c r="M27" s="26" t="s">
        <v>200</v>
      </c>
      <c r="N27" s="26" t="s">
        <v>53</v>
      </c>
      <c r="O27" s="26" t="s">
        <v>54</v>
      </c>
      <c r="P27" s="26">
        <v>1348</v>
      </c>
      <c r="Q27" s="26" t="s">
        <v>55</v>
      </c>
    </row>
    <row r="28" spans="1:17" hidden="1" x14ac:dyDescent="0.3">
      <c r="A28" s="26" t="s">
        <v>201</v>
      </c>
      <c r="B28" s="26" t="s">
        <v>202</v>
      </c>
      <c r="C28" s="26" t="s">
        <v>50</v>
      </c>
      <c r="D28" s="26" t="s">
        <v>203</v>
      </c>
      <c r="E28" s="26" t="s">
        <v>128</v>
      </c>
      <c r="G28" s="26" t="s">
        <v>204</v>
      </c>
      <c r="H28" s="26" t="s">
        <v>39</v>
      </c>
      <c r="I28" s="26" t="s">
        <v>205</v>
      </c>
      <c r="J28" s="11" t="str">
        <f>VLOOKUP(K28,'PN Dictionary'!A:B,2,FALSE)</f>
        <v>Cable Cartridge</v>
      </c>
      <c r="K28" s="26" t="s">
        <v>6</v>
      </c>
      <c r="L28" s="44">
        <v>1822825355833</v>
      </c>
      <c r="M28" s="26">
        <v>1822825354176</v>
      </c>
      <c r="N28" s="26" t="s">
        <v>53</v>
      </c>
      <c r="O28" s="26" t="s">
        <v>54</v>
      </c>
      <c r="P28" s="26">
        <v>1348</v>
      </c>
      <c r="Q28" s="26" t="s">
        <v>55</v>
      </c>
    </row>
    <row r="29" spans="1:17" hidden="1" x14ac:dyDescent="0.3">
      <c r="A29" s="26" t="s">
        <v>206</v>
      </c>
      <c r="B29" s="26" t="s">
        <v>207</v>
      </c>
      <c r="C29" s="26" t="s">
        <v>50</v>
      </c>
      <c r="D29" s="26" t="s">
        <v>208</v>
      </c>
      <c r="E29" s="26" t="s">
        <v>128</v>
      </c>
      <c r="G29" s="26" t="s">
        <v>209</v>
      </c>
      <c r="H29" s="26" t="s">
        <v>39</v>
      </c>
      <c r="I29" s="26" t="s">
        <v>210</v>
      </c>
      <c r="J29" s="11" t="str">
        <f>VLOOKUP(K29,'PN Dictionary'!A:B,2,FALSE)</f>
        <v>Cable Cartridge</v>
      </c>
      <c r="K29" s="26" t="s">
        <v>6</v>
      </c>
      <c r="L29" s="44">
        <v>1822825356229</v>
      </c>
      <c r="M29" s="26">
        <v>1822825354109</v>
      </c>
      <c r="N29" s="26" t="s">
        <v>53</v>
      </c>
      <c r="O29" s="26" t="s">
        <v>54</v>
      </c>
      <c r="P29" s="26">
        <v>3600</v>
      </c>
      <c r="Q29" s="26" t="s">
        <v>55</v>
      </c>
    </row>
    <row r="30" spans="1:17" hidden="1" x14ac:dyDescent="0.3">
      <c r="A30" s="26" t="s">
        <v>211</v>
      </c>
      <c r="B30" s="26" t="s">
        <v>212</v>
      </c>
      <c r="C30" s="26" t="s">
        <v>50</v>
      </c>
      <c r="D30" s="26" t="s">
        <v>213</v>
      </c>
      <c r="E30" s="26" t="s">
        <v>81</v>
      </c>
      <c r="G30" s="26" t="s">
        <v>209</v>
      </c>
      <c r="H30" s="26" t="s">
        <v>39</v>
      </c>
      <c r="I30" s="26" t="s">
        <v>214</v>
      </c>
      <c r="J30" s="11" t="str">
        <f>VLOOKUP(K30,'PN Dictionary'!A:B,2,FALSE)</f>
        <v>GB300 L10</v>
      </c>
      <c r="K30" s="26" t="s">
        <v>36</v>
      </c>
      <c r="L30" s="44" t="s">
        <v>1421</v>
      </c>
      <c r="M30" s="26" t="s">
        <v>215</v>
      </c>
      <c r="N30" s="26" t="s">
        <v>53</v>
      </c>
      <c r="O30" s="26" t="s">
        <v>54</v>
      </c>
      <c r="P30" s="26">
        <v>3600</v>
      </c>
      <c r="Q30" s="26" t="s">
        <v>55</v>
      </c>
    </row>
    <row r="31" spans="1:17" hidden="1" x14ac:dyDescent="0.3">
      <c r="A31" s="26" t="s">
        <v>216</v>
      </c>
      <c r="B31" s="26" t="s">
        <v>217</v>
      </c>
      <c r="C31" s="26" t="s">
        <v>50</v>
      </c>
      <c r="D31" s="26" t="s">
        <v>218</v>
      </c>
      <c r="E31" s="26" t="s">
        <v>81</v>
      </c>
      <c r="G31" s="26" t="s">
        <v>209</v>
      </c>
      <c r="H31" s="26" t="s">
        <v>39</v>
      </c>
      <c r="I31" s="26" t="s">
        <v>219</v>
      </c>
      <c r="J31" s="11" t="str">
        <f>VLOOKUP(K31,'PN Dictionary'!A:B,2,FALSE)</f>
        <v>GB300 L10</v>
      </c>
      <c r="K31" s="26" t="s">
        <v>36</v>
      </c>
      <c r="L31" s="44" t="s">
        <v>1422</v>
      </c>
      <c r="M31" s="26" t="s">
        <v>220</v>
      </c>
      <c r="N31" s="26" t="s">
        <v>53</v>
      </c>
      <c r="O31" s="26" t="s">
        <v>54</v>
      </c>
      <c r="P31" s="26">
        <v>3600</v>
      </c>
      <c r="Q31" s="26" t="s">
        <v>55</v>
      </c>
    </row>
    <row r="32" spans="1:17" hidden="1" x14ac:dyDescent="0.3">
      <c r="A32" s="26" t="s">
        <v>221</v>
      </c>
      <c r="B32" s="26" t="s">
        <v>222</v>
      </c>
      <c r="C32" s="26" t="s">
        <v>50</v>
      </c>
      <c r="D32" s="26" t="s">
        <v>223</v>
      </c>
      <c r="E32" s="26" t="s">
        <v>224</v>
      </c>
      <c r="G32" s="26" t="s">
        <v>209</v>
      </c>
      <c r="H32" s="26" t="s">
        <v>39</v>
      </c>
      <c r="I32" s="26" t="s">
        <v>225</v>
      </c>
      <c r="J32" s="11" t="str">
        <f>VLOOKUP(K32,'PN Dictionary'!A:B,2,FALSE)</f>
        <v>GB300 L10</v>
      </c>
      <c r="K32" s="26" t="s">
        <v>36</v>
      </c>
      <c r="L32" s="44" t="s">
        <v>1423</v>
      </c>
      <c r="M32" s="26" t="s">
        <v>226</v>
      </c>
      <c r="N32" s="26" t="s">
        <v>53</v>
      </c>
      <c r="O32" s="26" t="s">
        <v>54</v>
      </c>
      <c r="P32" s="26">
        <v>3600</v>
      </c>
      <c r="Q32" s="26" t="s">
        <v>55</v>
      </c>
    </row>
    <row r="33" spans="1:17" hidden="1" x14ac:dyDescent="0.3">
      <c r="A33" s="26" t="s">
        <v>227</v>
      </c>
      <c r="B33" s="26" t="s">
        <v>228</v>
      </c>
      <c r="C33" s="26" t="s">
        <v>50</v>
      </c>
      <c r="D33" s="26" t="s">
        <v>229</v>
      </c>
      <c r="E33" s="26" t="s">
        <v>230</v>
      </c>
      <c r="G33" s="26" t="s">
        <v>231</v>
      </c>
      <c r="H33" s="26" t="s">
        <v>39</v>
      </c>
      <c r="I33" s="26" t="s">
        <v>232</v>
      </c>
      <c r="J33" s="11" t="str">
        <f>VLOOKUP(K33,'PN Dictionary'!A:B,2,FALSE)</f>
        <v>NVSwitch</v>
      </c>
      <c r="K33" s="26" t="s">
        <v>7</v>
      </c>
      <c r="L33" s="44" t="s">
        <v>233</v>
      </c>
      <c r="M33" s="26" t="s">
        <v>234</v>
      </c>
      <c r="N33" s="26" t="s">
        <v>53</v>
      </c>
      <c r="O33" s="26" t="s">
        <v>54</v>
      </c>
      <c r="P33" s="26">
        <v>3600</v>
      </c>
      <c r="Q33" s="26" t="s">
        <v>55</v>
      </c>
    </row>
    <row r="34" spans="1:17" hidden="1" x14ac:dyDescent="0.3">
      <c r="A34" s="26" t="s">
        <v>235</v>
      </c>
      <c r="B34" s="26" t="s">
        <v>236</v>
      </c>
      <c r="C34" s="26" t="s">
        <v>50</v>
      </c>
      <c r="D34" s="26" t="s">
        <v>237</v>
      </c>
      <c r="E34" s="26" t="s">
        <v>230</v>
      </c>
      <c r="G34" s="26" t="s">
        <v>231</v>
      </c>
      <c r="H34" s="26" t="s">
        <v>39</v>
      </c>
      <c r="I34" s="26" t="s">
        <v>238</v>
      </c>
      <c r="J34" s="11" t="str">
        <f>VLOOKUP(K34,'PN Dictionary'!A:B,2,FALSE)</f>
        <v>NVSwitch</v>
      </c>
      <c r="K34" s="26" t="s">
        <v>7</v>
      </c>
      <c r="L34" s="44" t="s">
        <v>233</v>
      </c>
      <c r="M34" s="26" t="s">
        <v>239</v>
      </c>
      <c r="N34" s="26" t="s">
        <v>53</v>
      </c>
      <c r="O34" s="26" t="s">
        <v>54</v>
      </c>
      <c r="P34" s="26">
        <v>1348</v>
      </c>
      <c r="Q34" s="26" t="s">
        <v>55</v>
      </c>
    </row>
    <row r="35" spans="1:17" hidden="1" x14ac:dyDescent="0.3">
      <c r="A35" s="26" t="s">
        <v>240</v>
      </c>
      <c r="B35" s="26" t="s">
        <v>241</v>
      </c>
      <c r="C35" s="26" t="s">
        <v>50</v>
      </c>
      <c r="D35" s="26" t="s">
        <v>237</v>
      </c>
      <c r="E35" s="26" t="s">
        <v>242</v>
      </c>
      <c r="G35" s="26" t="s">
        <v>231</v>
      </c>
      <c r="H35" s="26" t="s">
        <v>39</v>
      </c>
      <c r="I35" s="26" t="s">
        <v>243</v>
      </c>
      <c r="J35" s="11" t="str">
        <f>VLOOKUP(K35,'PN Dictionary'!A:B,2,FALSE)</f>
        <v>Delta Power Shelf Left Input</v>
      </c>
      <c r="K35" s="26" t="s">
        <v>10</v>
      </c>
      <c r="L35" s="44" t="s">
        <v>244</v>
      </c>
      <c r="M35" s="26" t="s">
        <v>245</v>
      </c>
      <c r="N35" s="26" t="s">
        <v>53</v>
      </c>
      <c r="O35" s="26" t="s">
        <v>54</v>
      </c>
      <c r="P35" s="26">
        <v>1348</v>
      </c>
      <c r="Q35" s="26" t="s">
        <v>55</v>
      </c>
    </row>
    <row r="36" spans="1:17" hidden="1" x14ac:dyDescent="0.3">
      <c r="A36" s="26" t="s">
        <v>252</v>
      </c>
      <c r="B36" s="26" t="s">
        <v>253</v>
      </c>
      <c r="C36" s="26" t="s">
        <v>50</v>
      </c>
      <c r="D36" s="26" t="s">
        <v>254</v>
      </c>
      <c r="E36" s="26" t="s">
        <v>81</v>
      </c>
      <c r="G36" s="26" t="s">
        <v>250</v>
      </c>
      <c r="H36" s="26" t="s">
        <v>39</v>
      </c>
      <c r="I36" s="26" t="s">
        <v>255</v>
      </c>
      <c r="J36" s="11" t="str">
        <f>VLOOKUP(K36,'PN Dictionary'!A:B,2,FALSE)</f>
        <v>GB300 L10</v>
      </c>
      <c r="K36" s="26" t="s">
        <v>36</v>
      </c>
      <c r="L36" s="44" t="s">
        <v>1424</v>
      </c>
      <c r="M36" s="26" t="s">
        <v>256</v>
      </c>
      <c r="N36" s="26" t="s">
        <v>53</v>
      </c>
      <c r="O36" s="26" t="s">
        <v>54</v>
      </c>
      <c r="P36" s="26">
        <v>3600</v>
      </c>
      <c r="Q36" s="26" t="s">
        <v>55</v>
      </c>
    </row>
    <row r="37" spans="1:17" hidden="1" x14ac:dyDescent="0.3">
      <c r="A37" s="26" t="s">
        <v>257</v>
      </c>
      <c r="B37" s="26" t="s">
        <v>258</v>
      </c>
      <c r="C37" s="26" t="s">
        <v>50</v>
      </c>
      <c r="D37" s="26" t="s">
        <v>249</v>
      </c>
      <c r="E37" s="26" t="s">
        <v>259</v>
      </c>
      <c r="G37" s="26" t="s">
        <v>250</v>
      </c>
      <c r="H37" s="26" t="s">
        <v>39</v>
      </c>
      <c r="I37" s="26" t="s">
        <v>260</v>
      </c>
      <c r="J37" s="11" t="str">
        <f>VLOOKUP(K37,'PN Dictionary'!A:B,2,FALSE)</f>
        <v>GB300 L10</v>
      </c>
      <c r="K37" s="26" t="s">
        <v>36</v>
      </c>
      <c r="L37" s="44" t="s">
        <v>1425</v>
      </c>
      <c r="M37" s="26" t="s">
        <v>262</v>
      </c>
      <c r="N37" s="26" t="s">
        <v>53</v>
      </c>
      <c r="O37" s="26" t="s">
        <v>54</v>
      </c>
      <c r="P37" s="26">
        <v>3600</v>
      </c>
      <c r="Q37" s="26" t="s">
        <v>55</v>
      </c>
    </row>
    <row r="38" spans="1:17" hidden="1" x14ac:dyDescent="0.3">
      <c r="A38" s="26" t="s">
        <v>247</v>
      </c>
      <c r="B38" s="26" t="s">
        <v>248</v>
      </c>
      <c r="C38" s="26" t="s">
        <v>50</v>
      </c>
      <c r="D38" s="26" t="s">
        <v>249</v>
      </c>
      <c r="E38" s="26" t="s">
        <v>128</v>
      </c>
      <c r="G38" s="26" t="s">
        <v>250</v>
      </c>
      <c r="H38" s="26" t="s">
        <v>39</v>
      </c>
      <c r="I38" s="26" t="s">
        <v>251</v>
      </c>
      <c r="J38" s="11" t="str">
        <f>VLOOKUP(K38,'PN Dictionary'!A:B,2,FALSE)</f>
        <v>Cable Cartridge</v>
      </c>
      <c r="K38" s="26" t="s">
        <v>6</v>
      </c>
      <c r="L38" s="44">
        <v>1823325351252</v>
      </c>
      <c r="M38" s="26">
        <v>1823325354730</v>
      </c>
      <c r="N38" s="26" t="s">
        <v>53</v>
      </c>
      <c r="O38" s="26" t="s">
        <v>54</v>
      </c>
      <c r="P38" s="26">
        <v>3600</v>
      </c>
      <c r="Q38" s="26" t="s">
        <v>55</v>
      </c>
    </row>
    <row r="39" spans="1:17" hidden="1" x14ac:dyDescent="0.3">
      <c r="A39" s="26" t="s">
        <v>263</v>
      </c>
      <c r="B39" s="26" t="s">
        <v>264</v>
      </c>
      <c r="C39" s="26" t="s">
        <v>50</v>
      </c>
      <c r="D39" s="26" t="s">
        <v>265</v>
      </c>
      <c r="E39" s="26" t="s">
        <v>52</v>
      </c>
      <c r="G39" s="26" t="s">
        <v>250</v>
      </c>
      <c r="H39" s="26" t="s">
        <v>39</v>
      </c>
      <c r="I39" s="26" t="s">
        <v>266</v>
      </c>
      <c r="J39" s="11" t="str">
        <f>VLOOKUP(K39,'PN Dictionary'!A:B,2,FALSE)</f>
        <v>GB300 L10</v>
      </c>
      <c r="K39" s="26" t="s">
        <v>36</v>
      </c>
      <c r="L39" s="44" t="s">
        <v>1426</v>
      </c>
      <c r="M39" s="26" t="s">
        <v>261</v>
      </c>
      <c r="N39" s="26" t="s">
        <v>53</v>
      </c>
      <c r="O39" s="26" t="s">
        <v>54</v>
      </c>
      <c r="P39" s="26">
        <v>3600</v>
      </c>
      <c r="Q39" s="26" t="s">
        <v>55</v>
      </c>
    </row>
    <row r="40" spans="1:17" hidden="1" x14ac:dyDescent="0.3">
      <c r="A40" s="26" t="s">
        <v>267</v>
      </c>
      <c r="B40" s="26" t="s">
        <v>268</v>
      </c>
      <c r="C40" s="26" t="s">
        <v>50</v>
      </c>
      <c r="D40" s="26" t="s">
        <v>269</v>
      </c>
      <c r="E40" s="26" t="s">
        <v>270</v>
      </c>
      <c r="G40" s="26" t="s">
        <v>250</v>
      </c>
      <c r="H40" s="26" t="s">
        <v>39</v>
      </c>
      <c r="I40" s="26" t="s">
        <v>271</v>
      </c>
      <c r="J40" s="11" t="str">
        <f>VLOOKUP(K40,'PN Dictionary'!A:B,2,FALSE)</f>
        <v>Power Shelf Control Module</v>
      </c>
      <c r="K40" s="26" t="s">
        <v>11</v>
      </c>
      <c r="L40" s="44" t="s">
        <v>272</v>
      </c>
      <c r="M40" s="26" t="s">
        <v>273</v>
      </c>
      <c r="N40" s="26" t="s">
        <v>53</v>
      </c>
      <c r="O40" s="26" t="s">
        <v>54</v>
      </c>
      <c r="P40" s="26">
        <v>1348</v>
      </c>
      <c r="Q40" s="26" t="s">
        <v>55</v>
      </c>
    </row>
    <row r="41" spans="1:17" hidden="1" x14ac:dyDescent="0.3">
      <c r="A41" s="26" t="s">
        <v>274</v>
      </c>
      <c r="B41" s="26" t="s">
        <v>275</v>
      </c>
      <c r="C41" s="26" t="s">
        <v>50</v>
      </c>
      <c r="D41" s="26" t="s">
        <v>178</v>
      </c>
      <c r="E41" s="26" t="s">
        <v>81</v>
      </c>
      <c r="G41" s="26" t="s">
        <v>250</v>
      </c>
      <c r="H41" s="26" t="s">
        <v>39</v>
      </c>
      <c r="I41" s="26" t="s">
        <v>276</v>
      </c>
      <c r="J41" s="11" t="str">
        <f>VLOOKUP(K41,'PN Dictionary'!A:B,2,FALSE)</f>
        <v>GB300 L10</v>
      </c>
      <c r="K41" s="26" t="s">
        <v>36</v>
      </c>
      <c r="L41" s="44" t="s">
        <v>1416</v>
      </c>
      <c r="M41" s="26" t="s">
        <v>277</v>
      </c>
      <c r="N41" s="26" t="s">
        <v>53</v>
      </c>
      <c r="O41" s="26" t="s">
        <v>54</v>
      </c>
      <c r="P41" s="26">
        <v>1348</v>
      </c>
      <c r="Q41" s="26" t="s">
        <v>55</v>
      </c>
    </row>
    <row r="42" spans="1:17" hidden="1" x14ac:dyDescent="0.3">
      <c r="A42" s="26" t="s">
        <v>278</v>
      </c>
      <c r="B42" s="26" t="s">
        <v>279</v>
      </c>
      <c r="C42" s="26" t="s">
        <v>50</v>
      </c>
      <c r="D42" s="26" t="s">
        <v>280</v>
      </c>
      <c r="E42" s="26" t="s">
        <v>281</v>
      </c>
      <c r="G42" s="26" t="s">
        <v>282</v>
      </c>
      <c r="H42" s="26" t="s">
        <v>39</v>
      </c>
      <c r="I42" s="26" t="s">
        <v>283</v>
      </c>
      <c r="J42" s="11" t="str">
        <f>VLOOKUP(K42,'PN Dictionary'!A:B,2,FALSE)</f>
        <v>GB300 L10</v>
      </c>
      <c r="K42" s="26" t="s">
        <v>36</v>
      </c>
      <c r="L42" s="44" t="s">
        <v>1427</v>
      </c>
      <c r="M42" s="26" t="s">
        <v>284</v>
      </c>
      <c r="N42" s="26" t="s">
        <v>53</v>
      </c>
      <c r="O42" s="26" t="s">
        <v>54</v>
      </c>
      <c r="P42" s="26">
        <v>1348</v>
      </c>
      <c r="Q42" s="26" t="s">
        <v>55</v>
      </c>
    </row>
    <row r="43" spans="1:17" hidden="1" x14ac:dyDescent="0.3">
      <c r="A43" s="26" t="s">
        <v>285</v>
      </c>
      <c r="B43" s="26" t="s">
        <v>286</v>
      </c>
      <c r="C43" s="26" t="s">
        <v>50</v>
      </c>
      <c r="D43" s="26" t="s">
        <v>280</v>
      </c>
      <c r="E43" s="26" t="s">
        <v>81</v>
      </c>
      <c r="G43" s="26" t="s">
        <v>282</v>
      </c>
      <c r="H43" s="26" t="s">
        <v>39</v>
      </c>
      <c r="I43" s="26" t="s">
        <v>287</v>
      </c>
      <c r="J43" s="11" t="str">
        <f>VLOOKUP(K43,'PN Dictionary'!A:B,2,FALSE)</f>
        <v>GB300 L10</v>
      </c>
      <c r="K43" s="26" t="s">
        <v>36</v>
      </c>
      <c r="L43" s="44" t="s">
        <v>1428</v>
      </c>
      <c r="M43" s="26" t="s">
        <v>288</v>
      </c>
      <c r="N43" s="26" t="s">
        <v>53</v>
      </c>
      <c r="O43" s="26" t="s">
        <v>54</v>
      </c>
      <c r="P43" s="26">
        <v>1348</v>
      </c>
      <c r="Q43" s="26" t="s">
        <v>55</v>
      </c>
    </row>
    <row r="44" spans="1:17" hidden="1" x14ac:dyDescent="0.3">
      <c r="A44" s="26" t="s">
        <v>289</v>
      </c>
      <c r="B44" s="26" t="s">
        <v>290</v>
      </c>
      <c r="C44" s="26" t="s">
        <v>50</v>
      </c>
      <c r="D44" s="26" t="s">
        <v>280</v>
      </c>
      <c r="E44" s="26" t="s">
        <v>81</v>
      </c>
      <c r="G44" s="26" t="s">
        <v>282</v>
      </c>
      <c r="H44" s="26" t="s">
        <v>39</v>
      </c>
      <c r="I44" s="26" t="s">
        <v>291</v>
      </c>
      <c r="J44" s="11" t="str">
        <f>VLOOKUP(K44,'PN Dictionary'!A:B,2,FALSE)</f>
        <v>GB300 L10</v>
      </c>
      <c r="K44" s="26" t="s">
        <v>36</v>
      </c>
      <c r="L44" s="44" t="s">
        <v>1429</v>
      </c>
      <c r="M44" s="26" t="s">
        <v>292</v>
      </c>
      <c r="N44" s="26" t="s">
        <v>53</v>
      </c>
      <c r="O44" s="26" t="s">
        <v>54</v>
      </c>
      <c r="P44" s="26">
        <v>1348</v>
      </c>
      <c r="Q44" s="26" t="s">
        <v>55</v>
      </c>
    </row>
    <row r="45" spans="1:17" hidden="1" x14ac:dyDescent="0.3">
      <c r="A45" s="26" t="s">
        <v>293</v>
      </c>
      <c r="B45" s="26" t="s">
        <v>364</v>
      </c>
      <c r="C45" s="26" t="s">
        <v>50</v>
      </c>
      <c r="D45" s="26" t="s">
        <v>280</v>
      </c>
      <c r="E45" s="26" t="s">
        <v>281</v>
      </c>
      <c r="G45" s="26" t="s">
        <v>282</v>
      </c>
      <c r="H45" s="26" t="s">
        <v>39</v>
      </c>
      <c r="I45" s="26" t="s">
        <v>283</v>
      </c>
      <c r="J45" s="11" t="str">
        <f>VLOOKUP(K45,'PN Dictionary'!A:B,2,FALSE)</f>
        <v>GB300 L10</v>
      </c>
      <c r="K45" s="11" t="s">
        <v>36</v>
      </c>
      <c r="L45" s="44" t="s">
        <v>1430</v>
      </c>
      <c r="M45" s="26" t="s">
        <v>365</v>
      </c>
      <c r="N45" s="26" t="s">
        <v>53</v>
      </c>
      <c r="O45" s="26" t="s">
        <v>54</v>
      </c>
      <c r="P45" s="26">
        <v>1348</v>
      </c>
      <c r="Q45" s="26" t="s">
        <v>55</v>
      </c>
    </row>
    <row r="46" spans="1:17" hidden="1" x14ac:dyDescent="0.3">
      <c r="A46" s="26" t="s">
        <v>294</v>
      </c>
      <c r="B46" s="26" t="s">
        <v>295</v>
      </c>
      <c r="C46" s="26" t="s">
        <v>50</v>
      </c>
      <c r="D46" s="26" t="s">
        <v>296</v>
      </c>
      <c r="E46" s="26" t="s">
        <v>128</v>
      </c>
      <c r="G46" s="26" t="s">
        <v>282</v>
      </c>
      <c r="H46" s="26" t="s">
        <v>39</v>
      </c>
      <c r="I46" s="26" t="s">
        <v>297</v>
      </c>
      <c r="J46" s="11" t="str">
        <f>VLOOKUP(K46,'PN Dictionary'!A:B,2,FALSE)</f>
        <v>Cable Cartridge</v>
      </c>
      <c r="K46" s="26" t="s">
        <v>6</v>
      </c>
      <c r="L46" s="44">
        <v>1822825354178</v>
      </c>
      <c r="M46" s="26">
        <v>1822825356679</v>
      </c>
      <c r="N46" s="26" t="s">
        <v>53</v>
      </c>
      <c r="O46" s="26" t="s">
        <v>54</v>
      </c>
      <c r="P46" s="26">
        <v>1348</v>
      </c>
      <c r="Q46" s="26" t="s">
        <v>55</v>
      </c>
    </row>
    <row r="47" spans="1:17" hidden="1" x14ac:dyDescent="0.3">
      <c r="A47" s="26" t="s">
        <v>342</v>
      </c>
      <c r="B47" s="26" t="s">
        <v>343</v>
      </c>
      <c r="C47" s="26" t="s">
        <v>50</v>
      </c>
      <c r="D47" s="26" t="s">
        <v>344</v>
      </c>
      <c r="E47" s="26" t="s">
        <v>81</v>
      </c>
      <c r="G47" s="26" t="s">
        <v>301</v>
      </c>
      <c r="H47" s="26" t="s">
        <v>39</v>
      </c>
      <c r="I47" s="26" t="s">
        <v>345</v>
      </c>
      <c r="J47" s="11" t="str">
        <f>VLOOKUP(K47,'PN Dictionary'!A:B,2,FALSE)</f>
        <v>GB300 L10</v>
      </c>
      <c r="K47" s="26" t="s">
        <v>36</v>
      </c>
      <c r="L47" s="44" t="s">
        <v>1431</v>
      </c>
      <c r="M47" s="26" t="s">
        <v>346</v>
      </c>
      <c r="N47" s="26" t="s">
        <v>53</v>
      </c>
      <c r="O47" s="26" t="s">
        <v>54</v>
      </c>
      <c r="P47" s="26">
        <v>1348</v>
      </c>
      <c r="Q47" s="26" t="s">
        <v>55</v>
      </c>
    </row>
    <row r="48" spans="1:17" hidden="1" x14ac:dyDescent="0.3">
      <c r="A48" s="26" t="s">
        <v>334</v>
      </c>
      <c r="B48" s="26" t="s">
        <v>335</v>
      </c>
      <c r="C48" s="26" t="s">
        <v>50</v>
      </c>
      <c r="D48" s="26" t="s">
        <v>300</v>
      </c>
      <c r="E48" s="26" t="s">
        <v>52</v>
      </c>
      <c r="G48" s="26" t="s">
        <v>301</v>
      </c>
      <c r="H48" s="26" t="s">
        <v>39</v>
      </c>
      <c r="I48" s="26" t="s">
        <v>336</v>
      </c>
      <c r="J48" s="11" t="str">
        <f>VLOOKUP(K48,'PN Dictionary'!A:B,2,FALSE)</f>
        <v>GB300 L10</v>
      </c>
      <c r="K48" s="26" t="s">
        <v>36</v>
      </c>
      <c r="L48" s="44" t="s">
        <v>1432</v>
      </c>
      <c r="M48" s="26" t="s">
        <v>337</v>
      </c>
      <c r="N48" s="26" t="s">
        <v>53</v>
      </c>
      <c r="O48" s="26" t="s">
        <v>54</v>
      </c>
      <c r="P48" s="26">
        <v>1348</v>
      </c>
      <c r="Q48" s="26" t="s">
        <v>55</v>
      </c>
    </row>
    <row r="49" spans="1:17" hidden="1" x14ac:dyDescent="0.3">
      <c r="A49" s="26" t="s">
        <v>314</v>
      </c>
      <c r="B49" s="26" t="s">
        <v>315</v>
      </c>
      <c r="C49" s="26" t="s">
        <v>50</v>
      </c>
      <c r="D49" s="26" t="s">
        <v>296</v>
      </c>
      <c r="E49" s="26" t="s">
        <v>230</v>
      </c>
      <c r="G49" s="26" t="s">
        <v>301</v>
      </c>
      <c r="H49" s="26" t="s">
        <v>39</v>
      </c>
      <c r="I49" s="26" t="s">
        <v>316</v>
      </c>
      <c r="J49" s="11" t="str">
        <f>VLOOKUP(K49,'PN Dictionary'!A:B,2,FALSE)</f>
        <v>NVSwitch</v>
      </c>
      <c r="K49" s="26" t="s">
        <v>7</v>
      </c>
      <c r="L49" s="44" t="s">
        <v>317</v>
      </c>
      <c r="M49" s="26" t="s">
        <v>318</v>
      </c>
      <c r="N49" s="26" t="s">
        <v>53</v>
      </c>
      <c r="O49" s="26" t="s">
        <v>54</v>
      </c>
      <c r="P49" s="26">
        <v>1348</v>
      </c>
      <c r="Q49" s="26" t="s">
        <v>55</v>
      </c>
    </row>
    <row r="50" spans="1:17" hidden="1" x14ac:dyDescent="0.3">
      <c r="A50" s="26" t="s">
        <v>330</v>
      </c>
      <c r="B50" s="26" t="s">
        <v>331</v>
      </c>
      <c r="C50" s="26" t="s">
        <v>50</v>
      </c>
      <c r="D50" s="26" t="s">
        <v>327</v>
      </c>
      <c r="E50" s="26" t="s">
        <v>52</v>
      </c>
      <c r="G50" s="26" t="s">
        <v>301</v>
      </c>
      <c r="H50" s="26" t="s">
        <v>39</v>
      </c>
      <c r="I50" s="26" t="s">
        <v>332</v>
      </c>
      <c r="J50" s="11" t="str">
        <f>VLOOKUP(K50,'PN Dictionary'!A:B,2,FALSE)</f>
        <v>GB300 L10</v>
      </c>
      <c r="K50" s="26" t="s">
        <v>36</v>
      </c>
      <c r="L50" s="44" t="s">
        <v>1433</v>
      </c>
      <c r="M50" s="26" t="s">
        <v>333</v>
      </c>
      <c r="N50" s="26" t="s">
        <v>53</v>
      </c>
      <c r="O50" s="26" t="s">
        <v>54</v>
      </c>
      <c r="P50" s="26">
        <v>3600</v>
      </c>
      <c r="Q50" s="26" t="s">
        <v>55</v>
      </c>
    </row>
    <row r="51" spans="1:17" hidden="1" x14ac:dyDescent="0.3">
      <c r="A51" s="26" t="s">
        <v>347</v>
      </c>
      <c r="B51" s="26" t="s">
        <v>348</v>
      </c>
      <c r="C51" s="26" t="s">
        <v>50</v>
      </c>
      <c r="D51" s="26" t="s">
        <v>300</v>
      </c>
      <c r="E51" s="26" t="s">
        <v>224</v>
      </c>
      <c r="G51" s="26" t="s">
        <v>301</v>
      </c>
      <c r="H51" s="26" t="s">
        <v>39</v>
      </c>
      <c r="I51" s="26" t="s">
        <v>349</v>
      </c>
      <c r="J51" s="11" t="str">
        <f>VLOOKUP(K51,'PN Dictionary'!A:B,2,FALSE)</f>
        <v>GB300 L10</v>
      </c>
      <c r="K51" s="26" t="s">
        <v>36</v>
      </c>
      <c r="L51" s="44" t="s">
        <v>1434</v>
      </c>
      <c r="M51" s="26" t="s">
        <v>350</v>
      </c>
      <c r="N51" s="26" t="s">
        <v>53</v>
      </c>
      <c r="O51" s="26" t="s">
        <v>54</v>
      </c>
      <c r="P51" s="26">
        <v>3839</v>
      </c>
      <c r="Q51" s="26" t="s">
        <v>55</v>
      </c>
    </row>
    <row r="52" spans="1:17" hidden="1" x14ac:dyDescent="0.3">
      <c r="A52" s="26" t="s">
        <v>310</v>
      </c>
      <c r="B52" s="26" t="s">
        <v>311</v>
      </c>
      <c r="C52" s="26" t="s">
        <v>50</v>
      </c>
      <c r="D52" s="26" t="s">
        <v>312</v>
      </c>
      <c r="E52" s="26" t="s">
        <v>128</v>
      </c>
      <c r="G52" s="26" t="s">
        <v>301</v>
      </c>
      <c r="H52" s="26" t="s">
        <v>39</v>
      </c>
      <c r="I52" s="26" t="s">
        <v>313</v>
      </c>
      <c r="J52" s="11" t="str">
        <f>VLOOKUP(K52,'PN Dictionary'!A:B,2,FALSE)</f>
        <v>Cable Cartridge</v>
      </c>
      <c r="K52" s="26" t="s">
        <v>6</v>
      </c>
      <c r="L52" s="44">
        <v>1823325356876</v>
      </c>
      <c r="M52" s="26">
        <v>1822825354954</v>
      </c>
      <c r="N52" s="26" t="s">
        <v>53</v>
      </c>
      <c r="O52" s="26" t="s">
        <v>54</v>
      </c>
      <c r="P52" s="26">
        <v>3600</v>
      </c>
      <c r="Q52" s="26" t="s">
        <v>55</v>
      </c>
    </row>
    <row r="53" spans="1:17" hidden="1" x14ac:dyDescent="0.3">
      <c r="A53" s="26" t="s">
        <v>356</v>
      </c>
      <c r="B53" s="26" t="s">
        <v>357</v>
      </c>
      <c r="C53" s="26" t="s">
        <v>50</v>
      </c>
      <c r="D53" s="26" t="s">
        <v>340</v>
      </c>
      <c r="E53" s="26" t="s">
        <v>52</v>
      </c>
      <c r="G53" s="26" t="s">
        <v>301</v>
      </c>
      <c r="H53" s="26" t="s">
        <v>39</v>
      </c>
      <c r="I53" s="26" t="s">
        <v>358</v>
      </c>
      <c r="J53" s="11" t="str">
        <f>VLOOKUP(K53,'PN Dictionary'!A:B,2,FALSE)</f>
        <v>GB300 L10</v>
      </c>
      <c r="K53" s="26" t="s">
        <v>36</v>
      </c>
      <c r="L53" s="44" t="s">
        <v>1435</v>
      </c>
      <c r="M53" s="26" t="s">
        <v>359</v>
      </c>
      <c r="N53" s="26" t="s">
        <v>53</v>
      </c>
      <c r="O53" s="26" t="s">
        <v>54</v>
      </c>
      <c r="P53" s="26">
        <v>3600</v>
      </c>
      <c r="Q53" s="26" t="s">
        <v>55</v>
      </c>
    </row>
    <row r="54" spans="1:17" hidden="1" x14ac:dyDescent="0.3">
      <c r="A54" s="26" t="s">
        <v>298</v>
      </c>
      <c r="B54" s="26" t="s">
        <v>299</v>
      </c>
      <c r="C54" s="26" t="s">
        <v>50</v>
      </c>
      <c r="D54" s="26" t="s">
        <v>300</v>
      </c>
      <c r="E54" s="26" t="s">
        <v>81</v>
      </c>
      <c r="G54" s="26" t="s">
        <v>301</v>
      </c>
      <c r="H54" s="26" t="s">
        <v>39</v>
      </c>
      <c r="I54" s="26" t="s">
        <v>302</v>
      </c>
      <c r="J54" s="11" t="str">
        <f>VLOOKUP(K54,'PN Dictionary'!A:B,2,FALSE)</f>
        <v>GB300 L10</v>
      </c>
      <c r="K54" s="26" t="s">
        <v>36</v>
      </c>
      <c r="L54" s="44" t="s">
        <v>1422</v>
      </c>
      <c r="M54" s="26" t="s">
        <v>303</v>
      </c>
      <c r="N54" s="26" t="s">
        <v>53</v>
      </c>
      <c r="O54" s="26" t="s">
        <v>54</v>
      </c>
      <c r="P54" s="26">
        <v>3600</v>
      </c>
      <c r="Q54" s="26" t="s">
        <v>55</v>
      </c>
    </row>
    <row r="55" spans="1:17" hidden="1" x14ac:dyDescent="0.3">
      <c r="A55" s="26" t="s">
        <v>351</v>
      </c>
      <c r="B55" s="26" t="s">
        <v>352</v>
      </c>
      <c r="C55" s="26" t="s">
        <v>50</v>
      </c>
      <c r="D55" s="26" t="s">
        <v>306</v>
      </c>
      <c r="E55" s="26" t="s">
        <v>242</v>
      </c>
      <c r="G55" s="26" t="s">
        <v>301</v>
      </c>
      <c r="H55" s="26" t="s">
        <v>39</v>
      </c>
      <c r="I55" s="26" t="s">
        <v>243</v>
      </c>
      <c r="J55" s="11" t="str">
        <f>VLOOKUP(K55,'PN Dictionary'!A:B,2,FALSE)</f>
        <v>Delta power shelf right input</v>
      </c>
      <c r="K55" s="26" t="s">
        <v>360</v>
      </c>
      <c r="L55" s="44" t="s">
        <v>354</v>
      </c>
      <c r="M55" s="26" t="s">
        <v>355</v>
      </c>
      <c r="N55" s="26" t="s">
        <v>53</v>
      </c>
      <c r="O55" s="26" t="s">
        <v>54</v>
      </c>
      <c r="P55" s="26">
        <v>1348</v>
      </c>
      <c r="Q55" s="26" t="s">
        <v>55</v>
      </c>
    </row>
    <row r="56" spans="1:17" hidden="1" x14ac:dyDescent="0.3">
      <c r="A56" s="26" t="s">
        <v>319</v>
      </c>
      <c r="B56" s="26" t="s">
        <v>320</v>
      </c>
      <c r="C56" s="26" t="s">
        <v>50</v>
      </c>
      <c r="D56" s="26" t="s">
        <v>321</v>
      </c>
      <c r="E56" s="26" t="s">
        <v>322</v>
      </c>
      <c r="G56" s="26" t="s">
        <v>301</v>
      </c>
      <c r="H56" s="26" t="s">
        <v>39</v>
      </c>
      <c r="I56" s="26" t="s">
        <v>323</v>
      </c>
      <c r="J56" s="11" t="str">
        <f>VLOOKUP(K56,'PN Dictionary'!A:B,2,FALSE)</f>
        <v>GB300 L10</v>
      </c>
      <c r="K56" s="26" t="s">
        <v>36</v>
      </c>
      <c r="L56" s="44" t="s">
        <v>1436</v>
      </c>
      <c r="M56" s="26" t="s">
        <v>324</v>
      </c>
      <c r="N56" s="26" t="s">
        <v>53</v>
      </c>
      <c r="O56" s="26" t="s">
        <v>54</v>
      </c>
      <c r="P56" s="26">
        <v>1348</v>
      </c>
      <c r="Q56" s="26" t="s">
        <v>55</v>
      </c>
    </row>
    <row r="57" spans="1:17" hidden="1" x14ac:dyDescent="0.3">
      <c r="A57" s="26" t="s">
        <v>304</v>
      </c>
      <c r="B57" s="26" t="s">
        <v>305</v>
      </c>
      <c r="C57" s="26" t="s">
        <v>50</v>
      </c>
      <c r="D57" s="26" t="s">
        <v>306</v>
      </c>
      <c r="E57" s="26" t="s">
        <v>307</v>
      </c>
      <c r="G57" s="26" t="s">
        <v>301</v>
      </c>
      <c r="H57" s="26" t="s">
        <v>39</v>
      </c>
      <c r="I57" s="26" t="s">
        <v>308</v>
      </c>
      <c r="J57" s="11" t="str">
        <f>VLOOKUP(K57,'PN Dictionary'!A:B,2,FALSE)</f>
        <v>GB300 L10</v>
      </c>
      <c r="K57" s="26" t="s">
        <v>36</v>
      </c>
      <c r="L57" s="44" t="s">
        <v>1437</v>
      </c>
      <c r="M57" s="26" t="s">
        <v>309</v>
      </c>
      <c r="N57" s="26" t="s">
        <v>53</v>
      </c>
      <c r="O57" s="26" t="s">
        <v>54</v>
      </c>
      <c r="P57" s="26">
        <v>1348</v>
      </c>
      <c r="Q57" s="26" t="s">
        <v>55</v>
      </c>
    </row>
    <row r="58" spans="1:17" hidden="1" x14ac:dyDescent="0.3">
      <c r="A58" s="26" t="s">
        <v>325</v>
      </c>
      <c r="B58" s="26" t="s">
        <v>326</v>
      </c>
      <c r="C58" s="26" t="s">
        <v>50</v>
      </c>
      <c r="D58" s="26" t="s">
        <v>327</v>
      </c>
      <c r="E58" s="26" t="s">
        <v>81</v>
      </c>
      <c r="G58" s="26" t="s">
        <v>301</v>
      </c>
      <c r="H58" s="26" t="s">
        <v>39</v>
      </c>
      <c r="I58" s="26" t="s">
        <v>328</v>
      </c>
      <c r="J58" s="11" t="str">
        <f>VLOOKUP(K58,'PN Dictionary'!A:B,2,FALSE)</f>
        <v>GB300 L10</v>
      </c>
      <c r="K58" s="26" t="s">
        <v>36</v>
      </c>
      <c r="L58" s="44" t="s">
        <v>1438</v>
      </c>
      <c r="M58" s="26" t="s">
        <v>329</v>
      </c>
      <c r="N58" s="26" t="s">
        <v>53</v>
      </c>
      <c r="O58" s="26" t="s">
        <v>54</v>
      </c>
      <c r="P58" s="26">
        <v>1348</v>
      </c>
      <c r="Q58" s="26" t="s">
        <v>55</v>
      </c>
    </row>
    <row r="59" spans="1:17" hidden="1" x14ac:dyDescent="0.3">
      <c r="A59" s="26" t="s">
        <v>338</v>
      </c>
      <c r="B59" s="26" t="s">
        <v>339</v>
      </c>
      <c r="C59" s="26" t="s">
        <v>50</v>
      </c>
      <c r="D59" s="26" t="s">
        <v>340</v>
      </c>
      <c r="E59" s="26" t="s">
        <v>81</v>
      </c>
      <c r="G59" s="26" t="s">
        <v>301</v>
      </c>
      <c r="H59" s="26" t="s">
        <v>39</v>
      </c>
      <c r="I59" s="26" t="s">
        <v>328</v>
      </c>
      <c r="J59" s="11" t="str">
        <f>VLOOKUP(K59,'PN Dictionary'!A:B,2,FALSE)</f>
        <v>GB300 L10</v>
      </c>
      <c r="K59" s="26" t="s">
        <v>36</v>
      </c>
      <c r="L59" s="44" t="s">
        <v>1424</v>
      </c>
      <c r="M59" s="26" t="s">
        <v>341</v>
      </c>
      <c r="N59" s="26" t="s">
        <v>53</v>
      </c>
      <c r="O59" s="26" t="s">
        <v>54</v>
      </c>
      <c r="P59" s="26">
        <v>1348</v>
      </c>
      <c r="Q59" s="26" t="s">
        <v>55</v>
      </c>
    </row>
    <row r="60" spans="1:17" hidden="1" x14ac:dyDescent="0.3">
      <c r="A60" s="26" t="s">
        <v>366</v>
      </c>
      <c r="B60" s="26" t="s">
        <v>367</v>
      </c>
      <c r="C60" s="26" t="s">
        <v>50</v>
      </c>
      <c r="D60" s="26" t="s">
        <v>368</v>
      </c>
      <c r="E60" s="26" t="s">
        <v>128</v>
      </c>
      <c r="G60" s="26" t="s">
        <v>369</v>
      </c>
      <c r="H60" s="26" t="s">
        <v>39</v>
      </c>
      <c r="I60" s="26" t="s">
        <v>370</v>
      </c>
      <c r="J60" s="11" t="str">
        <f>VLOOKUP(K60,'PN Dictionary'!A:B,2,FALSE)</f>
        <v>Cable Cartridge</v>
      </c>
      <c r="K60" s="26" t="s">
        <v>6</v>
      </c>
      <c r="L60" s="44">
        <v>1822825356764</v>
      </c>
      <c r="M60" s="26">
        <v>1822825356131</v>
      </c>
      <c r="N60" s="26" t="s">
        <v>53</v>
      </c>
      <c r="O60" s="26" t="s">
        <v>54</v>
      </c>
      <c r="P60" s="26">
        <v>1348</v>
      </c>
      <c r="Q60" s="26" t="s">
        <v>55</v>
      </c>
    </row>
    <row r="61" spans="1:17" hidden="1" x14ac:dyDescent="0.3">
      <c r="A61" s="26" t="s">
        <v>371</v>
      </c>
      <c r="B61" s="26" t="s">
        <v>372</v>
      </c>
      <c r="C61" s="26" t="s">
        <v>50</v>
      </c>
      <c r="D61" s="26" t="s">
        <v>373</v>
      </c>
      <c r="E61" s="26" t="s">
        <v>374</v>
      </c>
      <c r="G61" s="26" t="s">
        <v>369</v>
      </c>
      <c r="H61" s="26" t="s">
        <v>39</v>
      </c>
      <c r="I61" s="26" t="s">
        <v>375</v>
      </c>
      <c r="J61" s="11" t="str">
        <f>VLOOKUP(K61,'PN Dictionary'!A:B,2,FALSE)</f>
        <v>GB300 L10</v>
      </c>
      <c r="K61" s="26" t="s">
        <v>36</v>
      </c>
      <c r="L61" s="44" t="s">
        <v>1439</v>
      </c>
      <c r="M61" s="26" t="s">
        <v>376</v>
      </c>
      <c r="N61" s="26" t="s">
        <v>53</v>
      </c>
      <c r="O61" s="26" t="s">
        <v>54</v>
      </c>
      <c r="P61" s="26">
        <v>1348</v>
      </c>
      <c r="Q61" s="26" t="s">
        <v>55</v>
      </c>
    </row>
    <row r="62" spans="1:17" hidden="1" x14ac:dyDescent="0.3">
      <c r="A62" s="26" t="s">
        <v>377</v>
      </c>
      <c r="B62" s="26" t="s">
        <v>378</v>
      </c>
      <c r="C62" s="26" t="s">
        <v>50</v>
      </c>
      <c r="D62" s="26" t="s">
        <v>379</v>
      </c>
      <c r="E62" s="26" t="s">
        <v>380</v>
      </c>
      <c r="G62" s="26" t="s">
        <v>369</v>
      </c>
      <c r="H62" s="26" t="s">
        <v>39</v>
      </c>
      <c r="I62" s="26" t="s">
        <v>336</v>
      </c>
      <c r="J62" s="11" t="str">
        <f>VLOOKUP(K62,'PN Dictionary'!A:B,2,FALSE)</f>
        <v>GB300 L10</v>
      </c>
      <c r="K62" s="26" t="s">
        <v>36</v>
      </c>
      <c r="L62" s="44" t="s">
        <v>1440</v>
      </c>
      <c r="M62" s="26" t="s">
        <v>381</v>
      </c>
      <c r="N62" s="26" t="s">
        <v>53</v>
      </c>
      <c r="O62" s="26" t="s">
        <v>54</v>
      </c>
      <c r="P62" s="26">
        <v>1348</v>
      </c>
      <c r="Q62" s="26" t="s">
        <v>55</v>
      </c>
    </row>
    <row r="63" spans="1:17" hidden="1" x14ac:dyDescent="0.3">
      <c r="A63" s="26" t="s">
        <v>382</v>
      </c>
      <c r="B63" s="26" t="s">
        <v>386</v>
      </c>
      <c r="C63" s="26" t="s">
        <v>50</v>
      </c>
      <c r="D63" s="26" t="s">
        <v>383</v>
      </c>
      <c r="E63" s="26" t="s">
        <v>374</v>
      </c>
      <c r="G63" s="26" t="s">
        <v>369</v>
      </c>
      <c r="H63" s="26" t="s">
        <v>39</v>
      </c>
      <c r="I63" s="26" t="s">
        <v>384</v>
      </c>
      <c r="J63" s="11" t="str">
        <f>VLOOKUP(K63,'PN Dictionary'!A:B,2,FALSE)</f>
        <v>GB300 L10</v>
      </c>
      <c r="K63" s="26" t="s">
        <v>36</v>
      </c>
      <c r="L63" s="44" t="s">
        <v>1441</v>
      </c>
      <c r="M63" s="26" t="s">
        <v>385</v>
      </c>
      <c r="N63" s="26" t="s">
        <v>53</v>
      </c>
      <c r="O63" s="26" t="s">
        <v>54</v>
      </c>
      <c r="P63" s="26">
        <v>1348</v>
      </c>
      <c r="Q63" s="26" t="s">
        <v>55</v>
      </c>
    </row>
    <row r="64" spans="1:17" hidden="1" x14ac:dyDescent="0.3">
      <c r="A64" s="26" t="s">
        <v>387</v>
      </c>
      <c r="B64" s="26" t="s">
        <v>388</v>
      </c>
      <c r="C64" s="26" t="s">
        <v>50</v>
      </c>
      <c r="D64" s="26" t="s">
        <v>379</v>
      </c>
      <c r="E64" s="26" t="s">
        <v>230</v>
      </c>
      <c r="G64" s="26" t="s">
        <v>369</v>
      </c>
      <c r="H64" s="26" t="s">
        <v>39</v>
      </c>
      <c r="I64" s="26" t="s">
        <v>238</v>
      </c>
      <c r="J64" s="11" t="str">
        <f>VLOOKUP(K64,'PN Dictionary'!A:B,2,FALSE)</f>
        <v>NVSwitch</v>
      </c>
      <c r="K64" s="26" t="s">
        <v>7</v>
      </c>
      <c r="L64" s="44" t="s">
        <v>389</v>
      </c>
      <c r="M64" s="26" t="s">
        <v>390</v>
      </c>
      <c r="N64" s="26" t="s">
        <v>53</v>
      </c>
      <c r="O64" s="26" t="s">
        <v>54</v>
      </c>
      <c r="P64" s="26">
        <v>1348</v>
      </c>
      <c r="Q64" s="26" t="s">
        <v>55</v>
      </c>
    </row>
    <row r="65" spans="1:17" hidden="1" x14ac:dyDescent="0.3">
      <c r="A65" s="26" t="s">
        <v>391</v>
      </c>
      <c r="B65" s="26" t="s">
        <v>392</v>
      </c>
      <c r="C65" s="26" t="s">
        <v>50</v>
      </c>
      <c r="D65" s="26" t="s">
        <v>296</v>
      </c>
      <c r="E65" s="26" t="s">
        <v>128</v>
      </c>
      <c r="G65" s="26" t="s">
        <v>369</v>
      </c>
      <c r="H65" s="26" t="s">
        <v>39</v>
      </c>
      <c r="I65" s="26" t="s">
        <v>393</v>
      </c>
      <c r="J65" s="11" t="str">
        <f>VLOOKUP(K65,'PN Dictionary'!A:B,2,FALSE)</f>
        <v>Cable Cartridge</v>
      </c>
      <c r="K65" s="26" t="s">
        <v>6</v>
      </c>
      <c r="L65" s="44">
        <v>1822825354088</v>
      </c>
      <c r="M65" s="26">
        <v>1822825356961</v>
      </c>
      <c r="N65" s="26" t="s">
        <v>53</v>
      </c>
      <c r="O65" s="26" t="s">
        <v>54</v>
      </c>
      <c r="P65" s="26">
        <v>1348</v>
      </c>
      <c r="Q65" s="26" t="s">
        <v>55</v>
      </c>
    </row>
    <row r="66" spans="1:17" hidden="1" x14ac:dyDescent="0.3">
      <c r="A66" s="26" t="s">
        <v>394</v>
      </c>
      <c r="B66" s="26" t="s">
        <v>395</v>
      </c>
      <c r="C66" s="26" t="s">
        <v>50</v>
      </c>
      <c r="D66" s="26" t="s">
        <v>396</v>
      </c>
      <c r="E66" s="26" t="s">
        <v>81</v>
      </c>
      <c r="G66" s="26" t="s">
        <v>397</v>
      </c>
      <c r="H66" s="26" t="s">
        <v>39</v>
      </c>
      <c r="I66" s="26" t="s">
        <v>398</v>
      </c>
      <c r="J66" s="11" t="str">
        <f>VLOOKUP(K66,'PN Dictionary'!A:B,2,FALSE)</f>
        <v>GB300 L10</v>
      </c>
      <c r="K66" s="26" t="s">
        <v>36</v>
      </c>
      <c r="L66" s="44" t="s">
        <v>1442</v>
      </c>
      <c r="M66" s="26" t="s">
        <v>399</v>
      </c>
      <c r="N66" s="26" t="s">
        <v>53</v>
      </c>
      <c r="O66" s="26" t="s">
        <v>54</v>
      </c>
      <c r="P66" s="26">
        <v>1348</v>
      </c>
      <c r="Q66" s="26" t="s">
        <v>55</v>
      </c>
    </row>
    <row r="67" spans="1:17" hidden="1" x14ac:dyDescent="0.3">
      <c r="A67" s="26" t="s">
        <v>400</v>
      </c>
      <c r="B67" s="26" t="s">
        <v>401</v>
      </c>
      <c r="C67" s="26" t="s">
        <v>50</v>
      </c>
      <c r="D67" s="26" t="s">
        <v>379</v>
      </c>
      <c r="E67" s="26" t="s">
        <v>52</v>
      </c>
      <c r="G67" s="26" t="s">
        <v>397</v>
      </c>
      <c r="H67" s="26" t="s">
        <v>39</v>
      </c>
      <c r="I67" s="26" t="s">
        <v>402</v>
      </c>
      <c r="J67" s="11" t="str">
        <f>VLOOKUP(K67,'PN Dictionary'!A:B,2,FALSE)</f>
        <v>GB300 L10</v>
      </c>
      <c r="K67" s="26" t="s">
        <v>36</v>
      </c>
      <c r="L67" s="44" t="s">
        <v>1443</v>
      </c>
      <c r="M67" s="26" t="s">
        <v>403</v>
      </c>
      <c r="N67" s="26" t="s">
        <v>53</v>
      </c>
      <c r="O67" s="26" t="s">
        <v>54</v>
      </c>
      <c r="P67" s="26">
        <v>3839</v>
      </c>
      <c r="Q67" s="26" t="s">
        <v>55</v>
      </c>
    </row>
    <row r="68" spans="1:17" hidden="1" x14ac:dyDescent="0.3">
      <c r="A68" s="26" t="s">
        <v>404</v>
      </c>
      <c r="B68" s="26" t="s">
        <v>405</v>
      </c>
      <c r="C68" s="26" t="s">
        <v>50</v>
      </c>
      <c r="D68" s="26" t="s">
        <v>406</v>
      </c>
      <c r="E68" s="26" t="s">
        <v>52</v>
      </c>
      <c r="G68" s="26" t="s">
        <v>397</v>
      </c>
      <c r="H68" s="26" t="s">
        <v>39</v>
      </c>
      <c r="I68" s="26" t="s">
        <v>407</v>
      </c>
      <c r="J68" s="11" t="str">
        <f>VLOOKUP(K68,'PN Dictionary'!A:B,2,FALSE)</f>
        <v>GB300 L10</v>
      </c>
      <c r="K68" s="26" t="s">
        <v>36</v>
      </c>
      <c r="L68" s="44" t="s">
        <v>1411</v>
      </c>
      <c r="M68" s="26" t="s">
        <v>408</v>
      </c>
      <c r="N68" s="26" t="s">
        <v>53</v>
      </c>
      <c r="O68" s="26" t="s">
        <v>54</v>
      </c>
      <c r="P68" s="26">
        <v>3600</v>
      </c>
      <c r="Q68" s="26" t="s">
        <v>55</v>
      </c>
    </row>
    <row r="69" spans="1:17" hidden="1" x14ac:dyDescent="0.3">
      <c r="A69" s="26" t="s">
        <v>409</v>
      </c>
      <c r="B69" s="26" t="s">
        <v>410</v>
      </c>
      <c r="C69" s="26" t="s">
        <v>50</v>
      </c>
      <c r="D69" s="26" t="s">
        <v>406</v>
      </c>
      <c r="E69" s="26" t="s">
        <v>411</v>
      </c>
      <c r="G69" s="26" t="s">
        <v>412</v>
      </c>
      <c r="H69" s="26" t="s">
        <v>39</v>
      </c>
      <c r="I69" s="26" t="s">
        <v>413</v>
      </c>
      <c r="J69" s="11" t="str">
        <f>VLOOKUP(K69,'PN Dictionary'!A:B,2,FALSE)</f>
        <v>NVSwitch</v>
      </c>
      <c r="K69" s="26" t="s">
        <v>7</v>
      </c>
      <c r="L69" s="44" t="s">
        <v>414</v>
      </c>
      <c r="M69" s="26" t="s">
        <v>415</v>
      </c>
      <c r="N69" s="26" t="s">
        <v>53</v>
      </c>
      <c r="O69" s="26" t="s">
        <v>54</v>
      </c>
      <c r="P69" s="26">
        <v>3839</v>
      </c>
      <c r="Q69" s="26" t="s">
        <v>55</v>
      </c>
    </row>
    <row r="70" spans="1:17" hidden="1" x14ac:dyDescent="0.3">
      <c r="A70" s="26" t="s">
        <v>416</v>
      </c>
      <c r="B70" s="26" t="s">
        <v>417</v>
      </c>
      <c r="C70" s="26" t="s">
        <v>50</v>
      </c>
      <c r="D70" s="26" t="s">
        <v>418</v>
      </c>
      <c r="E70" s="26" t="s">
        <v>81</v>
      </c>
      <c r="G70" s="26" t="s">
        <v>412</v>
      </c>
      <c r="H70" s="26" t="s">
        <v>39</v>
      </c>
      <c r="I70" s="26" t="s">
        <v>419</v>
      </c>
      <c r="J70" s="11" t="str">
        <f>VLOOKUP(K70,'PN Dictionary'!A:B,2,FALSE)</f>
        <v>GB300 L10</v>
      </c>
      <c r="K70" s="26" t="s">
        <v>36</v>
      </c>
      <c r="L70" s="44" t="s">
        <v>1444</v>
      </c>
      <c r="M70" s="26" t="s">
        <v>420</v>
      </c>
      <c r="N70" s="26" t="s">
        <v>53</v>
      </c>
      <c r="O70" s="26" t="s">
        <v>54</v>
      </c>
      <c r="P70" s="26">
        <v>3600</v>
      </c>
      <c r="Q70" s="26" t="s">
        <v>55</v>
      </c>
    </row>
    <row r="71" spans="1:17" hidden="1" x14ac:dyDescent="0.3">
      <c r="A71" s="26" t="s">
        <v>421</v>
      </c>
      <c r="B71" s="26" t="s">
        <v>422</v>
      </c>
      <c r="C71" s="26" t="s">
        <v>50</v>
      </c>
      <c r="D71" s="26" t="s">
        <v>296</v>
      </c>
      <c r="E71" s="26" t="s">
        <v>374</v>
      </c>
      <c r="G71" s="26" t="s">
        <v>412</v>
      </c>
      <c r="H71" s="26" t="s">
        <v>39</v>
      </c>
      <c r="I71" s="26" t="s">
        <v>423</v>
      </c>
      <c r="J71" s="11" t="str">
        <f>VLOOKUP(K71,'PN Dictionary'!A:B,2,FALSE)</f>
        <v>NVSwitch</v>
      </c>
      <c r="K71" s="26" t="s">
        <v>7</v>
      </c>
      <c r="L71" s="44" t="s">
        <v>424</v>
      </c>
      <c r="M71" s="26" t="s">
        <v>425</v>
      </c>
      <c r="N71" s="26" t="s">
        <v>53</v>
      </c>
      <c r="O71" s="26" t="s">
        <v>54</v>
      </c>
      <c r="P71" s="26">
        <v>3600</v>
      </c>
      <c r="Q71" s="26" t="s">
        <v>55</v>
      </c>
    </row>
    <row r="72" spans="1:17" hidden="1" x14ac:dyDescent="0.3">
      <c r="A72" s="26" t="s">
        <v>426</v>
      </c>
      <c r="B72" s="26" t="s">
        <v>427</v>
      </c>
      <c r="C72" s="26" t="s">
        <v>50</v>
      </c>
      <c r="D72" s="26" t="s">
        <v>428</v>
      </c>
      <c r="E72" s="26" t="s">
        <v>128</v>
      </c>
      <c r="G72" s="26" t="s">
        <v>412</v>
      </c>
      <c r="H72" s="26" t="s">
        <v>39</v>
      </c>
      <c r="I72" s="26" t="s">
        <v>429</v>
      </c>
      <c r="J72" s="11" t="str">
        <f>VLOOKUP(K72,'PN Dictionary'!A:B,2,FALSE)</f>
        <v>Cable Cartridge</v>
      </c>
      <c r="K72" s="26" t="s">
        <v>6</v>
      </c>
      <c r="L72" s="44">
        <v>1822825356687</v>
      </c>
      <c r="M72" s="26">
        <v>1822825354088</v>
      </c>
      <c r="N72" s="26" t="s">
        <v>53</v>
      </c>
      <c r="O72" s="26" t="s">
        <v>54</v>
      </c>
      <c r="P72" s="26">
        <v>3600</v>
      </c>
      <c r="Q72" s="26" t="s">
        <v>55</v>
      </c>
    </row>
    <row r="73" spans="1:17" hidden="1" x14ac:dyDescent="0.3">
      <c r="A73" s="26" t="s">
        <v>430</v>
      </c>
      <c r="B73" s="26" t="s">
        <v>431</v>
      </c>
      <c r="C73" s="26" t="s">
        <v>50</v>
      </c>
      <c r="D73" s="26" t="s">
        <v>406</v>
      </c>
      <c r="E73" s="26" t="s">
        <v>52</v>
      </c>
      <c r="G73" s="26" t="s">
        <v>412</v>
      </c>
      <c r="H73" s="26" t="s">
        <v>39</v>
      </c>
      <c r="I73" s="26" t="s">
        <v>432</v>
      </c>
      <c r="J73" s="11" t="str">
        <f>VLOOKUP(K73,'PN Dictionary'!A:B,2,FALSE)</f>
        <v>GB300 L10</v>
      </c>
      <c r="K73" s="26" t="s">
        <v>36</v>
      </c>
      <c r="L73" s="44" t="s">
        <v>1445</v>
      </c>
      <c r="M73" s="26" t="s">
        <v>433</v>
      </c>
      <c r="N73" s="26" t="s">
        <v>53</v>
      </c>
      <c r="O73" s="26" t="s">
        <v>54</v>
      </c>
      <c r="P73" s="26">
        <v>3839</v>
      </c>
      <c r="Q73" s="26" t="s">
        <v>55</v>
      </c>
    </row>
    <row r="74" spans="1:17" hidden="1" x14ac:dyDescent="0.3">
      <c r="A74" s="26" t="s">
        <v>434</v>
      </c>
      <c r="B74" s="26" t="s">
        <v>435</v>
      </c>
      <c r="C74" s="26" t="s">
        <v>50</v>
      </c>
      <c r="D74" s="26" t="s">
        <v>296</v>
      </c>
      <c r="E74" s="26" t="s">
        <v>81</v>
      </c>
      <c r="G74" s="26" t="s">
        <v>412</v>
      </c>
      <c r="H74" s="26" t="s">
        <v>39</v>
      </c>
      <c r="I74" s="26" t="s">
        <v>436</v>
      </c>
      <c r="J74" s="11" t="str">
        <f>VLOOKUP(K74,'PN Dictionary'!A:B,2,FALSE)</f>
        <v>GB300 L10</v>
      </c>
      <c r="K74" s="26" t="s">
        <v>36</v>
      </c>
      <c r="L74" s="44" t="s">
        <v>1446</v>
      </c>
      <c r="M74" s="26" t="s">
        <v>437</v>
      </c>
      <c r="N74" s="26" t="s">
        <v>53</v>
      </c>
      <c r="O74" s="26" t="s">
        <v>54</v>
      </c>
      <c r="P74" s="26">
        <v>3600</v>
      </c>
      <c r="Q74" s="26" t="s">
        <v>55</v>
      </c>
    </row>
    <row r="75" spans="1:17" hidden="1" x14ac:dyDescent="0.3">
      <c r="A75" s="26" t="s">
        <v>439</v>
      </c>
      <c r="B75" s="26" t="s">
        <v>440</v>
      </c>
      <c r="C75" s="26" t="s">
        <v>50</v>
      </c>
      <c r="D75" s="26" t="s">
        <v>441</v>
      </c>
      <c r="E75" s="26" t="s">
        <v>128</v>
      </c>
      <c r="G75" s="26" t="s">
        <v>412</v>
      </c>
      <c r="H75" s="26" t="s">
        <v>39</v>
      </c>
      <c r="I75" s="26" t="s">
        <v>442</v>
      </c>
      <c r="J75" s="11" t="str">
        <f>VLOOKUP(K75,'PN Dictionary'!A:B,2,FALSE)</f>
        <v>Cable Cartridge</v>
      </c>
      <c r="K75" s="26" t="s">
        <v>6</v>
      </c>
      <c r="L75" s="44">
        <v>1822825356960</v>
      </c>
      <c r="M75" s="26">
        <v>1822825356737</v>
      </c>
      <c r="N75" s="26" t="s">
        <v>53</v>
      </c>
      <c r="O75" s="26" t="s">
        <v>54</v>
      </c>
      <c r="P75" s="26">
        <v>1348</v>
      </c>
      <c r="Q75" s="26" t="s">
        <v>55</v>
      </c>
    </row>
    <row r="76" spans="1:17" hidden="1" x14ac:dyDescent="0.3">
      <c r="A76" s="26" t="s">
        <v>443</v>
      </c>
      <c r="B76" s="26" t="s">
        <v>444</v>
      </c>
      <c r="C76" s="26" t="s">
        <v>50</v>
      </c>
      <c r="D76" s="26" t="s">
        <v>445</v>
      </c>
      <c r="E76" s="26" t="s">
        <v>128</v>
      </c>
      <c r="G76" s="26" t="s">
        <v>412</v>
      </c>
      <c r="H76" s="26" t="s">
        <v>39</v>
      </c>
      <c r="I76" s="26" t="s">
        <v>446</v>
      </c>
      <c r="J76" s="11" t="str">
        <f>VLOOKUP(K76,'PN Dictionary'!A:B,2,FALSE)</f>
        <v>Cable Cartridge</v>
      </c>
      <c r="K76" s="26" t="s">
        <v>6</v>
      </c>
      <c r="L76" s="44">
        <v>1822825356416</v>
      </c>
      <c r="M76" s="26">
        <v>1822825356737</v>
      </c>
      <c r="N76" s="26" t="s">
        <v>53</v>
      </c>
      <c r="O76" s="26" t="s">
        <v>54</v>
      </c>
      <c r="P76" s="26">
        <v>1348</v>
      </c>
      <c r="Q76" s="26" t="s">
        <v>55</v>
      </c>
    </row>
    <row r="77" spans="1:17" hidden="1" x14ac:dyDescent="0.3">
      <c r="A77" s="26" t="s">
        <v>447</v>
      </c>
      <c r="B77" s="26" t="s">
        <v>448</v>
      </c>
      <c r="C77" s="26" t="s">
        <v>50</v>
      </c>
      <c r="D77" s="26" t="s">
        <v>449</v>
      </c>
      <c r="E77" s="26" t="s">
        <v>52</v>
      </c>
      <c r="G77" s="26" t="s">
        <v>450</v>
      </c>
      <c r="H77" s="26" t="s">
        <v>39</v>
      </c>
      <c r="I77" s="26" t="s">
        <v>451</v>
      </c>
      <c r="J77" s="11" t="str">
        <f>VLOOKUP(K77,'PN Dictionary'!A:B,2,FALSE)</f>
        <v>GB300 L10</v>
      </c>
      <c r="K77" s="26" t="s">
        <v>36</v>
      </c>
      <c r="L77" s="44" t="s">
        <v>1447</v>
      </c>
      <c r="M77" s="26" t="s">
        <v>452</v>
      </c>
      <c r="N77" s="26" t="s">
        <v>53</v>
      </c>
      <c r="O77" s="26" t="s">
        <v>54</v>
      </c>
      <c r="P77" s="26">
        <v>3839</v>
      </c>
      <c r="Q77" s="26" t="s">
        <v>55</v>
      </c>
    </row>
    <row r="78" spans="1:17" hidden="1" x14ac:dyDescent="0.3">
      <c r="A78" s="26" t="s">
        <v>453</v>
      </c>
      <c r="B78" s="26" t="s">
        <v>454</v>
      </c>
      <c r="C78" s="26" t="s">
        <v>50</v>
      </c>
      <c r="D78" s="26" t="s">
        <v>455</v>
      </c>
      <c r="E78" s="26" t="s">
        <v>52</v>
      </c>
      <c r="G78" s="26" t="s">
        <v>450</v>
      </c>
      <c r="H78" s="26" t="s">
        <v>39</v>
      </c>
      <c r="I78" s="26" t="s">
        <v>456</v>
      </c>
      <c r="J78" s="11" t="str">
        <f>VLOOKUP(K78,'PN Dictionary'!A:B,2,FALSE)</f>
        <v>GB300 L10</v>
      </c>
      <c r="K78" s="26" t="s">
        <v>36</v>
      </c>
      <c r="L78" s="44" t="s">
        <v>1448</v>
      </c>
      <c r="M78" s="26" t="s">
        <v>457</v>
      </c>
      <c r="N78" s="26" t="s">
        <v>53</v>
      </c>
      <c r="O78" s="26" t="s">
        <v>54</v>
      </c>
      <c r="P78" s="26">
        <v>3839</v>
      </c>
      <c r="Q78" s="26" t="s">
        <v>55</v>
      </c>
    </row>
    <row r="79" spans="1:17" hidden="1" x14ac:dyDescent="0.3">
      <c r="A79" s="26" t="s">
        <v>458</v>
      </c>
      <c r="B79" s="26" t="s">
        <v>459</v>
      </c>
      <c r="C79" s="26" t="s">
        <v>50</v>
      </c>
      <c r="D79" s="26" t="s">
        <v>441</v>
      </c>
      <c r="E79" s="26" t="s">
        <v>81</v>
      </c>
      <c r="G79" s="26" t="s">
        <v>450</v>
      </c>
      <c r="H79" s="26" t="s">
        <v>39</v>
      </c>
      <c r="I79" s="26" t="s">
        <v>460</v>
      </c>
      <c r="J79" s="11" t="str">
        <f>VLOOKUP(K79,'PN Dictionary'!A:B,2,FALSE)</f>
        <v>GB300 L10</v>
      </c>
      <c r="K79" s="26" t="s">
        <v>36</v>
      </c>
      <c r="L79" s="44" t="s">
        <v>1449</v>
      </c>
      <c r="M79" s="26" t="s">
        <v>461</v>
      </c>
      <c r="N79" s="26" t="s">
        <v>53</v>
      </c>
      <c r="O79" s="26" t="s">
        <v>54</v>
      </c>
      <c r="P79" s="26">
        <v>3839</v>
      </c>
      <c r="Q79" s="26" t="s">
        <v>55</v>
      </c>
    </row>
    <row r="80" spans="1:17" hidden="1" x14ac:dyDescent="0.3">
      <c r="A80" s="26" t="s">
        <v>462</v>
      </c>
      <c r="B80" s="26" t="s">
        <v>463</v>
      </c>
      <c r="C80" s="26" t="s">
        <v>50</v>
      </c>
      <c r="D80" s="26" t="s">
        <v>428</v>
      </c>
      <c r="E80" s="26" t="s">
        <v>128</v>
      </c>
      <c r="G80" s="26" t="s">
        <v>450</v>
      </c>
      <c r="H80" s="26" t="s">
        <v>39</v>
      </c>
      <c r="I80" s="26" t="s">
        <v>464</v>
      </c>
      <c r="J80" s="11" t="str">
        <f>VLOOKUP(K80,'PN Dictionary'!A:B,2,FALSE)</f>
        <v>Cable Cartridge</v>
      </c>
      <c r="K80" s="26" t="s">
        <v>6</v>
      </c>
      <c r="L80" s="44">
        <v>1822825354088</v>
      </c>
      <c r="M80" s="26">
        <v>1823025355010</v>
      </c>
      <c r="N80" s="26" t="s">
        <v>53</v>
      </c>
      <c r="O80" s="26" t="s">
        <v>54</v>
      </c>
      <c r="P80" s="26">
        <v>1348</v>
      </c>
      <c r="Q80" s="26" t="s">
        <v>55</v>
      </c>
    </row>
    <row r="81" spans="1:17" hidden="1" x14ac:dyDescent="0.3">
      <c r="A81" s="26" t="s">
        <v>465</v>
      </c>
      <c r="B81" s="26" t="s">
        <v>466</v>
      </c>
      <c r="C81" s="26" t="s">
        <v>50</v>
      </c>
      <c r="D81" s="26" t="s">
        <v>455</v>
      </c>
      <c r="E81" s="26" t="s">
        <v>467</v>
      </c>
      <c r="G81" s="26" t="s">
        <v>468</v>
      </c>
      <c r="H81" s="26" t="s">
        <v>39</v>
      </c>
      <c r="I81" s="26" t="s">
        <v>469</v>
      </c>
      <c r="J81" s="11" t="str">
        <f>VLOOKUP(K81,'PN Dictionary'!A:B,2,FALSE)</f>
        <v>GB300 L10</v>
      </c>
      <c r="K81" s="26" t="s">
        <v>36</v>
      </c>
      <c r="L81" s="44" t="s">
        <v>1450</v>
      </c>
      <c r="M81" s="26" t="s">
        <v>470</v>
      </c>
      <c r="N81" s="26" t="s">
        <v>53</v>
      </c>
      <c r="O81" s="26" t="s">
        <v>54</v>
      </c>
      <c r="P81" s="26">
        <v>1348</v>
      </c>
      <c r="Q81" s="26" t="s">
        <v>55</v>
      </c>
    </row>
    <row r="82" spans="1:17" hidden="1" x14ac:dyDescent="0.3">
      <c r="A82" s="26" t="s">
        <v>471</v>
      </c>
      <c r="B82" s="26" t="s">
        <v>472</v>
      </c>
      <c r="C82" s="26" t="s">
        <v>50</v>
      </c>
      <c r="D82" s="26" t="s">
        <v>473</v>
      </c>
      <c r="E82" s="26" t="s">
        <v>307</v>
      </c>
      <c r="G82" s="26" t="s">
        <v>468</v>
      </c>
      <c r="H82" s="26" t="s">
        <v>39</v>
      </c>
      <c r="I82" s="26" t="s">
        <v>100</v>
      </c>
      <c r="J82" s="11" t="str">
        <f>VLOOKUP(K82,'PN Dictionary'!A:B,2,FALSE)</f>
        <v>GB300 L10</v>
      </c>
      <c r="K82" s="26" t="s">
        <v>36</v>
      </c>
      <c r="L82" s="44" t="s">
        <v>1451</v>
      </c>
      <c r="M82" s="26" t="s">
        <v>474</v>
      </c>
      <c r="N82" s="26" t="s">
        <v>53</v>
      </c>
      <c r="O82" s="26" t="s">
        <v>54</v>
      </c>
      <c r="P82" s="26">
        <v>1348</v>
      </c>
      <c r="Q82" s="26" t="s">
        <v>55</v>
      </c>
    </row>
    <row r="83" spans="1:17" hidden="1" x14ac:dyDescent="0.3">
      <c r="A83" s="26" t="s">
        <v>475</v>
      </c>
      <c r="B83" s="26" t="s">
        <v>551</v>
      </c>
      <c r="C83" s="26" t="s">
        <v>50</v>
      </c>
      <c r="D83" s="26" t="s">
        <v>476</v>
      </c>
      <c r="E83" s="26" t="s">
        <v>242</v>
      </c>
      <c r="G83" s="26" t="s">
        <v>468</v>
      </c>
      <c r="H83" s="26" t="s">
        <v>39</v>
      </c>
      <c r="I83" s="26" t="s">
        <v>552</v>
      </c>
      <c r="J83" s="11" t="str">
        <f>VLOOKUP(K83,'PN Dictionary'!A:B,2,FALSE)</f>
        <v>Delta power shelf right input</v>
      </c>
      <c r="K83" s="11" t="s">
        <v>353</v>
      </c>
      <c r="L83" s="44" t="s">
        <v>478</v>
      </c>
      <c r="M83" s="26" t="s">
        <v>553</v>
      </c>
      <c r="N83" s="26" t="s">
        <v>53</v>
      </c>
      <c r="O83" s="26" t="s">
        <v>54</v>
      </c>
      <c r="P83" s="26">
        <v>924</v>
      </c>
      <c r="Q83" s="26" t="s">
        <v>55</v>
      </c>
    </row>
    <row r="84" spans="1:17" hidden="1" x14ac:dyDescent="0.3">
      <c r="A84" s="26" t="s">
        <v>479</v>
      </c>
      <c r="B84" s="26" t="s">
        <v>480</v>
      </c>
      <c r="C84" s="26" t="s">
        <v>50</v>
      </c>
      <c r="D84" s="26" t="s">
        <v>473</v>
      </c>
      <c r="E84" s="26" t="s">
        <v>128</v>
      </c>
      <c r="G84" s="26" t="s">
        <v>468</v>
      </c>
      <c r="H84" s="26" t="s">
        <v>39</v>
      </c>
      <c r="I84" s="26" t="s">
        <v>481</v>
      </c>
      <c r="J84" s="11" t="str">
        <f>VLOOKUP(K84,'PN Dictionary'!A:B,2,FALSE)</f>
        <v>Delta power shelf right input</v>
      </c>
      <c r="K84" s="26" t="s">
        <v>353</v>
      </c>
      <c r="L84" s="44" t="s">
        <v>482</v>
      </c>
      <c r="M84" s="26" t="s">
        <v>483</v>
      </c>
      <c r="N84" s="26" t="s">
        <v>53</v>
      </c>
      <c r="O84" s="26" t="s">
        <v>54</v>
      </c>
      <c r="P84" s="26">
        <v>1237</v>
      </c>
      <c r="Q84" s="26" t="s">
        <v>55</v>
      </c>
    </row>
    <row r="85" spans="1:17" hidden="1" x14ac:dyDescent="0.3">
      <c r="A85" s="26" t="s">
        <v>484</v>
      </c>
      <c r="B85" s="26" t="s">
        <v>485</v>
      </c>
      <c r="C85" s="26" t="s">
        <v>50</v>
      </c>
      <c r="D85" s="26" t="s">
        <v>428</v>
      </c>
      <c r="E85" s="26" t="s">
        <v>128</v>
      </c>
      <c r="G85" s="26" t="s">
        <v>468</v>
      </c>
      <c r="H85" s="26" t="s">
        <v>39</v>
      </c>
      <c r="I85" s="26" t="s">
        <v>486</v>
      </c>
      <c r="J85" s="11" t="str">
        <f>VLOOKUP(K85,'PN Dictionary'!A:B,2,FALSE)</f>
        <v>Cable Cartridge</v>
      </c>
      <c r="K85" s="26" t="s">
        <v>6</v>
      </c>
      <c r="L85" s="44">
        <v>1823025355010</v>
      </c>
      <c r="M85" s="26">
        <v>1823025355066</v>
      </c>
      <c r="N85" s="26" t="s">
        <v>53</v>
      </c>
      <c r="O85" s="26" t="s">
        <v>54</v>
      </c>
      <c r="P85" s="26">
        <v>1237</v>
      </c>
      <c r="Q85" s="26" t="s">
        <v>55</v>
      </c>
    </row>
    <row r="86" spans="1:17" hidden="1" x14ac:dyDescent="0.3">
      <c r="A86" s="26" t="s">
        <v>487</v>
      </c>
      <c r="B86" s="26" t="s">
        <v>488</v>
      </c>
      <c r="C86" s="26" t="s">
        <v>50</v>
      </c>
      <c r="D86" s="26" t="s">
        <v>428</v>
      </c>
      <c r="E86" s="26" t="s">
        <v>81</v>
      </c>
      <c r="G86" s="26" t="s">
        <v>468</v>
      </c>
      <c r="H86" s="26" t="s">
        <v>39</v>
      </c>
      <c r="I86" s="26" t="s">
        <v>489</v>
      </c>
      <c r="J86" s="11" t="str">
        <f>VLOOKUP(K86,'PN Dictionary'!A:B,2,FALSE)</f>
        <v>GB300 L10</v>
      </c>
      <c r="K86" s="26" t="s">
        <v>36</v>
      </c>
      <c r="L86" s="44" t="s">
        <v>1452</v>
      </c>
      <c r="M86" s="26" t="s">
        <v>490</v>
      </c>
      <c r="N86" s="26" t="s">
        <v>53</v>
      </c>
      <c r="O86" s="26" t="s">
        <v>54</v>
      </c>
      <c r="P86" s="26">
        <v>640</v>
      </c>
      <c r="Q86" s="26" t="s">
        <v>55</v>
      </c>
    </row>
    <row r="87" spans="1:17" hidden="1" x14ac:dyDescent="0.3">
      <c r="A87" s="26" t="s">
        <v>491</v>
      </c>
      <c r="B87" s="26" t="s">
        <v>492</v>
      </c>
      <c r="C87" s="26" t="s">
        <v>50</v>
      </c>
      <c r="D87" s="26" t="s">
        <v>493</v>
      </c>
      <c r="E87" s="26" t="s">
        <v>230</v>
      </c>
      <c r="G87" s="26" t="s">
        <v>468</v>
      </c>
      <c r="H87" s="26" t="s">
        <v>39</v>
      </c>
      <c r="I87" s="26" t="s">
        <v>494</v>
      </c>
      <c r="J87" s="11" t="str">
        <f>VLOOKUP(K87,'PN Dictionary'!A:B,2,FALSE)</f>
        <v>NVSwitch</v>
      </c>
      <c r="K87" s="26" t="s">
        <v>7</v>
      </c>
      <c r="L87" s="44" t="s">
        <v>495</v>
      </c>
      <c r="M87" s="26" t="s">
        <v>496</v>
      </c>
      <c r="N87" s="26" t="s">
        <v>53</v>
      </c>
      <c r="O87" s="26" t="s">
        <v>54</v>
      </c>
      <c r="P87" s="26">
        <v>640</v>
      </c>
      <c r="Q87" s="26" t="s">
        <v>55</v>
      </c>
    </row>
    <row r="88" spans="1:17" hidden="1" x14ac:dyDescent="0.3">
      <c r="A88" s="26" t="s">
        <v>497</v>
      </c>
      <c r="B88" s="26" t="s">
        <v>498</v>
      </c>
      <c r="C88" s="26" t="s">
        <v>50</v>
      </c>
      <c r="D88" s="26" t="s">
        <v>499</v>
      </c>
      <c r="E88" s="26" t="s">
        <v>322</v>
      </c>
      <c r="G88" s="26" t="s">
        <v>468</v>
      </c>
      <c r="H88" s="26" t="s">
        <v>39</v>
      </c>
      <c r="I88" s="26" t="s">
        <v>398</v>
      </c>
      <c r="J88" s="11" t="str">
        <f>VLOOKUP(K88,'PN Dictionary'!A:B,2,FALSE)</f>
        <v>GB300 L10</v>
      </c>
      <c r="K88" s="26" t="s">
        <v>36</v>
      </c>
      <c r="L88" s="44" t="s">
        <v>1453</v>
      </c>
      <c r="M88" s="26" t="s">
        <v>500</v>
      </c>
      <c r="N88" s="26" t="s">
        <v>53</v>
      </c>
      <c r="O88" s="26" t="s">
        <v>54</v>
      </c>
      <c r="P88" s="26">
        <v>924</v>
      </c>
      <c r="Q88" s="26" t="s">
        <v>55</v>
      </c>
    </row>
    <row r="89" spans="1:17" hidden="1" x14ac:dyDescent="0.3">
      <c r="A89" s="26" t="s">
        <v>501</v>
      </c>
      <c r="B89" s="26" t="s">
        <v>502</v>
      </c>
      <c r="C89" s="26" t="s">
        <v>50</v>
      </c>
      <c r="D89" s="26" t="s">
        <v>503</v>
      </c>
      <c r="E89" s="26" t="s">
        <v>52</v>
      </c>
      <c r="G89" s="26" t="s">
        <v>468</v>
      </c>
      <c r="H89" s="26" t="s">
        <v>39</v>
      </c>
      <c r="I89" s="26" t="s">
        <v>504</v>
      </c>
      <c r="J89" s="11" t="str">
        <f>VLOOKUP(K89,'PN Dictionary'!A:B,2,FALSE)</f>
        <v>GB300 L10</v>
      </c>
      <c r="K89" s="26" t="s">
        <v>36</v>
      </c>
      <c r="L89" s="44" t="s">
        <v>1454</v>
      </c>
      <c r="M89" s="26" t="s">
        <v>505</v>
      </c>
      <c r="N89" s="26" t="s">
        <v>53</v>
      </c>
      <c r="O89" s="26" t="s">
        <v>54</v>
      </c>
      <c r="P89" s="26">
        <v>640</v>
      </c>
      <c r="Q89" s="26" t="s">
        <v>55</v>
      </c>
    </row>
    <row r="90" spans="1:17" hidden="1" x14ac:dyDescent="0.3">
      <c r="A90" s="26" t="s">
        <v>506</v>
      </c>
      <c r="B90" s="26" t="s">
        <v>507</v>
      </c>
      <c r="C90" s="26" t="s">
        <v>50</v>
      </c>
      <c r="D90" s="26" t="s">
        <v>508</v>
      </c>
      <c r="E90" s="26" t="s">
        <v>128</v>
      </c>
      <c r="G90" s="26" t="s">
        <v>1544</v>
      </c>
      <c r="H90" s="26" t="s">
        <v>39</v>
      </c>
      <c r="I90" s="26" t="s">
        <v>509</v>
      </c>
      <c r="J90" s="11" t="str">
        <f>VLOOKUP(K90,'PN Dictionary'!A:B,2,FALSE)</f>
        <v>Cable Cartridge</v>
      </c>
      <c r="K90" s="26" t="s">
        <v>6</v>
      </c>
      <c r="L90" s="44">
        <v>1823025355017</v>
      </c>
      <c r="M90" s="26">
        <v>1822825355448</v>
      </c>
      <c r="N90" s="26" t="s">
        <v>53</v>
      </c>
      <c r="O90" s="26" t="s">
        <v>54</v>
      </c>
      <c r="P90" s="26">
        <v>1348</v>
      </c>
      <c r="Q90" s="26" t="s">
        <v>55</v>
      </c>
    </row>
    <row r="91" spans="1:17" hidden="1" x14ac:dyDescent="0.3">
      <c r="A91" s="26" t="s">
        <v>510</v>
      </c>
      <c r="B91" s="26" t="s">
        <v>511</v>
      </c>
      <c r="C91" s="26" t="s">
        <v>50</v>
      </c>
      <c r="D91" s="26" t="s">
        <v>406</v>
      </c>
      <c r="E91" s="26" t="s">
        <v>52</v>
      </c>
      <c r="G91" s="26" t="s">
        <v>468</v>
      </c>
      <c r="H91" s="26" t="s">
        <v>39</v>
      </c>
      <c r="I91" s="26" t="s">
        <v>512</v>
      </c>
      <c r="J91" s="11" t="str">
        <f>VLOOKUP(K91,'PN Dictionary'!A:B,2,FALSE)</f>
        <v>GB300 L10</v>
      </c>
      <c r="K91" s="11" t="s">
        <v>36</v>
      </c>
      <c r="L91" s="44" t="s">
        <v>513</v>
      </c>
      <c r="M91" s="26" t="s">
        <v>514</v>
      </c>
      <c r="N91" s="26" t="s">
        <v>53</v>
      </c>
      <c r="O91" s="26" t="s">
        <v>54</v>
      </c>
      <c r="P91" s="26">
        <v>1348</v>
      </c>
      <c r="Q91" s="26" t="s">
        <v>55</v>
      </c>
    </row>
    <row r="92" spans="1:17" hidden="1" x14ac:dyDescent="0.3">
      <c r="A92" s="26" t="s">
        <v>515</v>
      </c>
      <c r="B92" s="26" t="s">
        <v>516</v>
      </c>
      <c r="C92" s="26" t="s">
        <v>50</v>
      </c>
      <c r="D92" s="26" t="s">
        <v>517</v>
      </c>
      <c r="E92" s="26" t="s">
        <v>322</v>
      </c>
      <c r="G92" s="26" t="s">
        <v>468</v>
      </c>
      <c r="H92" s="26" t="s">
        <v>39</v>
      </c>
      <c r="I92" s="26" t="s">
        <v>323</v>
      </c>
      <c r="J92" s="11" t="str">
        <f>VLOOKUP(K92,'PN Dictionary'!A:B,2,FALSE)</f>
        <v>GB300 L10</v>
      </c>
      <c r="K92" s="11" t="s">
        <v>36</v>
      </c>
      <c r="L92" s="44" t="s">
        <v>518</v>
      </c>
      <c r="M92" s="26" t="s">
        <v>519</v>
      </c>
      <c r="N92" s="26" t="s">
        <v>53</v>
      </c>
      <c r="O92" s="26" t="s">
        <v>54</v>
      </c>
      <c r="P92" s="26">
        <v>924</v>
      </c>
      <c r="Q92" s="26" t="s">
        <v>55</v>
      </c>
    </row>
    <row r="93" spans="1:17" hidden="1" x14ac:dyDescent="0.3">
      <c r="A93" s="26" t="s">
        <v>523</v>
      </c>
      <c r="B93" s="26" t="s">
        <v>524</v>
      </c>
      <c r="C93" s="26" t="s">
        <v>50</v>
      </c>
      <c r="D93" s="26" t="s">
        <v>525</v>
      </c>
      <c r="E93" s="26" t="s">
        <v>380</v>
      </c>
      <c r="G93" s="26" t="s">
        <v>521</v>
      </c>
      <c r="H93" s="26" t="s">
        <v>39</v>
      </c>
      <c r="I93" s="26" t="s">
        <v>526</v>
      </c>
      <c r="J93" s="11" t="str">
        <f>VLOOKUP(K93,'PN Dictionary'!A:B,2,FALSE)</f>
        <v>GB300 L10</v>
      </c>
      <c r="K93" s="26" t="s">
        <v>36</v>
      </c>
      <c r="L93" s="44" t="s">
        <v>1455</v>
      </c>
      <c r="M93" s="26" t="s">
        <v>527</v>
      </c>
      <c r="N93" s="26" t="s">
        <v>53</v>
      </c>
      <c r="O93" s="26" t="s">
        <v>54</v>
      </c>
      <c r="P93" s="26">
        <v>1348</v>
      </c>
      <c r="Q93" s="26" t="s">
        <v>55</v>
      </c>
    </row>
    <row r="94" spans="1:17" hidden="1" x14ac:dyDescent="0.3">
      <c r="A94" s="26" t="s">
        <v>528</v>
      </c>
      <c r="B94" s="26" t="s">
        <v>529</v>
      </c>
      <c r="C94" s="26" t="s">
        <v>50</v>
      </c>
      <c r="D94" s="26" t="s">
        <v>530</v>
      </c>
      <c r="E94" s="26" t="s">
        <v>307</v>
      </c>
      <c r="G94" s="26" t="s">
        <v>521</v>
      </c>
      <c r="H94" s="26" t="s">
        <v>39</v>
      </c>
      <c r="I94" s="26" t="s">
        <v>531</v>
      </c>
      <c r="J94" s="11" t="str">
        <f>VLOOKUP(K94,'PN Dictionary'!A:B,2,FALSE)</f>
        <v>GB300 L10</v>
      </c>
      <c r="K94" s="26" t="s">
        <v>36</v>
      </c>
      <c r="L94" s="44" t="s">
        <v>1456</v>
      </c>
      <c r="M94" s="26" t="s">
        <v>532</v>
      </c>
      <c r="N94" s="26" t="s">
        <v>53</v>
      </c>
      <c r="O94" s="26" t="s">
        <v>54</v>
      </c>
      <c r="P94" s="26">
        <v>924</v>
      </c>
      <c r="Q94" s="26" t="s">
        <v>55</v>
      </c>
    </row>
    <row r="95" spans="1:17" hidden="1" x14ac:dyDescent="0.3">
      <c r="A95" s="26" t="s">
        <v>533</v>
      </c>
      <c r="B95" s="26" t="s">
        <v>534</v>
      </c>
      <c r="C95" s="26" t="s">
        <v>50</v>
      </c>
      <c r="D95" s="26" t="s">
        <v>535</v>
      </c>
      <c r="E95" s="26" t="s">
        <v>270</v>
      </c>
      <c r="G95" s="26" t="s">
        <v>521</v>
      </c>
      <c r="H95" s="26" t="s">
        <v>536</v>
      </c>
      <c r="I95" s="26" t="s">
        <v>537</v>
      </c>
      <c r="J95" s="11" t="str">
        <f>VLOOKUP(K95,'PN Dictionary'!A:B,2,FALSE)</f>
        <v>Power Shelf Control Module</v>
      </c>
      <c r="K95" s="26" t="s">
        <v>11</v>
      </c>
      <c r="L95" s="44" t="s">
        <v>538</v>
      </c>
      <c r="M95" s="26" t="s">
        <v>539</v>
      </c>
      <c r="N95" s="26" t="s">
        <v>53</v>
      </c>
      <c r="O95" s="26" t="s">
        <v>54</v>
      </c>
      <c r="P95" s="26">
        <v>640</v>
      </c>
      <c r="Q95" s="26" t="s">
        <v>55</v>
      </c>
    </row>
    <row r="96" spans="1:17" hidden="1" x14ac:dyDescent="0.3">
      <c r="A96" s="26" t="s">
        <v>540</v>
      </c>
      <c r="B96" s="26" t="s">
        <v>554</v>
      </c>
      <c r="C96" s="26" t="s">
        <v>50</v>
      </c>
      <c r="D96" s="26" t="s">
        <v>541</v>
      </c>
      <c r="E96" s="26" t="s">
        <v>242</v>
      </c>
      <c r="G96" s="26" t="s">
        <v>521</v>
      </c>
      <c r="H96" s="26" t="s">
        <v>39</v>
      </c>
      <c r="I96" s="26" t="s">
        <v>477</v>
      </c>
      <c r="J96" s="11" t="str">
        <f>VLOOKUP(K96,'PN Dictionary'!A:B,2,FALSE)</f>
        <v>Delta Power Shelf Left Input</v>
      </c>
      <c r="K96" s="11" t="s">
        <v>10</v>
      </c>
      <c r="L96" s="44" t="s">
        <v>542</v>
      </c>
      <c r="M96" s="26" t="s">
        <v>555</v>
      </c>
      <c r="N96" s="26" t="s">
        <v>53</v>
      </c>
      <c r="O96" s="26" t="s">
        <v>54</v>
      </c>
      <c r="P96" s="26">
        <v>928</v>
      </c>
      <c r="Q96" s="26" t="s">
        <v>55</v>
      </c>
    </row>
    <row r="97" spans="1:17" hidden="1" x14ac:dyDescent="0.3">
      <c r="A97" s="26" t="s">
        <v>543</v>
      </c>
      <c r="B97" s="26" t="s">
        <v>556</v>
      </c>
      <c r="C97" s="26" t="s">
        <v>50</v>
      </c>
      <c r="D97" s="26" t="s">
        <v>544</v>
      </c>
      <c r="E97" s="26" t="s">
        <v>242</v>
      </c>
      <c r="G97" s="26" t="s">
        <v>521</v>
      </c>
      <c r="H97" s="26" t="s">
        <v>39</v>
      </c>
      <c r="I97" s="26" t="s">
        <v>545</v>
      </c>
      <c r="J97" s="11" t="str">
        <f>VLOOKUP(K97,'PN Dictionary'!A:B,2,FALSE)</f>
        <v>Delta power shelf right input</v>
      </c>
      <c r="K97" s="11" t="s">
        <v>353</v>
      </c>
      <c r="L97" s="44" t="s">
        <v>546</v>
      </c>
      <c r="M97" s="26" t="s">
        <v>557</v>
      </c>
      <c r="N97" s="26" t="s">
        <v>53</v>
      </c>
      <c r="O97" s="26" t="s">
        <v>54</v>
      </c>
      <c r="P97" s="26">
        <v>2874</v>
      </c>
      <c r="Q97" s="26" t="s">
        <v>55</v>
      </c>
    </row>
    <row r="98" spans="1:17" hidden="1" x14ac:dyDescent="0.3">
      <c r="A98" s="26" t="s">
        <v>547</v>
      </c>
      <c r="B98" s="26" t="s">
        <v>558</v>
      </c>
      <c r="C98" s="26" t="s">
        <v>50</v>
      </c>
      <c r="D98" s="26" t="s">
        <v>548</v>
      </c>
      <c r="E98" s="26" t="s">
        <v>242</v>
      </c>
      <c r="G98" s="26" t="s">
        <v>521</v>
      </c>
      <c r="H98" s="26" t="s">
        <v>39</v>
      </c>
      <c r="I98" s="26" t="s">
        <v>549</v>
      </c>
      <c r="J98" s="11" t="str">
        <f>VLOOKUP(K98,'PN Dictionary'!A:B,2,FALSE)</f>
        <v>Delta power shelf right input</v>
      </c>
      <c r="K98" s="11" t="s">
        <v>353</v>
      </c>
      <c r="L98" s="44" t="s">
        <v>550</v>
      </c>
      <c r="M98" s="26" t="s">
        <v>548</v>
      </c>
      <c r="N98" s="26" t="s">
        <v>53</v>
      </c>
      <c r="O98" s="26" t="s">
        <v>54</v>
      </c>
      <c r="P98" s="26">
        <v>2874</v>
      </c>
      <c r="Q98" s="26" t="s">
        <v>55</v>
      </c>
    </row>
    <row r="99" spans="1:17" hidden="1" x14ac:dyDescent="0.3">
      <c r="A99" s="26" t="s">
        <v>559</v>
      </c>
      <c r="B99" s="26" t="s">
        <v>560</v>
      </c>
      <c r="C99" s="26" t="s">
        <v>50</v>
      </c>
      <c r="D99" s="26" t="s">
        <v>503</v>
      </c>
      <c r="E99" s="26" t="s">
        <v>128</v>
      </c>
      <c r="G99" s="26" t="s">
        <v>521</v>
      </c>
      <c r="H99" s="26" t="s">
        <v>39</v>
      </c>
      <c r="I99" s="26" t="s">
        <v>205</v>
      </c>
      <c r="J99" s="11" t="str">
        <f>VLOOKUP(K99,'PN Dictionary'!A:B,2,FALSE)</f>
        <v>Cable Cartridge</v>
      </c>
      <c r="K99" s="26" t="s">
        <v>6</v>
      </c>
      <c r="L99" s="44">
        <v>1823025355555</v>
      </c>
      <c r="M99" s="26">
        <v>1822525186527</v>
      </c>
      <c r="N99" s="26" t="s">
        <v>53</v>
      </c>
      <c r="O99" s="26" t="s">
        <v>54</v>
      </c>
      <c r="P99" s="26">
        <v>90131</v>
      </c>
      <c r="Q99" s="26" t="s">
        <v>55</v>
      </c>
    </row>
    <row r="100" spans="1:17" hidden="1" x14ac:dyDescent="0.3">
      <c r="A100" s="26" t="s">
        <v>561</v>
      </c>
      <c r="B100" s="26" t="s">
        <v>562</v>
      </c>
      <c r="C100" s="26" t="s">
        <v>50</v>
      </c>
      <c r="D100" s="26" t="s">
        <v>535</v>
      </c>
      <c r="E100" s="26" t="s">
        <v>81</v>
      </c>
      <c r="G100" s="26" t="s">
        <v>521</v>
      </c>
      <c r="H100" s="26" t="s">
        <v>39</v>
      </c>
      <c r="I100" s="26" t="s">
        <v>522</v>
      </c>
      <c r="J100" s="11" t="str">
        <f>VLOOKUP(K100,'PN Dictionary'!A:B,2,FALSE)</f>
        <v>GB300 L10</v>
      </c>
      <c r="K100" s="26" t="s">
        <v>36</v>
      </c>
      <c r="L100" s="44" t="s">
        <v>1441</v>
      </c>
      <c r="M100" s="26" t="s">
        <v>563</v>
      </c>
      <c r="N100" s="26" t="s">
        <v>53</v>
      </c>
      <c r="O100" s="26" t="s">
        <v>54</v>
      </c>
      <c r="P100" s="26">
        <v>90131</v>
      </c>
      <c r="Q100" s="26" t="s">
        <v>55</v>
      </c>
    </row>
    <row r="101" spans="1:17" hidden="1" x14ac:dyDescent="0.3">
      <c r="A101" s="26" t="s">
        <v>564</v>
      </c>
      <c r="B101" s="26" t="s">
        <v>565</v>
      </c>
      <c r="C101" s="26" t="s">
        <v>50</v>
      </c>
      <c r="D101" s="26" t="s">
        <v>535</v>
      </c>
      <c r="E101" s="26" t="s">
        <v>81</v>
      </c>
      <c r="G101" s="26" t="s">
        <v>521</v>
      </c>
      <c r="H101" s="26" t="s">
        <v>39</v>
      </c>
      <c r="I101" s="26" t="s">
        <v>522</v>
      </c>
      <c r="J101" s="11" t="str">
        <f>VLOOKUP(K101,'PN Dictionary'!A:B,2,FALSE)</f>
        <v>GB300 L10</v>
      </c>
      <c r="K101" s="26" t="s">
        <v>36</v>
      </c>
      <c r="L101" s="44" t="s">
        <v>1443</v>
      </c>
      <c r="M101" s="26" t="s">
        <v>566</v>
      </c>
      <c r="N101" s="26" t="s">
        <v>53</v>
      </c>
      <c r="O101" s="26" t="s">
        <v>54</v>
      </c>
      <c r="P101" s="26">
        <v>90131</v>
      </c>
      <c r="Q101" s="26" t="s">
        <v>55</v>
      </c>
    </row>
    <row r="102" spans="1:17" hidden="1" x14ac:dyDescent="0.3">
      <c r="A102" s="26" t="s">
        <v>570</v>
      </c>
      <c r="B102" s="26" t="s">
        <v>571</v>
      </c>
      <c r="C102" s="26" t="s">
        <v>50</v>
      </c>
      <c r="D102" s="26" t="s">
        <v>499</v>
      </c>
      <c r="E102" s="26" t="s">
        <v>572</v>
      </c>
      <c r="G102" s="26" t="s">
        <v>568</v>
      </c>
      <c r="H102" s="26" t="s">
        <v>39</v>
      </c>
      <c r="I102" s="26" t="s">
        <v>573</v>
      </c>
      <c r="J102" s="11" t="str">
        <f>VLOOKUP(K102,'PN Dictionary'!A:B,2,FALSE)</f>
        <v>GB300 L10</v>
      </c>
      <c r="K102" s="26" t="s">
        <v>36</v>
      </c>
      <c r="L102" s="44" t="s">
        <v>1457</v>
      </c>
      <c r="M102" s="26" t="s">
        <v>574</v>
      </c>
      <c r="N102" s="26" t="s">
        <v>53</v>
      </c>
      <c r="O102" s="26" t="s">
        <v>54</v>
      </c>
      <c r="P102" s="26">
        <v>928</v>
      </c>
      <c r="Q102" s="26" t="s">
        <v>55</v>
      </c>
    </row>
    <row r="103" spans="1:17" hidden="1" x14ac:dyDescent="0.3">
      <c r="A103" s="26" t="s">
        <v>575</v>
      </c>
      <c r="B103" s="37" t="s">
        <v>739</v>
      </c>
      <c r="C103" s="26" t="s">
        <v>50</v>
      </c>
      <c r="D103" s="26" t="s">
        <v>548</v>
      </c>
      <c r="E103" s="26" t="s">
        <v>230</v>
      </c>
      <c r="G103" s="26" t="s">
        <v>568</v>
      </c>
      <c r="H103" s="26" t="s">
        <v>39</v>
      </c>
      <c r="I103" s="26" t="s">
        <v>238</v>
      </c>
      <c r="J103" s="11" t="str">
        <f>VLOOKUP(K103,'PN Dictionary'!A:B,2,FALSE)</f>
        <v>NVSwitch</v>
      </c>
      <c r="K103" s="26" t="s">
        <v>7</v>
      </c>
      <c r="L103" s="44" t="s">
        <v>576</v>
      </c>
      <c r="M103" s="26" t="s">
        <v>740</v>
      </c>
      <c r="N103" s="26" t="s">
        <v>53</v>
      </c>
      <c r="O103" s="26" t="s">
        <v>54</v>
      </c>
      <c r="P103" s="26">
        <v>928</v>
      </c>
      <c r="Q103" s="26" t="s">
        <v>55</v>
      </c>
    </row>
    <row r="104" spans="1:17" hidden="1" x14ac:dyDescent="0.3">
      <c r="A104" s="26" t="s">
        <v>577</v>
      </c>
      <c r="B104" s="26" t="s">
        <v>578</v>
      </c>
      <c r="C104" s="26" t="s">
        <v>50</v>
      </c>
      <c r="D104" s="26" t="s">
        <v>567</v>
      </c>
      <c r="E104" s="26" t="s">
        <v>81</v>
      </c>
      <c r="G104" s="26" t="s">
        <v>568</v>
      </c>
      <c r="H104" s="26" t="s">
        <v>39</v>
      </c>
      <c r="I104" s="26" t="s">
        <v>522</v>
      </c>
      <c r="J104" s="11" t="str">
        <f>VLOOKUP(K104,'PN Dictionary'!A:B,2,FALSE)</f>
        <v>GB300 L10</v>
      </c>
      <c r="K104" s="26" t="s">
        <v>36</v>
      </c>
      <c r="L104" s="44" t="s">
        <v>1441</v>
      </c>
      <c r="M104" s="26" t="s">
        <v>579</v>
      </c>
      <c r="N104" s="26" t="s">
        <v>53</v>
      </c>
      <c r="O104" s="26" t="s">
        <v>54</v>
      </c>
      <c r="P104" s="26">
        <v>90131</v>
      </c>
      <c r="Q104" s="26" t="s">
        <v>55</v>
      </c>
    </row>
    <row r="105" spans="1:17" hidden="1" x14ac:dyDescent="0.3">
      <c r="A105" s="26" t="s">
        <v>580</v>
      </c>
      <c r="B105" s="26" t="s">
        <v>581</v>
      </c>
      <c r="C105" s="26" t="s">
        <v>50</v>
      </c>
      <c r="D105" s="26" t="s">
        <v>582</v>
      </c>
      <c r="E105" s="26" t="s">
        <v>259</v>
      </c>
      <c r="G105" s="26" t="s">
        <v>568</v>
      </c>
      <c r="H105" s="26" t="s">
        <v>39</v>
      </c>
      <c r="I105" s="26" t="s">
        <v>583</v>
      </c>
      <c r="J105" s="11" t="str">
        <f>VLOOKUP(K105,'PN Dictionary'!A:B,2,FALSE)</f>
        <v>GB300 L10</v>
      </c>
      <c r="K105" s="26" t="s">
        <v>36</v>
      </c>
      <c r="L105" s="44" t="s">
        <v>1458</v>
      </c>
      <c r="M105" s="26" t="s">
        <v>584</v>
      </c>
      <c r="N105" s="26" t="s">
        <v>53</v>
      </c>
      <c r="O105" s="26" t="s">
        <v>54</v>
      </c>
      <c r="P105" s="26">
        <v>718</v>
      </c>
      <c r="Q105" s="26" t="s">
        <v>55</v>
      </c>
    </row>
    <row r="106" spans="1:17" hidden="1" x14ac:dyDescent="0.3">
      <c r="A106" s="26" t="s">
        <v>585</v>
      </c>
      <c r="B106" s="26" t="s">
        <v>738</v>
      </c>
      <c r="C106" s="26" t="s">
        <v>50</v>
      </c>
      <c r="D106" s="26" t="s">
        <v>586</v>
      </c>
      <c r="E106" s="26" t="s">
        <v>242</v>
      </c>
      <c r="G106" s="26" t="s">
        <v>568</v>
      </c>
      <c r="H106" s="37" t="s">
        <v>39</v>
      </c>
      <c r="I106" s="38" t="s">
        <v>587</v>
      </c>
      <c r="J106" s="11" t="str">
        <f>VLOOKUP(K106,'PN Dictionary'!A:B,2,FALSE)</f>
        <v>Delta power shelf right input</v>
      </c>
      <c r="K106" s="37" t="s">
        <v>353</v>
      </c>
      <c r="L106" s="45" t="s">
        <v>736</v>
      </c>
      <c r="M106" s="37" t="s">
        <v>737</v>
      </c>
      <c r="N106" s="37" t="s">
        <v>53</v>
      </c>
      <c r="O106" s="37" t="s">
        <v>54</v>
      </c>
      <c r="P106" s="37">
        <v>928</v>
      </c>
      <c r="Q106" s="37" t="s">
        <v>55</v>
      </c>
    </row>
    <row r="107" spans="1:17" hidden="1" x14ac:dyDescent="0.3">
      <c r="A107" s="26" t="s">
        <v>688</v>
      </c>
      <c r="B107" s="26" t="s">
        <v>689</v>
      </c>
      <c r="C107" s="26" t="s">
        <v>50</v>
      </c>
      <c r="D107" s="26" t="s">
        <v>690</v>
      </c>
      <c r="E107" s="26" t="s">
        <v>224</v>
      </c>
      <c r="G107" s="26" t="s">
        <v>568</v>
      </c>
      <c r="H107" s="26" t="s">
        <v>39</v>
      </c>
      <c r="I107" s="26" t="s">
        <v>691</v>
      </c>
      <c r="J107" s="11" t="str">
        <f>VLOOKUP(K107,'PN Dictionary'!A:B,2,FALSE)</f>
        <v>GB300 L10</v>
      </c>
      <c r="K107" s="11" t="s">
        <v>36</v>
      </c>
      <c r="L107" s="44" t="s">
        <v>1459</v>
      </c>
      <c r="M107" s="26" t="s">
        <v>703</v>
      </c>
      <c r="N107" s="26" t="s">
        <v>53</v>
      </c>
      <c r="O107" s="26" t="s">
        <v>54</v>
      </c>
      <c r="P107" s="26">
        <v>928</v>
      </c>
      <c r="Q107" s="26" t="s">
        <v>55</v>
      </c>
    </row>
    <row r="108" spans="1:17" hidden="1" x14ac:dyDescent="0.3">
      <c r="A108" s="26" t="s">
        <v>692</v>
      </c>
      <c r="B108" s="26" t="s">
        <v>693</v>
      </c>
      <c r="C108" s="26" t="s">
        <v>50</v>
      </c>
      <c r="D108" s="26" t="s">
        <v>644</v>
      </c>
      <c r="E108" s="26" t="s">
        <v>113</v>
      </c>
      <c r="G108" s="26" t="s">
        <v>568</v>
      </c>
      <c r="H108" s="26" t="s">
        <v>39</v>
      </c>
      <c r="I108" s="26" t="s">
        <v>694</v>
      </c>
      <c r="J108" s="11" t="str">
        <f>VLOOKUP(K108,'PN Dictionary'!A:B,2,FALSE)</f>
        <v>GB300 L10</v>
      </c>
      <c r="K108" s="11" t="s">
        <v>36</v>
      </c>
      <c r="L108" s="44" t="s">
        <v>1417</v>
      </c>
      <c r="M108" s="26" t="s">
        <v>101</v>
      </c>
      <c r="N108" s="26" t="s">
        <v>53</v>
      </c>
      <c r="O108" s="26" t="s">
        <v>54</v>
      </c>
      <c r="P108" s="26">
        <v>928</v>
      </c>
      <c r="Q108" s="26" t="s">
        <v>55</v>
      </c>
    </row>
    <row r="109" spans="1:17" hidden="1" x14ac:dyDescent="0.3">
      <c r="A109" s="26" t="s">
        <v>695</v>
      </c>
      <c r="B109" s="26" t="s">
        <v>696</v>
      </c>
      <c r="C109" s="26" t="s">
        <v>50</v>
      </c>
      <c r="D109" s="26" t="s">
        <v>697</v>
      </c>
      <c r="E109" s="26" t="s">
        <v>128</v>
      </c>
      <c r="G109" s="26" t="s">
        <v>568</v>
      </c>
      <c r="H109" s="26" t="s">
        <v>39</v>
      </c>
      <c r="I109" s="26" t="s">
        <v>205</v>
      </c>
      <c r="J109" s="11" t="str">
        <f>VLOOKUP(K109,'PN Dictionary'!A:B,2,FALSE)</f>
        <v>Cable Cartridge</v>
      </c>
      <c r="K109" s="11" t="s">
        <v>6</v>
      </c>
      <c r="L109" s="44">
        <v>1823325356289</v>
      </c>
      <c r="M109" s="26">
        <v>1823525354161</v>
      </c>
      <c r="N109" s="26" t="s">
        <v>53</v>
      </c>
      <c r="O109" s="26" t="s">
        <v>54</v>
      </c>
      <c r="P109" s="26">
        <v>90131</v>
      </c>
      <c r="Q109" s="26" t="s">
        <v>55</v>
      </c>
    </row>
    <row r="110" spans="1:17" hidden="1" x14ac:dyDescent="0.3">
      <c r="A110" s="26" t="s">
        <v>698</v>
      </c>
      <c r="B110" s="26" t="s">
        <v>699</v>
      </c>
      <c r="C110" s="26" t="s">
        <v>50</v>
      </c>
      <c r="D110" s="26" t="s">
        <v>637</v>
      </c>
      <c r="E110" s="26" t="s">
        <v>591</v>
      </c>
      <c r="G110" s="26" t="s">
        <v>592</v>
      </c>
      <c r="H110" s="26" t="s">
        <v>39</v>
      </c>
      <c r="I110" s="26" t="s">
        <v>700</v>
      </c>
      <c r="J110" s="11" t="str">
        <f>VLOOKUP(K110,'PN Dictionary'!A:B,2,FALSE)</f>
        <v>Delta power shelf right input</v>
      </c>
      <c r="K110" s="11" t="s">
        <v>353</v>
      </c>
      <c r="L110" s="44" t="s">
        <v>704</v>
      </c>
      <c r="M110" s="26" t="s">
        <v>705</v>
      </c>
      <c r="N110" s="26" t="s">
        <v>53</v>
      </c>
      <c r="O110" s="26" t="s">
        <v>54</v>
      </c>
      <c r="P110" s="26">
        <v>924</v>
      </c>
      <c r="Q110" s="26" t="s">
        <v>55</v>
      </c>
    </row>
    <row r="111" spans="1:17" hidden="1" x14ac:dyDescent="0.3">
      <c r="A111" s="26" t="s">
        <v>701</v>
      </c>
      <c r="B111" s="26" t="s">
        <v>589</v>
      </c>
      <c r="C111" s="26" t="s">
        <v>50</v>
      </c>
      <c r="D111" s="26" t="s">
        <v>590</v>
      </c>
      <c r="E111" s="26" t="s">
        <v>591</v>
      </c>
      <c r="G111" s="26" t="s">
        <v>592</v>
      </c>
      <c r="H111" s="26" t="s">
        <v>536</v>
      </c>
      <c r="I111" s="26" t="s">
        <v>702</v>
      </c>
      <c r="J111" s="11" t="str">
        <f>VLOOKUP(K111,'PN Dictionary'!A:B,2,FALSE)</f>
        <v>Power Shelf Control Module</v>
      </c>
      <c r="K111" s="11" t="s">
        <v>11</v>
      </c>
      <c r="L111" s="44" t="s">
        <v>706</v>
      </c>
      <c r="M111" s="26"/>
      <c r="N111" s="26" t="s">
        <v>53</v>
      </c>
      <c r="O111" s="26" t="s">
        <v>54</v>
      </c>
      <c r="P111" s="26">
        <v>924</v>
      </c>
      <c r="Q111" s="26" t="s">
        <v>55</v>
      </c>
    </row>
    <row r="112" spans="1:17" hidden="1" x14ac:dyDescent="0.3">
      <c r="A112" s="26" t="s">
        <v>588</v>
      </c>
      <c r="B112" s="26" t="s">
        <v>589</v>
      </c>
      <c r="C112" s="26" t="s">
        <v>50</v>
      </c>
      <c r="D112" s="26" t="s">
        <v>590</v>
      </c>
      <c r="E112" s="26" t="s">
        <v>591</v>
      </c>
      <c r="G112" s="26" t="s">
        <v>592</v>
      </c>
      <c r="H112" s="26" t="s">
        <v>536</v>
      </c>
      <c r="I112" s="26" t="s">
        <v>593</v>
      </c>
      <c r="J112" s="11" t="str">
        <f>VLOOKUP(K112,'PN Dictionary'!A:B,2,FALSE)</f>
        <v>Power Shelf Control Module</v>
      </c>
      <c r="K112" s="11" t="s">
        <v>11</v>
      </c>
      <c r="L112" s="44" t="s">
        <v>707</v>
      </c>
      <c r="M112" s="26"/>
      <c r="N112" s="26" t="s">
        <v>53</v>
      </c>
      <c r="O112" s="26" t="s">
        <v>54</v>
      </c>
      <c r="P112" s="26">
        <v>924</v>
      </c>
      <c r="Q112" s="26" t="s">
        <v>55</v>
      </c>
    </row>
    <row r="113" spans="1:17" s="34" customFormat="1" hidden="1" x14ac:dyDescent="0.3">
      <c r="A113" s="35" t="s">
        <v>594</v>
      </c>
      <c r="B113" s="36" t="s">
        <v>595</v>
      </c>
      <c r="C113" s="36" t="s">
        <v>50</v>
      </c>
      <c r="D113" s="36" t="s">
        <v>596</v>
      </c>
      <c r="E113" s="36" t="s">
        <v>411</v>
      </c>
      <c r="F113" s="36"/>
      <c r="G113" s="36" t="s">
        <v>592</v>
      </c>
      <c r="H113" s="36" t="s">
        <v>39</v>
      </c>
      <c r="I113" s="36" t="s">
        <v>597</v>
      </c>
      <c r="J113" s="11" t="str">
        <f>VLOOKUP(K113,'PN Dictionary'!A:B,2,FALSE)</f>
        <v>NVSwitch</v>
      </c>
      <c r="K113" s="33" t="s">
        <v>7</v>
      </c>
      <c r="L113" s="46" t="s">
        <v>708</v>
      </c>
      <c r="M113" s="34" t="s">
        <v>709</v>
      </c>
      <c r="N113" s="34" t="s">
        <v>53</v>
      </c>
      <c r="O113" s="34" t="s">
        <v>54</v>
      </c>
      <c r="P113" s="34">
        <v>90131</v>
      </c>
      <c r="Q113" s="34" t="s">
        <v>55</v>
      </c>
    </row>
    <row r="114" spans="1:17" s="34" customFormat="1" hidden="1" x14ac:dyDescent="0.3">
      <c r="A114" s="35" t="s">
        <v>598</v>
      </c>
      <c r="B114" s="36" t="s">
        <v>599</v>
      </c>
      <c r="C114" s="36" t="s">
        <v>50</v>
      </c>
      <c r="D114" s="36" t="s">
        <v>600</v>
      </c>
      <c r="E114" s="36" t="s">
        <v>128</v>
      </c>
      <c r="F114" s="36"/>
      <c r="G114" s="36" t="s">
        <v>592</v>
      </c>
      <c r="H114" s="36" t="s">
        <v>39</v>
      </c>
      <c r="I114" s="36" t="s">
        <v>205</v>
      </c>
      <c r="J114" s="11" t="str">
        <f>VLOOKUP(K114,'PN Dictionary'!A:B,2,FALSE)</f>
        <v>Cable Cartridge</v>
      </c>
      <c r="K114" s="33" t="s">
        <v>6</v>
      </c>
      <c r="L114" s="46">
        <v>2023725350496</v>
      </c>
      <c r="M114" s="34">
        <v>1822825356453</v>
      </c>
      <c r="N114" s="34" t="s">
        <v>53</v>
      </c>
      <c r="O114" s="34" t="s">
        <v>54</v>
      </c>
      <c r="P114" s="34">
        <v>90066</v>
      </c>
      <c r="Q114" s="34" t="s">
        <v>55</v>
      </c>
    </row>
    <row r="115" spans="1:17" s="34" customFormat="1" hidden="1" x14ac:dyDescent="0.3">
      <c r="A115" s="35" t="s">
        <v>601</v>
      </c>
      <c r="B115" s="36" t="s">
        <v>602</v>
      </c>
      <c r="C115" s="36" t="s">
        <v>50</v>
      </c>
      <c r="D115" s="36" t="s">
        <v>603</v>
      </c>
      <c r="E115" s="36" t="s">
        <v>242</v>
      </c>
      <c r="F115" s="36"/>
      <c r="G115" s="36" t="s">
        <v>592</v>
      </c>
      <c r="H115" s="36" t="s">
        <v>39</v>
      </c>
      <c r="I115" s="36" t="s">
        <v>604</v>
      </c>
      <c r="J115" s="11" t="str">
        <f>VLOOKUP(K115,'PN Dictionary'!A:B,2,FALSE)</f>
        <v>Cable Cartridge</v>
      </c>
      <c r="K115" s="33" t="s">
        <v>6</v>
      </c>
      <c r="L115" s="46" t="s">
        <v>710</v>
      </c>
      <c r="M115" s="34" t="s">
        <v>711</v>
      </c>
      <c r="N115" s="34" t="s">
        <v>53</v>
      </c>
      <c r="O115" s="34" t="s">
        <v>54</v>
      </c>
      <c r="P115" s="34">
        <v>90131</v>
      </c>
      <c r="Q115" s="34" t="s">
        <v>55</v>
      </c>
    </row>
    <row r="116" spans="1:17" s="34" customFormat="1" hidden="1" x14ac:dyDescent="0.3">
      <c r="A116" s="35" t="s">
        <v>605</v>
      </c>
      <c r="B116" s="36" t="s">
        <v>606</v>
      </c>
      <c r="C116" s="36" t="s">
        <v>50</v>
      </c>
      <c r="D116" s="36" t="s">
        <v>603</v>
      </c>
      <c r="E116" s="36" t="s">
        <v>607</v>
      </c>
      <c r="F116" s="36"/>
      <c r="G116" s="36" t="s">
        <v>592</v>
      </c>
      <c r="H116" s="36" t="s">
        <v>39</v>
      </c>
      <c r="I116" s="36" t="s">
        <v>608</v>
      </c>
      <c r="J116" s="11" t="str">
        <f>VLOOKUP(K116,'PN Dictionary'!A:B,2,FALSE)</f>
        <v>Delta power shelf right input</v>
      </c>
      <c r="K116" s="33" t="s">
        <v>353</v>
      </c>
      <c r="L116" s="46" t="s">
        <v>712</v>
      </c>
      <c r="M116" s="34" t="s">
        <v>713</v>
      </c>
      <c r="N116" s="34" t="s">
        <v>53</v>
      </c>
      <c r="O116" s="34" t="s">
        <v>54</v>
      </c>
      <c r="P116" s="34">
        <v>90131</v>
      </c>
      <c r="Q116" s="34" t="s">
        <v>55</v>
      </c>
    </row>
    <row r="117" spans="1:17" s="34" customFormat="1" hidden="1" x14ac:dyDescent="0.3">
      <c r="A117" s="35" t="s">
        <v>609</v>
      </c>
      <c r="B117" s="36" t="s">
        <v>610</v>
      </c>
      <c r="C117" s="36" t="s">
        <v>50</v>
      </c>
      <c r="D117" s="36" t="s">
        <v>530</v>
      </c>
      <c r="E117" s="36" t="s">
        <v>611</v>
      </c>
      <c r="F117" s="36"/>
      <c r="G117" s="36" t="s">
        <v>592</v>
      </c>
      <c r="H117" s="36" t="s">
        <v>39</v>
      </c>
      <c r="I117" s="36" t="s">
        <v>612</v>
      </c>
      <c r="J117" s="11" t="str">
        <f>VLOOKUP(K117,'PN Dictionary'!A:B,2,FALSE)</f>
        <v>GB300 L10</v>
      </c>
      <c r="K117" s="33" t="s">
        <v>36</v>
      </c>
      <c r="L117" s="46" t="s">
        <v>1460</v>
      </c>
      <c r="M117" s="34" t="s">
        <v>574</v>
      </c>
      <c r="N117" s="34" t="s">
        <v>53</v>
      </c>
      <c r="O117" s="34" t="s">
        <v>54</v>
      </c>
      <c r="P117" s="34">
        <v>928</v>
      </c>
      <c r="Q117" s="34" t="s">
        <v>55</v>
      </c>
    </row>
    <row r="118" spans="1:17" s="34" customFormat="1" hidden="1" x14ac:dyDescent="0.3">
      <c r="A118" s="35" t="s">
        <v>613</v>
      </c>
      <c r="B118" s="36" t="s">
        <v>614</v>
      </c>
      <c r="C118" s="36" t="s">
        <v>50</v>
      </c>
      <c r="D118" s="36" t="s">
        <v>508</v>
      </c>
      <c r="E118" s="36" t="s">
        <v>128</v>
      </c>
      <c r="F118" s="36"/>
      <c r="G118" s="36" t="s">
        <v>592</v>
      </c>
      <c r="H118" s="36" t="s">
        <v>39</v>
      </c>
      <c r="I118" s="36" t="s">
        <v>205</v>
      </c>
      <c r="J118" s="11" t="str">
        <f>VLOOKUP(K118,'PN Dictionary'!A:B,2,FALSE)</f>
        <v>Cable Cartridge</v>
      </c>
      <c r="K118" s="33" t="s">
        <v>6</v>
      </c>
      <c r="L118" s="46">
        <v>1823225356444</v>
      </c>
      <c r="M118" s="34">
        <v>1823425355997</v>
      </c>
      <c r="N118" s="34" t="s">
        <v>53</v>
      </c>
      <c r="O118" s="34" t="s">
        <v>54</v>
      </c>
      <c r="P118" s="34">
        <v>90131</v>
      </c>
      <c r="Q118" s="34" t="s">
        <v>55</v>
      </c>
    </row>
    <row r="119" spans="1:17" s="34" customFormat="1" hidden="1" x14ac:dyDescent="0.3">
      <c r="A119" s="35" t="s">
        <v>615</v>
      </c>
      <c r="B119" s="36" t="s">
        <v>616</v>
      </c>
      <c r="C119" s="36" t="s">
        <v>50</v>
      </c>
      <c r="D119" s="36" t="s">
        <v>508</v>
      </c>
      <c r="E119" s="36" t="s">
        <v>230</v>
      </c>
      <c r="F119" s="36"/>
      <c r="G119" s="36" t="s">
        <v>592</v>
      </c>
      <c r="H119" s="36" t="s">
        <v>39</v>
      </c>
      <c r="I119" s="36" t="s">
        <v>238</v>
      </c>
      <c r="J119" s="11" t="str">
        <f>VLOOKUP(K119,'PN Dictionary'!A:B,2,FALSE)</f>
        <v>NVSwitch</v>
      </c>
      <c r="K119" s="33" t="s">
        <v>7</v>
      </c>
      <c r="L119" s="46" t="s">
        <v>714</v>
      </c>
      <c r="M119" s="34" t="s">
        <v>715</v>
      </c>
      <c r="N119" s="34" t="s">
        <v>53</v>
      </c>
      <c r="O119" s="34" t="s">
        <v>54</v>
      </c>
      <c r="P119" s="34">
        <v>90131</v>
      </c>
      <c r="Q119" s="34" t="s">
        <v>55</v>
      </c>
    </row>
    <row r="120" spans="1:17" s="34" customFormat="1" hidden="1" x14ac:dyDescent="0.3">
      <c r="A120" s="35" t="s">
        <v>617</v>
      </c>
      <c r="B120" s="36" t="s">
        <v>618</v>
      </c>
      <c r="C120" s="36" t="s">
        <v>50</v>
      </c>
      <c r="D120" s="36" t="s">
        <v>530</v>
      </c>
      <c r="E120" s="36" t="s">
        <v>380</v>
      </c>
      <c r="F120" s="36"/>
      <c r="G120" s="36" t="s">
        <v>592</v>
      </c>
      <c r="H120" s="36" t="s">
        <v>619</v>
      </c>
      <c r="I120" s="36" t="s">
        <v>620</v>
      </c>
      <c r="J120" s="11" t="str">
        <f>VLOOKUP(K120,'PN Dictionary'!A:B,2,FALSE)</f>
        <v>GB300 L10</v>
      </c>
      <c r="K120" s="33" t="s">
        <v>36</v>
      </c>
      <c r="L120" s="46" t="s">
        <v>1461</v>
      </c>
      <c r="N120" s="34" t="s">
        <v>53</v>
      </c>
      <c r="O120" s="34" t="s">
        <v>54</v>
      </c>
      <c r="P120" s="34">
        <v>90164</v>
      </c>
      <c r="Q120" s="34" t="s">
        <v>55</v>
      </c>
    </row>
    <row r="121" spans="1:17" s="34" customFormat="1" hidden="1" x14ac:dyDescent="0.3">
      <c r="A121" s="35" t="s">
        <v>621</v>
      </c>
      <c r="B121" s="36" t="s">
        <v>622</v>
      </c>
      <c r="C121" s="36" t="s">
        <v>50</v>
      </c>
      <c r="D121" s="36" t="s">
        <v>623</v>
      </c>
      <c r="E121" s="36" t="s">
        <v>230</v>
      </c>
      <c r="F121" s="36"/>
      <c r="G121" s="36" t="s">
        <v>592</v>
      </c>
      <c r="H121" s="36" t="s">
        <v>39</v>
      </c>
      <c r="I121" s="36" t="s">
        <v>238</v>
      </c>
      <c r="J121" s="11" t="str">
        <f>VLOOKUP(K121,'PN Dictionary'!A:B,2,FALSE)</f>
        <v>NVSwitch</v>
      </c>
      <c r="K121" s="33" t="s">
        <v>7</v>
      </c>
      <c r="L121" s="46" t="s">
        <v>716</v>
      </c>
      <c r="M121" s="34" t="s">
        <v>717</v>
      </c>
      <c r="N121" s="34" t="s">
        <v>53</v>
      </c>
      <c r="O121" s="34" t="s">
        <v>54</v>
      </c>
      <c r="P121" s="34">
        <v>90131</v>
      </c>
      <c r="Q121" s="34" t="s">
        <v>55</v>
      </c>
    </row>
    <row r="122" spans="1:17" s="34" customFormat="1" hidden="1" x14ac:dyDescent="0.3">
      <c r="A122" s="35" t="s">
        <v>624</v>
      </c>
      <c r="B122" s="36" t="s">
        <v>625</v>
      </c>
      <c r="C122" s="36" t="s">
        <v>50</v>
      </c>
      <c r="D122" s="36" t="s">
        <v>626</v>
      </c>
      <c r="E122" s="36" t="s">
        <v>128</v>
      </c>
      <c r="F122" s="36"/>
      <c r="G122" s="36" t="s">
        <v>592</v>
      </c>
      <c r="H122" s="36" t="s">
        <v>39</v>
      </c>
      <c r="I122" s="36" t="s">
        <v>627</v>
      </c>
      <c r="J122" s="11" t="str">
        <f>VLOOKUP(K122,'PN Dictionary'!A:B,2,FALSE)</f>
        <v>Cable Cartridge</v>
      </c>
      <c r="K122" s="33" t="s">
        <v>6</v>
      </c>
      <c r="L122" s="46">
        <v>1822825355028</v>
      </c>
      <c r="M122" s="34">
        <v>1822825356593</v>
      </c>
      <c r="N122" s="34" t="s">
        <v>53</v>
      </c>
      <c r="O122" s="34" t="s">
        <v>54</v>
      </c>
      <c r="P122" s="34">
        <v>928</v>
      </c>
      <c r="Q122" s="34" t="s">
        <v>55</v>
      </c>
    </row>
    <row r="123" spans="1:17" s="34" customFormat="1" hidden="1" x14ac:dyDescent="0.3">
      <c r="A123" s="35" t="s">
        <v>628</v>
      </c>
      <c r="B123" s="36" t="s">
        <v>629</v>
      </c>
      <c r="C123" s="36" t="s">
        <v>50</v>
      </c>
      <c r="D123" s="36" t="s">
        <v>586</v>
      </c>
      <c r="E123" s="36" t="s">
        <v>611</v>
      </c>
      <c r="F123" s="36"/>
      <c r="G123" s="36" t="s">
        <v>592</v>
      </c>
      <c r="H123" s="36" t="s">
        <v>39</v>
      </c>
      <c r="I123" s="36" t="s">
        <v>630</v>
      </c>
      <c r="J123" s="11" t="str">
        <f>VLOOKUP(K123,'PN Dictionary'!A:B,2,FALSE)</f>
        <v>GB300 L10</v>
      </c>
      <c r="K123" s="33" t="s">
        <v>36</v>
      </c>
      <c r="L123" s="46" t="s">
        <v>1462</v>
      </c>
      <c r="M123" s="34" t="s">
        <v>718</v>
      </c>
      <c r="N123" s="34" t="s">
        <v>53</v>
      </c>
      <c r="O123" s="34" t="s">
        <v>54</v>
      </c>
      <c r="P123" s="34">
        <v>90164</v>
      </c>
      <c r="Q123" s="34" t="s">
        <v>55</v>
      </c>
    </row>
    <row r="124" spans="1:17" s="34" customFormat="1" hidden="1" x14ac:dyDescent="0.3">
      <c r="A124" s="35" t="s">
        <v>631</v>
      </c>
      <c r="B124" s="36" t="s">
        <v>632</v>
      </c>
      <c r="C124" s="36" t="s">
        <v>50</v>
      </c>
      <c r="D124" s="36" t="s">
        <v>600</v>
      </c>
      <c r="E124" s="36" t="s">
        <v>633</v>
      </c>
      <c r="F124" s="36"/>
      <c r="G124" s="36" t="s">
        <v>592</v>
      </c>
      <c r="H124" s="36" t="s">
        <v>39</v>
      </c>
      <c r="I124" s="36" t="s">
        <v>634</v>
      </c>
      <c r="J124" s="11" t="str">
        <f>VLOOKUP(K124,'PN Dictionary'!A:B,2,FALSE)</f>
        <v>GB300 L10</v>
      </c>
      <c r="K124" s="33" t="s">
        <v>36</v>
      </c>
      <c r="L124" s="46" t="s">
        <v>1463</v>
      </c>
      <c r="M124" s="34" t="s">
        <v>719</v>
      </c>
      <c r="N124" s="34" t="s">
        <v>53</v>
      </c>
      <c r="O124" s="34" t="s">
        <v>54</v>
      </c>
      <c r="P124" s="34">
        <v>928</v>
      </c>
      <c r="Q124" s="34" t="s">
        <v>55</v>
      </c>
    </row>
    <row r="125" spans="1:17" s="34" customFormat="1" hidden="1" x14ac:dyDescent="0.3">
      <c r="A125" s="35" t="s">
        <v>635</v>
      </c>
      <c r="B125" s="36" t="s">
        <v>636</v>
      </c>
      <c r="C125" s="36" t="s">
        <v>50</v>
      </c>
      <c r="D125" s="36" t="s">
        <v>637</v>
      </c>
      <c r="E125" s="36" t="s">
        <v>224</v>
      </c>
      <c r="F125" s="36"/>
      <c r="G125" s="36" t="s">
        <v>592</v>
      </c>
      <c r="H125" s="36" t="s">
        <v>39</v>
      </c>
      <c r="I125" s="36" t="s">
        <v>638</v>
      </c>
      <c r="J125" s="11" t="str">
        <f>VLOOKUP(K125,'PN Dictionary'!A:B,2,FALSE)</f>
        <v>GB300 L10</v>
      </c>
      <c r="K125" s="33" t="s">
        <v>36</v>
      </c>
      <c r="L125" s="46" t="s">
        <v>1464</v>
      </c>
      <c r="M125" s="34" t="s">
        <v>720</v>
      </c>
      <c r="N125" s="34" t="s">
        <v>53</v>
      </c>
      <c r="O125" s="34" t="s">
        <v>54</v>
      </c>
      <c r="P125" s="34">
        <v>90164</v>
      </c>
      <c r="Q125" s="34" t="s">
        <v>55</v>
      </c>
    </row>
    <row r="126" spans="1:17" s="34" customFormat="1" hidden="1" x14ac:dyDescent="0.3">
      <c r="A126" s="35" t="s">
        <v>639</v>
      </c>
      <c r="B126" s="36" t="s">
        <v>640</v>
      </c>
      <c r="C126" s="36" t="s">
        <v>50</v>
      </c>
      <c r="D126" s="36" t="s">
        <v>623</v>
      </c>
      <c r="E126" s="36" t="s">
        <v>607</v>
      </c>
      <c r="F126" s="36"/>
      <c r="G126" s="36" t="s">
        <v>592</v>
      </c>
      <c r="H126" s="36" t="s">
        <v>39</v>
      </c>
      <c r="I126" s="36" t="s">
        <v>641</v>
      </c>
      <c r="J126" s="11" t="str">
        <f>VLOOKUP(K126,'PN Dictionary'!A:B,2,FALSE)</f>
        <v>GB300 L10</v>
      </c>
      <c r="K126" s="33" t="s">
        <v>36</v>
      </c>
      <c r="L126" s="46" t="s">
        <v>1440</v>
      </c>
      <c r="M126" s="34" t="s">
        <v>721</v>
      </c>
      <c r="N126" s="34" t="s">
        <v>53</v>
      </c>
      <c r="O126" s="34" t="s">
        <v>54</v>
      </c>
      <c r="P126" s="34">
        <v>90131</v>
      </c>
      <c r="Q126" s="34" t="s">
        <v>55</v>
      </c>
    </row>
    <row r="127" spans="1:17" s="34" customFormat="1" hidden="1" x14ac:dyDescent="0.3">
      <c r="A127" s="35" t="s">
        <v>642</v>
      </c>
      <c r="B127" s="36" t="s">
        <v>643</v>
      </c>
      <c r="C127" s="36" t="s">
        <v>50</v>
      </c>
      <c r="D127" s="36" t="s">
        <v>644</v>
      </c>
      <c r="E127" s="36" t="s">
        <v>224</v>
      </c>
      <c r="F127" s="36"/>
      <c r="G127" s="36" t="s">
        <v>592</v>
      </c>
      <c r="H127" s="36" t="s">
        <v>39</v>
      </c>
      <c r="I127" s="36" t="s">
        <v>638</v>
      </c>
      <c r="J127" s="11" t="str">
        <f>VLOOKUP(K127,'PN Dictionary'!A:B,2,FALSE)</f>
        <v>GB300 L10</v>
      </c>
      <c r="K127" s="33" t="s">
        <v>36</v>
      </c>
      <c r="L127" s="46" t="s">
        <v>1465</v>
      </c>
      <c r="M127" s="34" t="s">
        <v>722</v>
      </c>
      <c r="N127" s="34" t="s">
        <v>53</v>
      </c>
      <c r="O127" s="34" t="s">
        <v>54</v>
      </c>
      <c r="P127" s="34">
        <v>928</v>
      </c>
      <c r="Q127" s="34" t="s">
        <v>55</v>
      </c>
    </row>
    <row r="128" spans="1:17" s="34" customFormat="1" hidden="1" x14ac:dyDescent="0.3">
      <c r="A128" s="35" t="s">
        <v>645</v>
      </c>
      <c r="B128" s="36" t="s">
        <v>646</v>
      </c>
      <c r="C128" s="36" t="s">
        <v>50</v>
      </c>
      <c r="D128" s="36" t="s">
        <v>508</v>
      </c>
      <c r="E128" s="36" t="s">
        <v>128</v>
      </c>
      <c r="F128" s="36"/>
      <c r="G128" s="36" t="s">
        <v>592</v>
      </c>
      <c r="H128" s="36" t="s">
        <v>39</v>
      </c>
      <c r="I128" s="36" t="s">
        <v>205</v>
      </c>
      <c r="J128" s="11" t="str">
        <f>VLOOKUP(K128,'PN Dictionary'!A:B,2,FALSE)</f>
        <v>Cable Cartridge</v>
      </c>
      <c r="K128" s="33" t="s">
        <v>6</v>
      </c>
      <c r="L128" s="46">
        <v>1822825355448</v>
      </c>
      <c r="M128" s="34">
        <v>1823325356240</v>
      </c>
      <c r="N128" s="34" t="s">
        <v>53</v>
      </c>
      <c r="O128" s="34" t="s">
        <v>54</v>
      </c>
      <c r="P128" s="34">
        <v>90131</v>
      </c>
      <c r="Q128" s="34" t="s">
        <v>55</v>
      </c>
    </row>
    <row r="129" spans="1:17" s="34" customFormat="1" hidden="1" x14ac:dyDescent="0.3">
      <c r="A129" s="35" t="s">
        <v>647</v>
      </c>
      <c r="B129" s="36" t="s">
        <v>648</v>
      </c>
      <c r="C129" s="36" t="s">
        <v>50</v>
      </c>
      <c r="D129" s="36" t="s">
        <v>586</v>
      </c>
      <c r="E129" s="36" t="s">
        <v>230</v>
      </c>
      <c r="F129" s="36"/>
      <c r="G129" s="36" t="s">
        <v>649</v>
      </c>
      <c r="H129" s="36" t="s">
        <v>39</v>
      </c>
      <c r="I129" s="36" t="s">
        <v>238</v>
      </c>
      <c r="J129" s="11" t="str">
        <f>VLOOKUP(K129,'PN Dictionary'!A:B,2,FALSE)</f>
        <v>NVSwitch</v>
      </c>
      <c r="K129" s="33" t="s">
        <v>7</v>
      </c>
      <c r="L129" s="46" t="s">
        <v>723</v>
      </c>
      <c r="M129" s="34" t="s">
        <v>724</v>
      </c>
      <c r="N129" s="34" t="s">
        <v>53</v>
      </c>
      <c r="O129" s="34" t="s">
        <v>54</v>
      </c>
      <c r="P129" s="34">
        <v>928</v>
      </c>
      <c r="Q129" s="34" t="s">
        <v>55</v>
      </c>
    </row>
    <row r="130" spans="1:17" s="34" customFormat="1" hidden="1" x14ac:dyDescent="0.3">
      <c r="A130" s="35" t="s">
        <v>650</v>
      </c>
      <c r="B130" s="36" t="s">
        <v>651</v>
      </c>
      <c r="C130" s="36" t="s">
        <v>50</v>
      </c>
      <c r="D130" s="36" t="s">
        <v>652</v>
      </c>
      <c r="E130" s="36" t="s">
        <v>653</v>
      </c>
      <c r="F130" s="36"/>
      <c r="G130" s="36" t="s">
        <v>649</v>
      </c>
      <c r="H130" s="36" t="s">
        <v>39</v>
      </c>
      <c r="I130" s="36" t="s">
        <v>654</v>
      </c>
      <c r="J130" s="11" t="str">
        <f>VLOOKUP(K130,'PN Dictionary'!A:B,2,FALSE)</f>
        <v>GB300 L10</v>
      </c>
      <c r="K130" s="33" t="s">
        <v>36</v>
      </c>
      <c r="L130" s="46" t="s">
        <v>1466</v>
      </c>
      <c r="M130" s="34" t="s">
        <v>725</v>
      </c>
      <c r="N130" s="34" t="s">
        <v>53</v>
      </c>
      <c r="O130" s="34" t="s">
        <v>54</v>
      </c>
      <c r="P130" s="34">
        <v>90164</v>
      </c>
      <c r="Q130" s="34" t="s">
        <v>55</v>
      </c>
    </row>
    <row r="131" spans="1:17" s="34" customFormat="1" hidden="1" x14ac:dyDescent="0.3">
      <c r="A131" s="35" t="s">
        <v>655</v>
      </c>
      <c r="B131" s="36" t="s">
        <v>656</v>
      </c>
      <c r="C131" s="36" t="s">
        <v>50</v>
      </c>
      <c r="D131" s="36" t="s">
        <v>657</v>
      </c>
      <c r="E131" s="36" t="s">
        <v>658</v>
      </c>
      <c r="F131" s="36"/>
      <c r="G131" s="36" t="s">
        <v>649</v>
      </c>
      <c r="H131" s="36" t="s">
        <v>39</v>
      </c>
      <c r="I131" s="36" t="s">
        <v>659</v>
      </c>
      <c r="J131" s="11" t="str">
        <f>VLOOKUP(K131,'PN Dictionary'!A:B,2,FALSE)</f>
        <v>GB300 L10</v>
      </c>
      <c r="K131" s="33" t="s">
        <v>36</v>
      </c>
      <c r="L131" s="46" t="s">
        <v>1436</v>
      </c>
      <c r="M131" s="34" t="s">
        <v>726</v>
      </c>
      <c r="N131" s="34" t="s">
        <v>53</v>
      </c>
      <c r="O131" s="34" t="s">
        <v>54</v>
      </c>
      <c r="P131" s="34">
        <v>928</v>
      </c>
      <c r="Q131" s="34" t="s">
        <v>55</v>
      </c>
    </row>
    <row r="132" spans="1:17" s="34" customFormat="1" hidden="1" x14ac:dyDescent="0.3">
      <c r="A132" s="35" t="s">
        <v>660</v>
      </c>
      <c r="B132" s="36" t="s">
        <v>661</v>
      </c>
      <c r="C132" s="36" t="s">
        <v>50</v>
      </c>
      <c r="D132" s="36" t="s">
        <v>662</v>
      </c>
      <c r="E132" s="36" t="s">
        <v>380</v>
      </c>
      <c r="F132" s="36"/>
      <c r="G132" s="36" t="s">
        <v>649</v>
      </c>
      <c r="H132" s="36" t="s">
        <v>39</v>
      </c>
      <c r="I132" s="36" t="s">
        <v>620</v>
      </c>
      <c r="J132" s="11" t="str">
        <f>VLOOKUP(K132,'PN Dictionary'!A:B,2,FALSE)</f>
        <v>GB300 L10</v>
      </c>
      <c r="K132" s="33" t="s">
        <v>36</v>
      </c>
      <c r="L132" s="46" t="s">
        <v>1467</v>
      </c>
      <c r="M132" s="34" t="s">
        <v>727</v>
      </c>
      <c r="N132" s="34" t="s">
        <v>53</v>
      </c>
      <c r="O132" s="34" t="s">
        <v>54</v>
      </c>
      <c r="P132" s="34">
        <v>90131</v>
      </c>
      <c r="Q132" s="34" t="s">
        <v>55</v>
      </c>
    </row>
    <row r="133" spans="1:17" s="34" customFormat="1" hidden="1" x14ac:dyDescent="0.3">
      <c r="A133" s="35" t="s">
        <v>664</v>
      </c>
      <c r="B133" s="36" t="s">
        <v>665</v>
      </c>
      <c r="C133" s="36" t="s">
        <v>50</v>
      </c>
      <c r="D133" s="36" t="s">
        <v>499</v>
      </c>
      <c r="E133" s="36" t="s">
        <v>128</v>
      </c>
      <c r="F133" s="36"/>
      <c r="G133" s="36" t="s">
        <v>649</v>
      </c>
      <c r="H133" s="36" t="s">
        <v>39</v>
      </c>
      <c r="I133" s="36" t="s">
        <v>205</v>
      </c>
      <c r="J133" s="11" t="str">
        <f>VLOOKUP(K133,'PN Dictionary'!A:B,2,FALSE)</f>
        <v>Cable Cartridge</v>
      </c>
      <c r="K133" s="33" t="s">
        <v>6</v>
      </c>
      <c r="L133" s="46">
        <v>1823325356954</v>
      </c>
      <c r="M133" s="34">
        <v>1823325356289</v>
      </c>
      <c r="N133" s="34" t="s">
        <v>53</v>
      </c>
      <c r="O133" s="34" t="s">
        <v>54</v>
      </c>
      <c r="P133" s="34">
        <v>1291</v>
      </c>
      <c r="Q133" s="34" t="s">
        <v>55</v>
      </c>
    </row>
    <row r="134" spans="1:17" s="34" customFormat="1" hidden="1" x14ac:dyDescent="0.3">
      <c r="A134" s="35" t="s">
        <v>666</v>
      </c>
      <c r="B134" s="36" t="s">
        <v>667</v>
      </c>
      <c r="C134" s="36" t="s">
        <v>50</v>
      </c>
      <c r="D134" s="36" t="s">
        <v>668</v>
      </c>
      <c r="E134" s="36" t="s">
        <v>653</v>
      </c>
      <c r="F134" s="36"/>
      <c r="G134" s="36" t="s">
        <v>649</v>
      </c>
      <c r="H134" s="36" t="s">
        <v>39</v>
      </c>
      <c r="I134" s="36" t="s">
        <v>669</v>
      </c>
      <c r="J134" s="11" t="str">
        <f>VLOOKUP(K134,'PN Dictionary'!A:B,2,FALSE)</f>
        <v>GB300 L10</v>
      </c>
      <c r="K134" s="33" t="s">
        <v>36</v>
      </c>
      <c r="L134" s="46" t="s">
        <v>1468</v>
      </c>
      <c r="M134" s="34" t="s">
        <v>729</v>
      </c>
      <c r="N134" s="34" t="s">
        <v>53</v>
      </c>
      <c r="O134" s="34" t="s">
        <v>54</v>
      </c>
      <c r="P134" s="34">
        <v>90164</v>
      </c>
      <c r="Q134" s="34" t="s">
        <v>55</v>
      </c>
    </row>
    <row r="135" spans="1:17" s="34" customFormat="1" hidden="1" x14ac:dyDescent="0.3">
      <c r="A135" s="35" t="s">
        <v>670</v>
      </c>
      <c r="B135" s="36" t="s">
        <v>671</v>
      </c>
      <c r="C135" s="36" t="s">
        <v>50</v>
      </c>
      <c r="D135" s="36" t="s">
        <v>668</v>
      </c>
      <c r="E135" s="36" t="s">
        <v>128</v>
      </c>
      <c r="F135" s="36"/>
      <c r="G135" s="36" t="s">
        <v>649</v>
      </c>
      <c r="H135" s="36" t="s">
        <v>39</v>
      </c>
      <c r="I135" s="36" t="s">
        <v>672</v>
      </c>
      <c r="J135" s="11" t="str">
        <f>VLOOKUP(K135,'PN Dictionary'!A:B,2,FALSE)</f>
        <v>Cable Cartridge</v>
      </c>
      <c r="K135" s="33" t="s">
        <v>6</v>
      </c>
      <c r="L135" s="46">
        <v>1823025355555</v>
      </c>
      <c r="M135" s="34">
        <v>1824125354594</v>
      </c>
      <c r="N135" s="34" t="s">
        <v>53</v>
      </c>
      <c r="O135" s="34" t="s">
        <v>54</v>
      </c>
      <c r="P135" s="34">
        <v>90164</v>
      </c>
      <c r="Q135" s="34" t="s">
        <v>55</v>
      </c>
    </row>
    <row r="136" spans="1:17" s="34" customFormat="1" hidden="1" x14ac:dyDescent="0.3">
      <c r="A136" s="35" t="s">
        <v>673</v>
      </c>
      <c r="B136" s="36" t="s">
        <v>674</v>
      </c>
      <c r="C136" s="36" t="s">
        <v>50</v>
      </c>
      <c r="D136" s="36" t="s">
        <v>675</v>
      </c>
      <c r="E136" s="36" t="s">
        <v>676</v>
      </c>
      <c r="F136" s="36"/>
      <c r="G136" s="36" t="s">
        <v>649</v>
      </c>
      <c r="H136" s="36" t="s">
        <v>39</v>
      </c>
      <c r="I136" s="36" t="s">
        <v>677</v>
      </c>
      <c r="J136" s="11" t="str">
        <f>VLOOKUP(K136,'PN Dictionary'!A:B,2,FALSE)</f>
        <v>GB300 L10</v>
      </c>
      <c r="K136" s="33" t="s">
        <v>36</v>
      </c>
      <c r="L136" s="46" t="s">
        <v>1469</v>
      </c>
      <c r="M136" s="34" t="s">
        <v>731</v>
      </c>
      <c r="N136" s="34" t="s">
        <v>53</v>
      </c>
      <c r="O136" s="34" t="s">
        <v>728</v>
      </c>
      <c r="P136" s="34">
        <v>90164</v>
      </c>
      <c r="Q136" s="34" t="s">
        <v>55</v>
      </c>
    </row>
    <row r="137" spans="1:17" s="34" customFormat="1" hidden="1" x14ac:dyDescent="0.3">
      <c r="A137" s="35" t="s">
        <v>678</v>
      </c>
      <c r="B137" s="36" t="s">
        <v>679</v>
      </c>
      <c r="C137" s="36" t="s">
        <v>50</v>
      </c>
      <c r="D137" s="36" t="s">
        <v>680</v>
      </c>
      <c r="E137" s="36" t="s">
        <v>230</v>
      </c>
      <c r="F137" s="36"/>
      <c r="G137" s="36" t="s">
        <v>649</v>
      </c>
      <c r="H137" s="36" t="s">
        <v>39</v>
      </c>
      <c r="I137" s="36" t="s">
        <v>238</v>
      </c>
      <c r="J137" s="11" t="str">
        <f>VLOOKUP(K137,'PN Dictionary'!A:B,2,FALSE)</f>
        <v>NVSwitch</v>
      </c>
      <c r="K137" s="33" t="s">
        <v>7</v>
      </c>
      <c r="L137" s="46" t="s">
        <v>732</v>
      </c>
      <c r="M137" s="34" t="s">
        <v>733</v>
      </c>
      <c r="N137" s="34" t="s">
        <v>53</v>
      </c>
      <c r="O137" s="34" t="s">
        <v>54</v>
      </c>
      <c r="P137" s="34">
        <v>90131</v>
      </c>
      <c r="Q137" s="34" t="s">
        <v>55</v>
      </c>
    </row>
    <row r="138" spans="1:17" s="34" customFormat="1" hidden="1" x14ac:dyDescent="0.3">
      <c r="A138" s="35" t="s">
        <v>682</v>
      </c>
      <c r="B138" s="36" t="s">
        <v>683</v>
      </c>
      <c r="C138" s="36" t="s">
        <v>50</v>
      </c>
      <c r="D138" s="36" t="s">
        <v>684</v>
      </c>
      <c r="E138" s="36" t="s">
        <v>128</v>
      </c>
      <c r="F138" s="36"/>
      <c r="G138" s="36" t="s">
        <v>685</v>
      </c>
      <c r="H138" s="36" t="s">
        <v>39</v>
      </c>
      <c r="I138" s="36" t="s">
        <v>205</v>
      </c>
      <c r="J138" s="11" t="str">
        <f>VLOOKUP(K138,'PN Dictionary'!A:B,2,FALSE)</f>
        <v>Cable Cartridge</v>
      </c>
      <c r="K138" s="33" t="s">
        <v>6</v>
      </c>
      <c r="L138" s="46">
        <v>2023725350504</v>
      </c>
      <c r="M138" s="34">
        <v>1823325355953</v>
      </c>
      <c r="N138" s="34" t="s">
        <v>53</v>
      </c>
      <c r="O138" s="34" t="s">
        <v>54</v>
      </c>
      <c r="P138" s="34">
        <v>640</v>
      </c>
      <c r="Q138" s="34" t="s">
        <v>55</v>
      </c>
    </row>
    <row r="139" spans="1:17" s="34" customFormat="1" hidden="1" x14ac:dyDescent="0.3">
      <c r="A139" s="35" t="s">
        <v>686</v>
      </c>
      <c r="B139" s="36" t="s">
        <v>687</v>
      </c>
      <c r="C139" s="36" t="s">
        <v>50</v>
      </c>
      <c r="D139" s="36" t="s">
        <v>663</v>
      </c>
      <c r="E139" s="36" t="s">
        <v>128</v>
      </c>
      <c r="F139" s="36"/>
      <c r="G139" s="36" t="s">
        <v>685</v>
      </c>
      <c r="H139" s="36" t="s">
        <v>39</v>
      </c>
      <c r="I139" s="36" t="s">
        <v>205</v>
      </c>
      <c r="J139" s="11" t="str">
        <f>VLOOKUP(K139,'PN Dictionary'!A:B,2,FALSE)</f>
        <v>Cable Cartridge</v>
      </c>
      <c r="K139" s="33" t="s">
        <v>6</v>
      </c>
      <c r="L139" s="46">
        <v>1823225356127</v>
      </c>
      <c r="M139" s="34">
        <v>1823325355840</v>
      </c>
      <c r="N139" s="34" t="s">
        <v>53</v>
      </c>
      <c r="O139" s="34" t="s">
        <v>728</v>
      </c>
      <c r="P139" s="34">
        <v>640</v>
      </c>
      <c r="Q139" s="34" t="s">
        <v>55</v>
      </c>
    </row>
    <row r="140" spans="1:17" hidden="1" x14ac:dyDescent="0.3">
      <c r="A140" s="26" t="s">
        <v>741</v>
      </c>
      <c r="B140" s="26" t="s">
        <v>751</v>
      </c>
      <c r="C140" s="26" t="s">
        <v>50</v>
      </c>
      <c r="D140" s="26" t="s">
        <v>742</v>
      </c>
      <c r="E140" s="26" t="s">
        <v>743</v>
      </c>
      <c r="G140" s="26" t="s">
        <v>685</v>
      </c>
      <c r="H140" s="26" t="s">
        <v>619</v>
      </c>
      <c r="I140" s="26" t="s">
        <v>744</v>
      </c>
      <c r="J140" s="11" t="str">
        <f>VLOOKUP(K140,'PN Dictionary'!A:B,2,FALSE)</f>
        <v>Cable Cartridge</v>
      </c>
      <c r="K140" s="33" t="s">
        <v>6</v>
      </c>
      <c r="L140" s="44">
        <v>2023825350556</v>
      </c>
      <c r="M140" s="26"/>
      <c r="N140" s="26" t="s">
        <v>53</v>
      </c>
      <c r="O140" s="26" t="s">
        <v>54</v>
      </c>
      <c r="P140" s="26">
        <v>1519</v>
      </c>
      <c r="Q140" s="26" t="s">
        <v>55</v>
      </c>
    </row>
    <row r="141" spans="1:17" hidden="1" x14ac:dyDescent="0.3">
      <c r="A141" s="26" t="s">
        <v>745</v>
      </c>
      <c r="B141" s="26" t="s">
        <v>746</v>
      </c>
      <c r="C141" s="26" t="s">
        <v>50</v>
      </c>
      <c r="D141" s="26" t="s">
        <v>684</v>
      </c>
      <c r="E141" s="26" t="s">
        <v>128</v>
      </c>
      <c r="G141" s="26" t="s">
        <v>685</v>
      </c>
      <c r="H141" s="26" t="s">
        <v>39</v>
      </c>
      <c r="I141" s="26" t="s">
        <v>205</v>
      </c>
      <c r="J141" s="11" t="str">
        <f>VLOOKUP(K141,'PN Dictionary'!A:B,2,FALSE)</f>
        <v>Cable Cartridge</v>
      </c>
      <c r="K141" s="26" t="s">
        <v>6</v>
      </c>
      <c r="L141" s="44">
        <v>1823325355953</v>
      </c>
      <c r="M141" s="26">
        <v>1823325355978</v>
      </c>
      <c r="N141" s="26" t="s">
        <v>53</v>
      </c>
      <c r="O141" s="26" t="s">
        <v>54</v>
      </c>
      <c r="P141" s="26">
        <v>90131</v>
      </c>
      <c r="Q141" s="26" t="s">
        <v>55</v>
      </c>
    </row>
    <row r="142" spans="1:17" hidden="1" x14ac:dyDescent="0.3">
      <c r="A142" s="26" t="s">
        <v>747</v>
      </c>
      <c r="B142" s="26" t="s">
        <v>748</v>
      </c>
      <c r="C142" s="26" t="s">
        <v>50</v>
      </c>
      <c r="D142" s="26" t="s">
        <v>749</v>
      </c>
      <c r="E142" s="26" t="s">
        <v>128</v>
      </c>
      <c r="G142" s="26" t="s">
        <v>685</v>
      </c>
      <c r="H142" s="26" t="s">
        <v>39</v>
      </c>
      <c r="I142" s="26" t="s">
        <v>750</v>
      </c>
      <c r="J142" s="11" t="str">
        <f>VLOOKUP(K142,'PN Dictionary'!A:B,2,FALSE)</f>
        <v>Cable Cartridge</v>
      </c>
      <c r="K142" s="26" t="s">
        <v>6</v>
      </c>
      <c r="L142" s="44">
        <v>1823325354842</v>
      </c>
      <c r="M142" s="26">
        <v>1823325356201</v>
      </c>
      <c r="N142" s="26" t="s">
        <v>53</v>
      </c>
      <c r="O142" s="26" t="s">
        <v>728</v>
      </c>
      <c r="P142" s="26">
        <v>90131</v>
      </c>
      <c r="Q142" s="26" t="s">
        <v>55</v>
      </c>
    </row>
    <row r="143" spans="1:17" hidden="1" x14ac:dyDescent="0.3">
      <c r="A143" s="26" t="s">
        <v>752</v>
      </c>
      <c r="B143" s="26" t="s">
        <v>753</v>
      </c>
      <c r="C143" s="26" t="s">
        <v>50</v>
      </c>
      <c r="D143" s="26" t="s">
        <v>586</v>
      </c>
      <c r="E143" s="26" t="s">
        <v>128</v>
      </c>
      <c r="G143" s="26" t="s">
        <v>685</v>
      </c>
      <c r="H143" s="26" t="s">
        <v>39</v>
      </c>
      <c r="I143" s="26" t="s">
        <v>754</v>
      </c>
      <c r="J143" s="11" t="str">
        <f>VLOOKUP(K143,'PN Dictionary'!A:B,2,FALSE)</f>
        <v>Cable Cartridge</v>
      </c>
      <c r="K143" s="26" t="s">
        <v>6</v>
      </c>
      <c r="L143" s="44">
        <v>1823225355838</v>
      </c>
      <c r="M143" s="26">
        <v>1823625355796</v>
      </c>
      <c r="N143" s="26" t="s">
        <v>53</v>
      </c>
      <c r="O143" s="26" t="s">
        <v>54</v>
      </c>
      <c r="P143" s="26">
        <v>928</v>
      </c>
      <c r="Q143" s="26" t="s">
        <v>55</v>
      </c>
    </row>
    <row r="144" spans="1:17" hidden="1" x14ac:dyDescent="0.3">
      <c r="A144" s="26" t="s">
        <v>755</v>
      </c>
      <c r="B144" s="26" t="s">
        <v>756</v>
      </c>
      <c r="C144" s="26" t="s">
        <v>50</v>
      </c>
      <c r="D144" s="26" t="s">
        <v>525</v>
      </c>
      <c r="E144" s="26" t="s">
        <v>52</v>
      </c>
      <c r="G144" s="26" t="s">
        <v>685</v>
      </c>
      <c r="H144" s="26" t="s">
        <v>39</v>
      </c>
      <c r="I144" s="26" t="s">
        <v>757</v>
      </c>
      <c r="J144" s="11" t="str">
        <f>VLOOKUP(K144,'PN Dictionary'!A:B,2,FALSE)</f>
        <v>GB300 L10</v>
      </c>
      <c r="K144" s="26" t="s">
        <v>36</v>
      </c>
      <c r="L144" s="44" t="s">
        <v>1470</v>
      </c>
      <c r="M144" s="26" t="s">
        <v>758</v>
      </c>
      <c r="N144" s="26" t="s">
        <v>53</v>
      </c>
      <c r="O144" s="26" t="s">
        <v>54</v>
      </c>
      <c r="P144" s="26">
        <v>90131</v>
      </c>
      <c r="Q144" s="26" t="s">
        <v>55</v>
      </c>
    </row>
    <row r="145" spans="1:17" hidden="1" x14ac:dyDescent="0.3">
      <c r="A145" s="26" t="s">
        <v>759</v>
      </c>
      <c r="B145" s="26" t="s">
        <v>760</v>
      </c>
      <c r="C145" s="26" t="s">
        <v>50</v>
      </c>
      <c r="D145" s="26" t="s">
        <v>668</v>
      </c>
      <c r="E145" s="26" t="s">
        <v>761</v>
      </c>
      <c r="G145" s="26" t="s">
        <v>685</v>
      </c>
      <c r="H145" s="26" t="s">
        <v>39</v>
      </c>
      <c r="I145" s="26" t="s">
        <v>762</v>
      </c>
      <c r="J145" s="11" t="str">
        <f>VLOOKUP(K145,'PN Dictionary'!A:B,2,FALSE)</f>
        <v>GB300 L10</v>
      </c>
      <c r="K145" s="26" t="s">
        <v>36</v>
      </c>
      <c r="L145" s="44" t="s">
        <v>1471</v>
      </c>
      <c r="M145" s="26" t="s">
        <v>763</v>
      </c>
      <c r="N145" s="26" t="s">
        <v>53</v>
      </c>
      <c r="O145" s="26" t="s">
        <v>54</v>
      </c>
      <c r="P145" s="26">
        <v>90164</v>
      </c>
      <c r="Q145" s="26" t="s">
        <v>55</v>
      </c>
    </row>
    <row r="146" spans="1:17" hidden="1" x14ac:dyDescent="0.3">
      <c r="A146" s="26" t="s">
        <v>765</v>
      </c>
      <c r="B146" s="26" t="s">
        <v>766</v>
      </c>
      <c r="C146" s="26" t="s">
        <v>50</v>
      </c>
      <c r="D146" s="26" t="s">
        <v>767</v>
      </c>
      <c r="E146" s="26" t="s">
        <v>52</v>
      </c>
      <c r="G146" s="26" t="s">
        <v>685</v>
      </c>
      <c r="H146" s="26" t="s">
        <v>39</v>
      </c>
      <c r="I146" s="26" t="s">
        <v>768</v>
      </c>
      <c r="J146" s="11" t="str">
        <f>VLOOKUP(K146,'PN Dictionary'!A:B,2,FALSE)</f>
        <v>GB300 L10</v>
      </c>
      <c r="K146" s="26" t="s">
        <v>36</v>
      </c>
      <c r="L146" s="44" t="s">
        <v>1472</v>
      </c>
      <c r="M146" s="26" t="s">
        <v>769</v>
      </c>
      <c r="N146" s="26" t="s">
        <v>53</v>
      </c>
      <c r="O146" s="26" t="s">
        <v>728</v>
      </c>
      <c r="P146" s="26">
        <v>90131</v>
      </c>
      <c r="Q146" s="26" t="s">
        <v>55</v>
      </c>
    </row>
    <row r="147" spans="1:17" hidden="1" x14ac:dyDescent="0.3">
      <c r="A147" s="26" t="s">
        <v>770</v>
      </c>
      <c r="B147" s="26" t="s">
        <v>771</v>
      </c>
      <c r="C147" s="26" t="s">
        <v>50</v>
      </c>
      <c r="D147" s="26" t="s">
        <v>675</v>
      </c>
      <c r="E147" s="26" t="s">
        <v>653</v>
      </c>
      <c r="G147" s="26" t="s">
        <v>685</v>
      </c>
      <c r="H147" s="26" t="s">
        <v>39</v>
      </c>
      <c r="I147" s="26" t="s">
        <v>772</v>
      </c>
      <c r="J147" s="11" t="str">
        <f>VLOOKUP(K147,'PN Dictionary'!A:B,2,FALSE)</f>
        <v>GB300 L10</v>
      </c>
      <c r="K147" s="26" t="s">
        <v>36</v>
      </c>
      <c r="L147" s="44" t="s">
        <v>1473</v>
      </c>
      <c r="M147" s="26" t="s">
        <v>773</v>
      </c>
      <c r="N147" s="26" t="s">
        <v>53</v>
      </c>
      <c r="O147" s="26" t="s">
        <v>728</v>
      </c>
      <c r="P147" s="26">
        <v>90164</v>
      </c>
      <c r="Q147" s="26" t="s">
        <v>55</v>
      </c>
    </row>
    <row r="148" spans="1:17" hidden="1" x14ac:dyDescent="0.3">
      <c r="A148" s="26" t="s">
        <v>774</v>
      </c>
      <c r="B148" s="26" t="s">
        <v>775</v>
      </c>
      <c r="C148" s="26" t="s">
        <v>50</v>
      </c>
      <c r="D148" s="26" t="s">
        <v>742</v>
      </c>
      <c r="E148" s="26" t="s">
        <v>653</v>
      </c>
      <c r="G148" s="26" t="s">
        <v>685</v>
      </c>
      <c r="H148" s="26" t="s">
        <v>39</v>
      </c>
      <c r="I148" s="26" t="s">
        <v>776</v>
      </c>
      <c r="J148" s="11" t="str">
        <f>VLOOKUP(K148,'PN Dictionary'!A:B,2,FALSE)</f>
        <v>GB300 L10</v>
      </c>
      <c r="K148" s="26" t="s">
        <v>36</v>
      </c>
      <c r="L148" s="44" t="s">
        <v>1474</v>
      </c>
      <c r="M148" s="26" t="s">
        <v>777</v>
      </c>
      <c r="N148" s="26" t="s">
        <v>53</v>
      </c>
      <c r="O148" s="26" t="s">
        <v>54</v>
      </c>
      <c r="P148" s="26">
        <v>90164</v>
      </c>
      <c r="Q148" s="26" t="s">
        <v>55</v>
      </c>
    </row>
    <row r="149" spans="1:17" hidden="1" x14ac:dyDescent="0.3">
      <c r="A149" s="26" t="s">
        <v>778</v>
      </c>
      <c r="B149" s="26" t="s">
        <v>779</v>
      </c>
      <c r="C149" s="26" t="s">
        <v>50</v>
      </c>
      <c r="D149" s="26" t="s">
        <v>780</v>
      </c>
      <c r="E149" s="26" t="s">
        <v>242</v>
      </c>
      <c r="G149" s="26" t="s">
        <v>781</v>
      </c>
      <c r="H149" s="26" t="s">
        <v>39</v>
      </c>
      <c r="I149" s="26" t="s">
        <v>782</v>
      </c>
      <c r="J149" s="11" t="str">
        <f>VLOOKUP(K149,'PN Dictionary'!A:B,2,FALSE)</f>
        <v>Delta Power Shelf Left Input</v>
      </c>
      <c r="K149" s="26" t="s">
        <v>10</v>
      </c>
      <c r="L149" s="44" t="s">
        <v>783</v>
      </c>
      <c r="M149" s="26" t="s">
        <v>784</v>
      </c>
      <c r="N149" s="26" t="s">
        <v>53</v>
      </c>
      <c r="O149" s="26" t="s">
        <v>728</v>
      </c>
      <c r="P149" s="26">
        <v>928</v>
      </c>
      <c r="Q149" s="26" t="s">
        <v>55</v>
      </c>
    </row>
    <row r="150" spans="1:17" hidden="1" x14ac:dyDescent="0.3">
      <c r="A150" s="26" t="s">
        <v>785</v>
      </c>
      <c r="B150" s="26" t="s">
        <v>786</v>
      </c>
      <c r="C150" s="26" t="s">
        <v>50</v>
      </c>
      <c r="D150" s="26" t="s">
        <v>787</v>
      </c>
      <c r="E150" s="26" t="s">
        <v>128</v>
      </c>
      <c r="G150" s="26" t="s">
        <v>781</v>
      </c>
      <c r="H150" s="26" t="s">
        <v>39</v>
      </c>
      <c r="I150" s="26" t="s">
        <v>788</v>
      </c>
      <c r="J150" s="11" t="str">
        <f>VLOOKUP(K150,'PN Dictionary'!A:B,2,FALSE)</f>
        <v>Cable Cartridge</v>
      </c>
      <c r="K150" s="26" t="s">
        <v>6</v>
      </c>
      <c r="L150" s="44">
        <v>1823525354015</v>
      </c>
      <c r="M150" s="26">
        <v>1823325356052</v>
      </c>
      <c r="N150" s="26" t="s">
        <v>53</v>
      </c>
      <c r="O150" s="26" t="s">
        <v>728</v>
      </c>
      <c r="P150" s="26">
        <v>1348</v>
      </c>
      <c r="Q150" s="26" t="s">
        <v>55</v>
      </c>
    </row>
    <row r="151" spans="1:17" hidden="1" x14ac:dyDescent="0.3">
      <c r="A151" s="26" t="s">
        <v>789</v>
      </c>
      <c r="B151" s="26" t="s">
        <v>790</v>
      </c>
      <c r="C151" s="26" t="s">
        <v>50</v>
      </c>
      <c r="D151" s="26" t="s">
        <v>787</v>
      </c>
      <c r="E151" s="26" t="s">
        <v>128</v>
      </c>
      <c r="G151" s="26" t="s">
        <v>781</v>
      </c>
      <c r="H151" s="26" t="s">
        <v>39</v>
      </c>
      <c r="I151" s="26" t="s">
        <v>791</v>
      </c>
      <c r="J151" s="11" t="str">
        <f>VLOOKUP(K151,'PN Dictionary'!A:B,2,FALSE)</f>
        <v>Cable Cartridge</v>
      </c>
      <c r="K151" s="26" t="s">
        <v>6</v>
      </c>
      <c r="L151" s="44">
        <v>1823425356467</v>
      </c>
      <c r="M151" s="26">
        <v>1823425355583</v>
      </c>
      <c r="N151" s="26" t="s">
        <v>53</v>
      </c>
      <c r="O151" s="26" t="s">
        <v>728</v>
      </c>
      <c r="P151" s="26">
        <v>1348</v>
      </c>
      <c r="Q151" s="26" t="s">
        <v>55</v>
      </c>
    </row>
    <row r="152" spans="1:17" hidden="1" x14ac:dyDescent="0.3">
      <c r="A152" s="26" t="s">
        <v>792</v>
      </c>
      <c r="B152" s="26" t="s">
        <v>793</v>
      </c>
      <c r="C152" s="26" t="s">
        <v>50</v>
      </c>
      <c r="D152" s="26" t="s">
        <v>499</v>
      </c>
      <c r="E152" s="26" t="s">
        <v>128</v>
      </c>
      <c r="G152" s="26" t="s">
        <v>781</v>
      </c>
      <c r="H152" s="26" t="s">
        <v>39</v>
      </c>
      <c r="I152" s="26" t="s">
        <v>205</v>
      </c>
      <c r="J152" s="11" t="str">
        <f>VLOOKUP(K152,'PN Dictionary'!A:B,2,FALSE)</f>
        <v>Cable Cartridge</v>
      </c>
      <c r="K152" s="26" t="s">
        <v>6</v>
      </c>
      <c r="L152" s="44">
        <v>1823325356289</v>
      </c>
      <c r="M152" s="26">
        <v>1823525354195</v>
      </c>
      <c r="N152" s="26" t="s">
        <v>53</v>
      </c>
      <c r="O152" s="26" t="s">
        <v>54</v>
      </c>
      <c r="P152" s="26">
        <v>928</v>
      </c>
      <c r="Q152" s="26" t="s">
        <v>55</v>
      </c>
    </row>
    <row r="153" spans="1:17" hidden="1" x14ac:dyDescent="0.3">
      <c r="A153" s="26" t="s">
        <v>1553</v>
      </c>
      <c r="B153" s="26" t="s">
        <v>1554</v>
      </c>
      <c r="C153" s="26" t="s">
        <v>50</v>
      </c>
      <c r="D153" s="26" t="s">
        <v>644</v>
      </c>
      <c r="E153" s="26" t="s">
        <v>81</v>
      </c>
      <c r="G153" s="26" t="s">
        <v>781</v>
      </c>
      <c r="H153" s="26" t="s">
        <v>619</v>
      </c>
      <c r="I153" s="26" t="s">
        <v>1555</v>
      </c>
      <c r="J153" s="11" t="str">
        <f>VLOOKUP(K153,'PN Dictionary'!A:B,2,FALSE)</f>
        <v>GB300 L10</v>
      </c>
      <c r="K153" s="26" t="s">
        <v>36</v>
      </c>
      <c r="L153" s="44" t="s">
        <v>191</v>
      </c>
      <c r="M153" s="26"/>
      <c r="N153" s="26" t="s">
        <v>53</v>
      </c>
      <c r="O153" s="26" t="s">
        <v>54</v>
      </c>
      <c r="P153" s="26">
        <v>924</v>
      </c>
      <c r="Q153" s="26" t="s">
        <v>55</v>
      </c>
    </row>
    <row r="154" spans="1:17" hidden="1" x14ac:dyDescent="0.3">
      <c r="A154" s="26" t="s">
        <v>794</v>
      </c>
      <c r="B154" s="26" t="s">
        <v>865</v>
      </c>
      <c r="C154" s="26" t="s">
        <v>50</v>
      </c>
      <c r="D154" s="26" t="s">
        <v>795</v>
      </c>
      <c r="E154" s="26" t="s">
        <v>796</v>
      </c>
      <c r="G154" s="26" t="s">
        <v>781</v>
      </c>
      <c r="H154" s="26" t="s">
        <v>39</v>
      </c>
      <c r="I154" s="26" t="s">
        <v>797</v>
      </c>
      <c r="J154" s="11" t="str">
        <f>VLOOKUP(K154,'PN Dictionary'!A:B,2,FALSE)</f>
        <v>Power Shelf Control Module</v>
      </c>
      <c r="K154" s="11" t="s">
        <v>11</v>
      </c>
      <c r="L154" s="44" t="s">
        <v>798</v>
      </c>
      <c r="M154" s="26" t="s">
        <v>866</v>
      </c>
      <c r="N154" s="26" t="s">
        <v>53</v>
      </c>
      <c r="O154" s="26" t="s">
        <v>728</v>
      </c>
      <c r="P154" s="26">
        <v>924</v>
      </c>
      <c r="Q154" s="26" t="s">
        <v>55</v>
      </c>
    </row>
    <row r="155" spans="1:17" hidden="1" x14ac:dyDescent="0.3">
      <c r="A155" s="26" t="s">
        <v>799</v>
      </c>
      <c r="B155" s="26" t="s">
        <v>800</v>
      </c>
      <c r="C155" s="26" t="s">
        <v>50</v>
      </c>
      <c r="D155" s="26" t="s">
        <v>801</v>
      </c>
      <c r="E155" s="26" t="s">
        <v>242</v>
      </c>
      <c r="G155" s="26" t="s">
        <v>781</v>
      </c>
      <c r="H155" s="26" t="s">
        <v>39</v>
      </c>
      <c r="I155" s="26" t="s">
        <v>604</v>
      </c>
      <c r="J155" s="11" t="str">
        <f>VLOOKUP(K155,'PN Dictionary'!A:B,2,FALSE)</f>
        <v>Cable Cartridge</v>
      </c>
      <c r="K155" s="26" t="s">
        <v>6</v>
      </c>
      <c r="L155" s="44">
        <v>1823800772</v>
      </c>
      <c r="M155" s="26">
        <v>1823801161</v>
      </c>
      <c r="N155" s="26" t="s">
        <v>53</v>
      </c>
      <c r="O155" s="26" t="s">
        <v>728</v>
      </c>
      <c r="P155" s="26">
        <v>2131</v>
      </c>
      <c r="Q155" s="26" t="s">
        <v>55</v>
      </c>
    </row>
    <row r="156" spans="1:17" hidden="1" x14ac:dyDescent="0.3">
      <c r="A156" s="26" t="s">
        <v>802</v>
      </c>
      <c r="B156" s="26" t="s">
        <v>803</v>
      </c>
      <c r="C156" s="26" t="s">
        <v>50</v>
      </c>
      <c r="D156" s="26" t="s">
        <v>804</v>
      </c>
      <c r="E156" s="26" t="s">
        <v>380</v>
      </c>
      <c r="G156" s="26" t="s">
        <v>781</v>
      </c>
      <c r="H156" s="26" t="s">
        <v>39</v>
      </c>
      <c r="I156" s="26" t="s">
        <v>805</v>
      </c>
      <c r="J156" s="11" t="str">
        <f>VLOOKUP(K156,'PN Dictionary'!A:B,2,FALSE)</f>
        <v>GB300 L10</v>
      </c>
      <c r="K156" s="26" t="s">
        <v>36</v>
      </c>
      <c r="L156" s="44" t="s">
        <v>1475</v>
      </c>
      <c r="M156" s="26" t="s">
        <v>806</v>
      </c>
      <c r="N156" s="26" t="s">
        <v>53</v>
      </c>
      <c r="O156" s="26" t="s">
        <v>728</v>
      </c>
      <c r="P156" s="26">
        <v>90131</v>
      </c>
      <c r="Q156" s="26" t="s">
        <v>55</v>
      </c>
    </row>
    <row r="157" spans="1:17" hidden="1" x14ac:dyDescent="0.3">
      <c r="A157" s="26" t="s">
        <v>807</v>
      </c>
      <c r="B157" s="26" t="s">
        <v>808</v>
      </c>
      <c r="C157" s="26" t="s">
        <v>50</v>
      </c>
      <c r="D157" s="26" t="s">
        <v>804</v>
      </c>
      <c r="E157" s="26" t="s">
        <v>380</v>
      </c>
      <c r="G157" s="26" t="s">
        <v>781</v>
      </c>
      <c r="H157" s="26" t="s">
        <v>39</v>
      </c>
      <c r="I157" s="26" t="s">
        <v>805</v>
      </c>
      <c r="J157" s="11" t="str">
        <f>VLOOKUP(K157,'PN Dictionary'!A:B,2,FALSE)</f>
        <v>GB300 L10</v>
      </c>
      <c r="K157" s="26" t="s">
        <v>36</v>
      </c>
      <c r="L157" s="44" t="s">
        <v>1476</v>
      </c>
      <c r="M157" s="26" t="s">
        <v>809</v>
      </c>
      <c r="N157" s="26" t="s">
        <v>53</v>
      </c>
      <c r="O157" s="26" t="s">
        <v>728</v>
      </c>
      <c r="P157" s="26">
        <v>90131</v>
      </c>
      <c r="Q157" s="26" t="s">
        <v>55</v>
      </c>
    </row>
    <row r="158" spans="1:17" hidden="1" x14ac:dyDescent="0.3">
      <c r="A158" s="26" t="s">
        <v>810</v>
      </c>
      <c r="B158" s="26" t="s">
        <v>811</v>
      </c>
      <c r="C158" s="26" t="s">
        <v>50</v>
      </c>
      <c r="D158" s="26" t="s">
        <v>812</v>
      </c>
      <c r="E158" s="26" t="s">
        <v>81</v>
      </c>
      <c r="G158" s="26" t="s">
        <v>781</v>
      </c>
      <c r="H158" s="26" t="s">
        <v>39</v>
      </c>
      <c r="I158" s="26" t="s">
        <v>813</v>
      </c>
      <c r="J158" s="11" t="str">
        <f>VLOOKUP(K158,'PN Dictionary'!A:B,2,FALSE)</f>
        <v>GB300 L10</v>
      </c>
      <c r="K158" s="26" t="s">
        <v>36</v>
      </c>
      <c r="L158" s="44" t="s">
        <v>1477</v>
      </c>
      <c r="M158" s="26" t="s">
        <v>814</v>
      </c>
      <c r="N158" s="26" t="s">
        <v>53</v>
      </c>
      <c r="O158" s="26" t="s">
        <v>728</v>
      </c>
      <c r="P158" s="26">
        <v>90131</v>
      </c>
      <c r="Q158" s="26" t="s">
        <v>55</v>
      </c>
    </row>
    <row r="159" spans="1:17" hidden="1" x14ac:dyDescent="0.3">
      <c r="A159" s="26" t="s">
        <v>815</v>
      </c>
      <c r="B159" s="26" t="s">
        <v>816</v>
      </c>
      <c r="C159" s="26" t="s">
        <v>50</v>
      </c>
      <c r="D159" s="26" t="s">
        <v>764</v>
      </c>
      <c r="E159" s="26" t="s">
        <v>81</v>
      </c>
      <c r="G159" s="26" t="s">
        <v>781</v>
      </c>
      <c r="H159" s="26" t="s">
        <v>39</v>
      </c>
      <c r="I159" s="26" t="s">
        <v>817</v>
      </c>
      <c r="J159" s="11" t="str">
        <f>VLOOKUP(K159,'PN Dictionary'!A:B,2,FALSE)</f>
        <v>GB300 L10</v>
      </c>
      <c r="K159" s="26" t="s">
        <v>36</v>
      </c>
      <c r="L159" s="44" t="s">
        <v>1478</v>
      </c>
      <c r="M159" s="26" t="s">
        <v>818</v>
      </c>
      <c r="N159" s="26" t="s">
        <v>53</v>
      </c>
      <c r="O159" s="26" t="s">
        <v>54</v>
      </c>
      <c r="P159" s="26">
        <v>90131</v>
      </c>
      <c r="Q159" s="26" t="s">
        <v>55</v>
      </c>
    </row>
    <row r="160" spans="1:17" hidden="1" x14ac:dyDescent="0.3">
      <c r="A160" s="26" t="s">
        <v>819</v>
      </c>
      <c r="B160" s="26" t="s">
        <v>820</v>
      </c>
      <c r="C160" s="26" t="s">
        <v>50</v>
      </c>
      <c r="D160" s="26" t="s">
        <v>821</v>
      </c>
      <c r="E160" s="26" t="s">
        <v>113</v>
      </c>
      <c r="G160" s="26" t="s">
        <v>781</v>
      </c>
      <c r="H160" s="26" t="s">
        <v>39</v>
      </c>
      <c r="I160" s="26" t="s">
        <v>822</v>
      </c>
      <c r="J160" s="11" t="str">
        <f>VLOOKUP(K160,'PN Dictionary'!A:B,2,FALSE)</f>
        <v>GB300 L10</v>
      </c>
      <c r="K160" s="26" t="s">
        <v>36</v>
      </c>
      <c r="L160" s="44" t="s">
        <v>1479</v>
      </c>
      <c r="M160" s="26" t="s">
        <v>823</v>
      </c>
      <c r="N160" s="26" t="s">
        <v>53</v>
      </c>
      <c r="O160" s="26" t="s">
        <v>728</v>
      </c>
      <c r="P160" s="26">
        <v>90066</v>
      </c>
      <c r="Q160" s="26" t="s">
        <v>55</v>
      </c>
    </row>
    <row r="161" spans="1:17" hidden="1" x14ac:dyDescent="0.3">
      <c r="A161" s="26" t="s">
        <v>824</v>
      </c>
      <c r="B161" s="26" t="s">
        <v>825</v>
      </c>
      <c r="C161" s="26" t="s">
        <v>50</v>
      </c>
      <c r="D161" s="26" t="s">
        <v>826</v>
      </c>
      <c r="E161" s="26" t="s">
        <v>81</v>
      </c>
      <c r="G161" s="26" t="s">
        <v>781</v>
      </c>
      <c r="H161" s="26" t="s">
        <v>39</v>
      </c>
      <c r="I161" s="26" t="s">
        <v>827</v>
      </c>
      <c r="J161" s="11" t="str">
        <f>VLOOKUP(K161,'PN Dictionary'!A:B,2,FALSE)</f>
        <v>GB300 L10</v>
      </c>
      <c r="K161" s="26" t="s">
        <v>36</v>
      </c>
      <c r="L161" s="44" t="s">
        <v>1480</v>
      </c>
      <c r="M161" s="26" t="s">
        <v>828</v>
      </c>
      <c r="N161" s="26" t="s">
        <v>53</v>
      </c>
      <c r="O161" s="26" t="s">
        <v>54</v>
      </c>
      <c r="P161" s="26">
        <v>90131</v>
      </c>
      <c r="Q161" s="26" t="s">
        <v>55</v>
      </c>
    </row>
    <row r="162" spans="1:17" hidden="1" x14ac:dyDescent="0.3">
      <c r="A162" s="26" t="s">
        <v>829</v>
      </c>
      <c r="B162" s="26" t="s">
        <v>830</v>
      </c>
      <c r="C162" s="26" t="s">
        <v>50</v>
      </c>
      <c r="D162" s="26" t="s">
        <v>804</v>
      </c>
      <c r="E162" s="26" t="s">
        <v>81</v>
      </c>
      <c r="G162" s="26" t="s">
        <v>781</v>
      </c>
      <c r="H162" s="26" t="s">
        <v>39</v>
      </c>
      <c r="I162" s="26" t="s">
        <v>831</v>
      </c>
      <c r="J162" s="11" t="str">
        <f>VLOOKUP(K162,'PN Dictionary'!A:B,2,FALSE)</f>
        <v>GB300 L10</v>
      </c>
      <c r="K162" s="26" t="s">
        <v>36</v>
      </c>
      <c r="L162" s="44" t="s">
        <v>1481</v>
      </c>
      <c r="M162" s="26" t="s">
        <v>832</v>
      </c>
      <c r="N162" s="26" t="s">
        <v>53</v>
      </c>
      <c r="O162" s="26" t="s">
        <v>728</v>
      </c>
      <c r="P162" s="26">
        <v>90131</v>
      </c>
      <c r="Q162" s="26" t="s">
        <v>55</v>
      </c>
    </row>
    <row r="163" spans="1:17" hidden="1" x14ac:dyDescent="0.3">
      <c r="A163" s="26" t="s">
        <v>833</v>
      </c>
      <c r="B163" s="26" t="s">
        <v>834</v>
      </c>
      <c r="C163" s="26" t="s">
        <v>50</v>
      </c>
      <c r="D163" s="26" t="s">
        <v>835</v>
      </c>
      <c r="E163" s="26" t="s">
        <v>38</v>
      </c>
      <c r="G163" s="26" t="s">
        <v>781</v>
      </c>
      <c r="H163" s="26" t="s">
        <v>39</v>
      </c>
      <c r="I163" s="26" t="s">
        <v>836</v>
      </c>
      <c r="J163" s="11" t="str">
        <f>VLOOKUP(K163,'PN Dictionary'!A:B,2,FALSE)</f>
        <v>GB300 L10</v>
      </c>
      <c r="K163" s="26" t="s">
        <v>36</v>
      </c>
      <c r="L163" s="44" t="s">
        <v>1482</v>
      </c>
      <c r="M163" s="26" t="s">
        <v>837</v>
      </c>
      <c r="N163" s="26" t="s">
        <v>53</v>
      </c>
      <c r="O163" s="26" t="s">
        <v>728</v>
      </c>
      <c r="P163" s="26">
        <v>90066</v>
      </c>
      <c r="Q163" s="26" t="s">
        <v>55</v>
      </c>
    </row>
    <row r="164" spans="1:17" hidden="1" x14ac:dyDescent="0.3">
      <c r="A164" s="26" t="s">
        <v>838</v>
      </c>
      <c r="B164" s="26" t="s">
        <v>839</v>
      </c>
      <c r="C164" s="26" t="s">
        <v>50</v>
      </c>
      <c r="D164" s="26" t="s">
        <v>684</v>
      </c>
      <c r="E164" s="26" t="s">
        <v>230</v>
      </c>
      <c r="G164" s="26" t="s">
        <v>781</v>
      </c>
      <c r="H164" s="26" t="s">
        <v>39</v>
      </c>
      <c r="I164" s="26" t="s">
        <v>875</v>
      </c>
      <c r="J164" s="11" t="str">
        <f>VLOOKUP(K164,'PN Dictionary'!A:B,2,FALSE)</f>
        <v>NVSwitch</v>
      </c>
      <c r="K164" s="26" t="s">
        <v>7</v>
      </c>
      <c r="L164" s="44" t="s">
        <v>840</v>
      </c>
      <c r="M164" s="26" t="s">
        <v>841</v>
      </c>
      <c r="N164" s="26" t="s">
        <v>53</v>
      </c>
      <c r="O164" s="26" t="s">
        <v>54</v>
      </c>
      <c r="P164" s="26">
        <v>90131</v>
      </c>
      <c r="Q164" s="26" t="s">
        <v>55</v>
      </c>
    </row>
    <row r="165" spans="1:17" hidden="1" x14ac:dyDescent="0.3">
      <c r="A165" s="26" t="s">
        <v>843</v>
      </c>
      <c r="B165" s="26" t="s">
        <v>844</v>
      </c>
      <c r="C165" s="26" t="s">
        <v>50</v>
      </c>
      <c r="D165" s="26" t="s">
        <v>801</v>
      </c>
      <c r="E165" s="26" t="s">
        <v>676</v>
      </c>
      <c r="G165" s="26" t="s">
        <v>842</v>
      </c>
      <c r="H165" s="26" t="s">
        <v>39</v>
      </c>
      <c r="I165" s="26" t="s">
        <v>845</v>
      </c>
      <c r="J165" s="11" t="str">
        <f>VLOOKUP(K165,'PN Dictionary'!A:B,2,FALSE)</f>
        <v>GB300 L10</v>
      </c>
      <c r="K165" s="26" t="s">
        <v>36</v>
      </c>
      <c r="L165" s="44" t="s">
        <v>1483</v>
      </c>
      <c r="M165" s="26" t="s">
        <v>846</v>
      </c>
      <c r="N165" s="26" t="s">
        <v>53</v>
      </c>
      <c r="O165" s="26" t="s">
        <v>728</v>
      </c>
      <c r="P165" s="26">
        <v>90066</v>
      </c>
      <c r="Q165" s="26" t="s">
        <v>55</v>
      </c>
    </row>
    <row r="166" spans="1:17" hidden="1" x14ac:dyDescent="0.3">
      <c r="A166" s="26" t="s">
        <v>847</v>
      </c>
      <c r="B166" s="26" t="s">
        <v>848</v>
      </c>
      <c r="C166" s="26" t="s">
        <v>50</v>
      </c>
      <c r="D166" s="26" t="s">
        <v>849</v>
      </c>
      <c r="E166" s="26" t="s">
        <v>242</v>
      </c>
      <c r="G166" s="26" t="s">
        <v>842</v>
      </c>
      <c r="H166" s="26" t="s">
        <v>39</v>
      </c>
      <c r="I166" s="26" t="s">
        <v>243</v>
      </c>
      <c r="J166" s="11" t="str">
        <f>VLOOKUP(K166,'PN Dictionary'!A:B,2,FALSE)</f>
        <v>Delta Power Shelf Left Input</v>
      </c>
      <c r="K166" s="26" t="s">
        <v>10</v>
      </c>
      <c r="L166" s="44" t="s">
        <v>850</v>
      </c>
      <c r="M166" s="26" t="s">
        <v>851</v>
      </c>
      <c r="N166" s="26" t="s">
        <v>53</v>
      </c>
      <c r="O166" s="26" t="s">
        <v>728</v>
      </c>
      <c r="P166" s="26">
        <v>1348</v>
      </c>
      <c r="Q166" s="26" t="s">
        <v>55</v>
      </c>
    </row>
    <row r="167" spans="1:17" hidden="1" x14ac:dyDescent="0.3">
      <c r="A167" s="26" t="s">
        <v>852</v>
      </c>
      <c r="B167" s="26" t="s">
        <v>853</v>
      </c>
      <c r="C167" s="26" t="s">
        <v>50</v>
      </c>
      <c r="D167" s="26" t="s">
        <v>854</v>
      </c>
      <c r="E167" s="26" t="s">
        <v>607</v>
      </c>
      <c r="G167" s="26" t="s">
        <v>842</v>
      </c>
      <c r="H167" s="26" t="s">
        <v>39</v>
      </c>
      <c r="I167" s="26" t="s">
        <v>855</v>
      </c>
      <c r="J167" s="11" t="str">
        <f>VLOOKUP(K167,'PN Dictionary'!A:B,2,FALSE)</f>
        <v>Delta Power Shelf Left Input</v>
      </c>
      <c r="K167" s="26" t="s">
        <v>10</v>
      </c>
      <c r="L167" s="44" t="s">
        <v>856</v>
      </c>
      <c r="M167" s="26" t="s">
        <v>857</v>
      </c>
      <c r="N167" s="26" t="s">
        <v>53</v>
      </c>
      <c r="O167" s="26" t="s">
        <v>728</v>
      </c>
      <c r="P167" s="26">
        <v>924</v>
      </c>
      <c r="Q167" s="26" t="s">
        <v>55</v>
      </c>
    </row>
    <row r="168" spans="1:17" hidden="1" x14ac:dyDescent="0.3">
      <c r="A168" s="26" t="s">
        <v>858</v>
      </c>
      <c r="B168" s="26" t="s">
        <v>859</v>
      </c>
      <c r="C168" s="26" t="s">
        <v>50</v>
      </c>
      <c r="D168" s="26" t="s">
        <v>681</v>
      </c>
      <c r="E168" s="26" t="s">
        <v>653</v>
      </c>
      <c r="G168" s="26" t="s">
        <v>842</v>
      </c>
      <c r="H168" s="26" t="s">
        <v>39</v>
      </c>
      <c r="I168" s="26" t="s">
        <v>860</v>
      </c>
      <c r="J168" s="11" t="str">
        <f>VLOOKUP(K168,'PN Dictionary'!A:B,2,FALSE)</f>
        <v>GB300 L10</v>
      </c>
      <c r="K168" s="26" t="s">
        <v>36</v>
      </c>
      <c r="L168" s="44" t="s">
        <v>1484</v>
      </c>
      <c r="M168" s="26" t="s">
        <v>735</v>
      </c>
      <c r="N168" s="26" t="s">
        <v>53</v>
      </c>
      <c r="O168" s="26" t="s">
        <v>54</v>
      </c>
      <c r="P168" s="26">
        <v>718</v>
      </c>
      <c r="Q168" s="26" t="s">
        <v>55</v>
      </c>
    </row>
    <row r="169" spans="1:17" hidden="1" x14ac:dyDescent="0.3">
      <c r="A169" s="26" t="s">
        <v>861</v>
      </c>
      <c r="B169" s="26" t="s">
        <v>862</v>
      </c>
      <c r="C169" s="26" t="s">
        <v>50</v>
      </c>
      <c r="D169" s="26" t="s">
        <v>863</v>
      </c>
      <c r="E169" s="26" t="s">
        <v>52</v>
      </c>
      <c r="G169" s="26" t="s">
        <v>842</v>
      </c>
      <c r="H169" s="26" t="s">
        <v>39</v>
      </c>
      <c r="I169" s="26" t="s">
        <v>864</v>
      </c>
      <c r="J169" s="11" t="str">
        <f>VLOOKUP(K169,'PN Dictionary'!A:B,2,FALSE)</f>
        <v>GB300 L10</v>
      </c>
      <c r="K169" s="26" t="s">
        <v>36</v>
      </c>
      <c r="L169" s="44" t="s">
        <v>1485</v>
      </c>
      <c r="M169" s="26" t="s">
        <v>734</v>
      </c>
      <c r="N169" s="26" t="s">
        <v>53</v>
      </c>
      <c r="O169" s="26" t="s">
        <v>728</v>
      </c>
      <c r="P169" s="26">
        <v>640</v>
      </c>
      <c r="Q169" s="26" t="s">
        <v>55</v>
      </c>
    </row>
    <row r="170" spans="1:17" hidden="1" x14ac:dyDescent="0.3">
      <c r="A170" s="26" t="s">
        <v>867</v>
      </c>
      <c r="B170" s="26" t="s">
        <v>868</v>
      </c>
      <c r="C170" s="26" t="s">
        <v>50</v>
      </c>
      <c r="D170" s="26" t="s">
        <v>869</v>
      </c>
      <c r="E170" s="26" t="s">
        <v>259</v>
      </c>
      <c r="G170" s="26" t="s">
        <v>842</v>
      </c>
      <c r="H170" s="26" t="s">
        <v>39</v>
      </c>
      <c r="I170" s="26" t="s">
        <v>870</v>
      </c>
      <c r="J170" s="11" t="str">
        <f>VLOOKUP(K170,'PN Dictionary'!A:B,2,FALSE)</f>
        <v>GB300 L10</v>
      </c>
      <c r="K170" s="26" t="s">
        <v>36</v>
      </c>
      <c r="L170" s="44" t="s">
        <v>1486</v>
      </c>
      <c r="M170" s="26" t="s">
        <v>871</v>
      </c>
      <c r="N170" s="26" t="s">
        <v>53</v>
      </c>
      <c r="O170" s="26" t="s">
        <v>728</v>
      </c>
      <c r="P170" s="26">
        <v>640</v>
      </c>
      <c r="Q170" s="26" t="s">
        <v>55</v>
      </c>
    </row>
    <row r="171" spans="1:17" hidden="1" x14ac:dyDescent="0.3">
      <c r="A171" s="26" t="s">
        <v>872</v>
      </c>
      <c r="B171" s="26" t="s">
        <v>873</v>
      </c>
      <c r="C171" s="26" t="s">
        <v>50</v>
      </c>
      <c r="D171" s="26" t="s">
        <v>742</v>
      </c>
      <c r="E171" s="26" t="s">
        <v>128</v>
      </c>
      <c r="G171" s="26" t="s">
        <v>842</v>
      </c>
      <c r="H171" s="26" t="s">
        <v>39</v>
      </c>
      <c r="I171" s="26" t="s">
        <v>874</v>
      </c>
      <c r="J171" s="11" t="str">
        <f>VLOOKUP(K171,'PN Dictionary'!A:B,2,FALSE)</f>
        <v>Cable Cartridge</v>
      </c>
      <c r="K171" s="26" t="s">
        <v>6</v>
      </c>
      <c r="L171" s="44">
        <v>2023825350557</v>
      </c>
      <c r="M171" s="26">
        <v>1823425356086</v>
      </c>
      <c r="N171" s="26" t="s">
        <v>53</v>
      </c>
      <c r="O171" s="26" t="s">
        <v>54</v>
      </c>
      <c r="P171" s="26">
        <v>90066</v>
      </c>
      <c r="Q171" s="26" t="s">
        <v>55</v>
      </c>
    </row>
    <row r="172" spans="1:17" hidden="1" x14ac:dyDescent="0.3">
      <c r="A172" s="26" t="s">
        <v>876</v>
      </c>
      <c r="B172" s="26" t="s">
        <v>877</v>
      </c>
      <c r="C172" s="26" t="s">
        <v>50</v>
      </c>
      <c r="D172" s="26" t="s">
        <v>804</v>
      </c>
      <c r="E172" s="26" t="s">
        <v>81</v>
      </c>
      <c r="G172" s="26" t="s">
        <v>842</v>
      </c>
      <c r="H172" s="26" t="s">
        <v>39</v>
      </c>
      <c r="I172" s="26" t="s">
        <v>878</v>
      </c>
      <c r="J172" s="11" t="str">
        <f>VLOOKUP(K172,'PN Dictionary'!A:B,2,FALSE)</f>
        <v>GB300 L10</v>
      </c>
      <c r="K172" s="26" t="s">
        <v>36</v>
      </c>
      <c r="L172" s="44" t="s">
        <v>1487</v>
      </c>
      <c r="M172" s="26" t="s">
        <v>879</v>
      </c>
      <c r="N172" s="26" t="s">
        <v>53</v>
      </c>
      <c r="O172" s="26" t="s">
        <v>728</v>
      </c>
      <c r="P172" s="26">
        <v>90131</v>
      </c>
      <c r="Q172" s="26" t="s">
        <v>55</v>
      </c>
    </row>
    <row r="173" spans="1:17" hidden="1" x14ac:dyDescent="0.3">
      <c r="A173" s="26" t="s">
        <v>880</v>
      </c>
      <c r="B173" s="26" t="s">
        <v>881</v>
      </c>
      <c r="C173" s="26" t="s">
        <v>50</v>
      </c>
      <c r="D173" s="26" t="s">
        <v>882</v>
      </c>
      <c r="E173" s="26" t="s">
        <v>322</v>
      </c>
      <c r="G173" s="26" t="s">
        <v>842</v>
      </c>
      <c r="H173" s="26" t="s">
        <v>39</v>
      </c>
      <c r="I173" s="26" t="s">
        <v>883</v>
      </c>
      <c r="J173" s="11" t="str">
        <f>VLOOKUP(K173,'PN Dictionary'!A:B,2,FALSE)</f>
        <v>GB300 L10</v>
      </c>
      <c r="K173" s="26" t="s">
        <v>36</v>
      </c>
      <c r="L173" s="44" t="s">
        <v>1488</v>
      </c>
      <c r="M173" s="26" t="s">
        <v>884</v>
      </c>
      <c r="N173" s="26" t="s">
        <v>53</v>
      </c>
      <c r="O173" s="26" t="s">
        <v>728</v>
      </c>
      <c r="P173" s="26">
        <v>90066</v>
      </c>
      <c r="Q173" s="26" t="s">
        <v>55</v>
      </c>
    </row>
    <row r="174" spans="1:17" hidden="1" x14ac:dyDescent="0.3">
      <c r="A174" s="26" t="s">
        <v>885</v>
      </c>
      <c r="B174" s="26" t="s">
        <v>886</v>
      </c>
      <c r="C174" s="26" t="s">
        <v>50</v>
      </c>
      <c r="D174" s="26" t="s">
        <v>812</v>
      </c>
      <c r="E174" s="26" t="s">
        <v>81</v>
      </c>
      <c r="G174" s="26" t="s">
        <v>842</v>
      </c>
      <c r="H174" s="26" t="s">
        <v>39</v>
      </c>
      <c r="I174" s="26" t="s">
        <v>887</v>
      </c>
      <c r="J174" s="11" t="str">
        <f>VLOOKUP(K174,'PN Dictionary'!A:B,2,FALSE)</f>
        <v>GB300 L10</v>
      </c>
      <c r="K174" s="26" t="s">
        <v>36</v>
      </c>
      <c r="L174" s="44" t="s">
        <v>1443</v>
      </c>
      <c r="M174" s="26" t="s">
        <v>888</v>
      </c>
      <c r="N174" s="26" t="s">
        <v>53</v>
      </c>
      <c r="O174" s="26" t="s">
        <v>728</v>
      </c>
      <c r="P174" s="26">
        <v>90131</v>
      </c>
      <c r="Q174" s="26" t="s">
        <v>55</v>
      </c>
    </row>
    <row r="175" spans="1:17" hidden="1" x14ac:dyDescent="0.3">
      <c r="A175" s="26" t="s">
        <v>889</v>
      </c>
      <c r="B175" s="26" t="s">
        <v>890</v>
      </c>
      <c r="C175" s="26" t="s">
        <v>50</v>
      </c>
      <c r="D175" s="26" t="s">
        <v>882</v>
      </c>
      <c r="E175" s="26" t="s">
        <v>128</v>
      </c>
      <c r="G175" s="26" t="s">
        <v>842</v>
      </c>
      <c r="H175" s="26" t="s">
        <v>39</v>
      </c>
      <c r="I175" s="26" t="s">
        <v>891</v>
      </c>
      <c r="J175" s="11" t="str">
        <f>VLOOKUP(K175,'PN Dictionary'!A:B,2,FALSE)</f>
        <v>Cable Cartridge</v>
      </c>
      <c r="K175" s="26" t="s">
        <v>6</v>
      </c>
      <c r="L175" s="44">
        <v>2024225350036</v>
      </c>
      <c r="M175" s="26">
        <v>1822525185494</v>
      </c>
      <c r="N175" s="26" t="s">
        <v>53</v>
      </c>
      <c r="O175" s="26" t="s">
        <v>728</v>
      </c>
      <c r="P175" s="26">
        <v>90066</v>
      </c>
      <c r="Q175" s="26" t="s">
        <v>55</v>
      </c>
    </row>
    <row r="176" spans="1:17" hidden="1" x14ac:dyDescent="0.3">
      <c r="A176" s="26" t="s">
        <v>892</v>
      </c>
      <c r="B176" s="26" t="s">
        <v>893</v>
      </c>
      <c r="C176" s="26" t="s">
        <v>50</v>
      </c>
      <c r="D176" s="26" t="s">
        <v>894</v>
      </c>
      <c r="E176" s="26" t="s">
        <v>270</v>
      </c>
      <c r="G176" s="26" t="s">
        <v>842</v>
      </c>
      <c r="H176" s="26" t="s">
        <v>39</v>
      </c>
      <c r="I176" s="26" t="s">
        <v>924</v>
      </c>
      <c r="J176" s="11" t="str">
        <f>VLOOKUP(K176,'PN Dictionary'!A:B,2,FALSE)</f>
        <v>Delta Power Shelf Left Input</v>
      </c>
      <c r="K176" s="26" t="s">
        <v>10</v>
      </c>
      <c r="L176" s="44" t="s">
        <v>895</v>
      </c>
      <c r="M176" s="26" t="s">
        <v>896</v>
      </c>
      <c r="N176" s="26" t="s">
        <v>53</v>
      </c>
      <c r="O176" s="26" t="s">
        <v>728</v>
      </c>
      <c r="P176" s="26">
        <v>90066</v>
      </c>
      <c r="Q176" s="26" t="s">
        <v>55</v>
      </c>
    </row>
    <row r="177" spans="1:17" hidden="1" x14ac:dyDescent="0.3">
      <c r="A177" s="26" t="s">
        <v>897</v>
      </c>
      <c r="B177" s="26" t="s">
        <v>898</v>
      </c>
      <c r="C177" s="26" t="s">
        <v>50</v>
      </c>
      <c r="D177" s="26" t="s">
        <v>899</v>
      </c>
      <c r="E177" s="26" t="s">
        <v>230</v>
      </c>
      <c r="G177" s="26" t="s">
        <v>842</v>
      </c>
      <c r="H177" s="26" t="s">
        <v>39</v>
      </c>
      <c r="I177" s="26" t="s">
        <v>900</v>
      </c>
      <c r="J177" s="11" t="str">
        <f>VLOOKUP(K177,'PN Dictionary'!A:B,2,FALSE)</f>
        <v>NVSwitch</v>
      </c>
      <c r="K177" s="26" t="s">
        <v>7</v>
      </c>
      <c r="L177" s="44" t="s">
        <v>901</v>
      </c>
      <c r="M177" s="26" t="s">
        <v>902</v>
      </c>
      <c r="N177" s="26" t="s">
        <v>53</v>
      </c>
      <c r="O177" s="26" t="s">
        <v>728</v>
      </c>
      <c r="P177" s="26">
        <v>90066</v>
      </c>
      <c r="Q177" s="26" t="s">
        <v>55</v>
      </c>
    </row>
    <row r="178" spans="1:17" hidden="1" x14ac:dyDescent="0.3">
      <c r="A178" s="26" t="s">
        <v>903</v>
      </c>
      <c r="B178" s="26" t="s">
        <v>904</v>
      </c>
      <c r="C178" s="26" t="s">
        <v>50</v>
      </c>
      <c r="D178" s="26" t="s">
        <v>905</v>
      </c>
      <c r="E178" s="26" t="s">
        <v>52</v>
      </c>
      <c r="G178" s="26" t="s">
        <v>842</v>
      </c>
      <c r="H178" s="26" t="s">
        <v>39</v>
      </c>
      <c r="I178" s="26" t="s">
        <v>906</v>
      </c>
      <c r="J178" s="11" t="str">
        <f>VLOOKUP(K178,'PN Dictionary'!A:B,2,FALSE)</f>
        <v>GB300 L10</v>
      </c>
      <c r="K178" s="26" t="s">
        <v>36</v>
      </c>
      <c r="L178" s="44" t="s">
        <v>1489</v>
      </c>
      <c r="M178" s="26" t="s">
        <v>907</v>
      </c>
      <c r="N178" s="26" t="s">
        <v>53</v>
      </c>
      <c r="O178" s="26" t="s">
        <v>728</v>
      </c>
      <c r="P178" s="26">
        <v>90066</v>
      </c>
      <c r="Q178" s="26" t="s">
        <v>55</v>
      </c>
    </row>
    <row r="179" spans="1:17" hidden="1" x14ac:dyDescent="0.3">
      <c r="A179" s="26" t="s">
        <v>908</v>
      </c>
      <c r="B179" s="26" t="s">
        <v>909</v>
      </c>
      <c r="C179" s="26" t="s">
        <v>50</v>
      </c>
      <c r="D179" s="26" t="s">
        <v>910</v>
      </c>
      <c r="E179" s="26" t="s">
        <v>242</v>
      </c>
      <c r="G179" s="26" t="s">
        <v>911</v>
      </c>
      <c r="H179" s="26" t="s">
        <v>39</v>
      </c>
      <c r="I179" s="26" t="s">
        <v>925</v>
      </c>
      <c r="J179" s="11" t="str">
        <f>VLOOKUP(K179,'PN Dictionary'!A:B,2,FALSE)</f>
        <v>Delta Power Shelf Left Input</v>
      </c>
      <c r="K179" s="26" t="s">
        <v>10</v>
      </c>
      <c r="L179" s="44" t="s">
        <v>912</v>
      </c>
      <c r="M179" s="26" t="s">
        <v>913</v>
      </c>
      <c r="N179" s="26" t="s">
        <v>53</v>
      </c>
      <c r="O179" s="26" t="s">
        <v>728</v>
      </c>
      <c r="P179" s="26">
        <v>2131</v>
      </c>
      <c r="Q179" s="26" t="s">
        <v>55</v>
      </c>
    </row>
    <row r="180" spans="1:17" hidden="1" x14ac:dyDescent="0.3">
      <c r="A180" s="26" t="s">
        <v>914</v>
      </c>
      <c r="B180" s="26" t="s">
        <v>915</v>
      </c>
      <c r="C180" s="26" t="s">
        <v>50</v>
      </c>
      <c r="D180" s="26" t="s">
        <v>916</v>
      </c>
      <c r="E180" s="26" t="s">
        <v>230</v>
      </c>
      <c r="G180" s="26" t="s">
        <v>911</v>
      </c>
      <c r="H180" s="26" t="s">
        <v>39</v>
      </c>
      <c r="I180" s="26" t="s">
        <v>917</v>
      </c>
      <c r="J180" s="11" t="str">
        <f>VLOOKUP(K180,'PN Dictionary'!A:B,2,FALSE)</f>
        <v>NVSwitch</v>
      </c>
      <c r="K180" s="26" t="s">
        <v>7</v>
      </c>
      <c r="L180" s="44" t="s">
        <v>918</v>
      </c>
      <c r="M180" s="26" t="s">
        <v>919</v>
      </c>
      <c r="N180" s="26" t="s">
        <v>53</v>
      </c>
      <c r="O180" s="26" t="s">
        <v>728</v>
      </c>
      <c r="P180" s="26">
        <v>640</v>
      </c>
      <c r="Q180" s="26" t="s">
        <v>55</v>
      </c>
    </row>
    <row r="181" spans="1:17" hidden="1" x14ac:dyDescent="0.3">
      <c r="A181" s="26" t="s">
        <v>920</v>
      </c>
      <c r="B181" s="26" t="s">
        <v>921</v>
      </c>
      <c r="C181" s="26" t="s">
        <v>50</v>
      </c>
      <c r="D181" s="26" t="s">
        <v>910</v>
      </c>
      <c r="E181" s="26" t="s">
        <v>307</v>
      </c>
      <c r="G181" s="26" t="s">
        <v>911</v>
      </c>
      <c r="H181" s="26" t="s">
        <v>39</v>
      </c>
      <c r="I181" s="26" t="s">
        <v>922</v>
      </c>
      <c r="J181" s="11" t="str">
        <f>VLOOKUP(K181,'PN Dictionary'!A:B,2,FALSE)</f>
        <v>GB300 L10</v>
      </c>
      <c r="K181" s="26" t="s">
        <v>36</v>
      </c>
      <c r="L181" s="44" t="s">
        <v>1490</v>
      </c>
      <c r="M181" s="26" t="s">
        <v>923</v>
      </c>
      <c r="N181" s="26" t="s">
        <v>53</v>
      </c>
      <c r="O181" s="26" t="s">
        <v>728</v>
      </c>
      <c r="P181" s="26">
        <v>90066</v>
      </c>
      <c r="Q181" s="26" t="s">
        <v>55</v>
      </c>
    </row>
    <row r="182" spans="1:17" hidden="1" x14ac:dyDescent="0.3">
      <c r="A182" s="26" t="s">
        <v>926</v>
      </c>
      <c r="B182" s="26" t="s">
        <v>927</v>
      </c>
      <c r="C182" s="26" t="s">
        <v>50</v>
      </c>
      <c r="D182" s="26" t="s">
        <v>826</v>
      </c>
      <c r="E182" s="26" t="s">
        <v>81</v>
      </c>
      <c r="G182" s="26" t="s">
        <v>911</v>
      </c>
      <c r="H182" s="26" t="s">
        <v>39</v>
      </c>
      <c r="I182" s="26" t="s">
        <v>928</v>
      </c>
      <c r="J182" s="11" t="str">
        <f>VLOOKUP(K182,'PN Dictionary'!A:B,2,FALSE)</f>
        <v>GB300 L10</v>
      </c>
      <c r="K182" s="26" t="s">
        <v>36</v>
      </c>
      <c r="L182" s="44" t="s">
        <v>1491</v>
      </c>
      <c r="M182" s="26" t="s">
        <v>929</v>
      </c>
      <c r="N182" s="26" t="s">
        <v>53</v>
      </c>
      <c r="O182" s="26" t="s">
        <v>54</v>
      </c>
      <c r="P182" s="26">
        <v>90131</v>
      </c>
      <c r="Q182" s="26" t="s">
        <v>55</v>
      </c>
    </row>
    <row r="183" spans="1:17" hidden="1" x14ac:dyDescent="0.3">
      <c r="A183" s="26" t="s">
        <v>931</v>
      </c>
      <c r="B183" s="26" t="s">
        <v>932</v>
      </c>
      <c r="C183" s="26" t="s">
        <v>50</v>
      </c>
      <c r="D183" s="26" t="s">
        <v>933</v>
      </c>
      <c r="E183" s="26" t="s">
        <v>242</v>
      </c>
      <c r="G183" s="26" t="s">
        <v>930</v>
      </c>
      <c r="H183" s="26" t="s">
        <v>39</v>
      </c>
      <c r="I183" s="26" t="s">
        <v>934</v>
      </c>
      <c r="J183" s="11" t="str">
        <f>VLOOKUP(K183,'PN Dictionary'!A:B,2,FALSE)</f>
        <v>Delta Power Shelf Left Input</v>
      </c>
      <c r="K183" s="26" t="s">
        <v>10</v>
      </c>
      <c r="L183" s="44" t="s">
        <v>935</v>
      </c>
      <c r="M183" s="26" t="s">
        <v>936</v>
      </c>
      <c r="N183" s="26" t="s">
        <v>53</v>
      </c>
      <c r="O183" s="26" t="s">
        <v>728</v>
      </c>
      <c r="P183" s="26">
        <v>1519</v>
      </c>
      <c r="Q183" s="26" t="s">
        <v>55</v>
      </c>
    </row>
    <row r="184" spans="1:17" hidden="1" x14ac:dyDescent="0.3">
      <c r="A184" s="26" t="s">
        <v>937</v>
      </c>
      <c r="B184" s="26" t="s">
        <v>938</v>
      </c>
      <c r="C184" s="26" t="s">
        <v>50</v>
      </c>
      <c r="D184" s="26" t="s">
        <v>939</v>
      </c>
      <c r="E184" s="26" t="s">
        <v>230</v>
      </c>
      <c r="G184" s="26" t="s">
        <v>930</v>
      </c>
      <c r="H184" s="26" t="s">
        <v>39</v>
      </c>
      <c r="I184" s="26" t="s">
        <v>940</v>
      </c>
      <c r="J184" s="11" t="str">
        <f>VLOOKUP(K184,'PN Dictionary'!A:B,2,FALSE)</f>
        <v>NVSwitch</v>
      </c>
      <c r="K184" s="26" t="s">
        <v>7</v>
      </c>
      <c r="L184" s="44" t="s">
        <v>941</v>
      </c>
      <c r="M184" s="26" t="s">
        <v>942</v>
      </c>
      <c r="N184" s="26" t="s">
        <v>53</v>
      </c>
      <c r="O184" s="26" t="s">
        <v>728</v>
      </c>
      <c r="P184" s="26">
        <v>90131</v>
      </c>
      <c r="Q184" s="26" t="s">
        <v>55</v>
      </c>
    </row>
    <row r="185" spans="1:17" hidden="1" x14ac:dyDescent="0.3">
      <c r="A185" s="26" t="s">
        <v>943</v>
      </c>
      <c r="B185" s="26" t="s">
        <v>944</v>
      </c>
      <c r="C185" s="26" t="s">
        <v>50</v>
      </c>
      <c r="D185" s="26" t="s">
        <v>603</v>
      </c>
      <c r="E185" s="26" t="s">
        <v>230</v>
      </c>
      <c r="G185" s="26" t="s">
        <v>930</v>
      </c>
      <c r="H185" s="26" t="s">
        <v>39</v>
      </c>
      <c r="I185" s="26" t="s">
        <v>238</v>
      </c>
      <c r="J185" s="11" t="str">
        <f>VLOOKUP(K185,'PN Dictionary'!A:B,2,FALSE)</f>
        <v>NVSwitch</v>
      </c>
      <c r="K185" s="26" t="s">
        <v>7</v>
      </c>
      <c r="L185" s="44" t="s">
        <v>495</v>
      </c>
      <c r="M185" s="26" t="s">
        <v>945</v>
      </c>
      <c r="N185" s="26" t="s">
        <v>53</v>
      </c>
      <c r="O185" s="26" t="s">
        <v>54</v>
      </c>
      <c r="P185" s="26">
        <v>90131</v>
      </c>
      <c r="Q185" s="26" t="s">
        <v>55</v>
      </c>
    </row>
    <row r="186" spans="1:17" hidden="1" x14ac:dyDescent="0.3">
      <c r="A186" s="26" t="s">
        <v>946</v>
      </c>
      <c r="B186" s="26" t="s">
        <v>947</v>
      </c>
      <c r="C186" s="26" t="s">
        <v>50</v>
      </c>
      <c r="D186" s="26" t="s">
        <v>826</v>
      </c>
      <c r="E186" s="26" t="s">
        <v>607</v>
      </c>
      <c r="G186" s="26" t="s">
        <v>930</v>
      </c>
      <c r="H186" s="26" t="s">
        <v>39</v>
      </c>
      <c r="I186" s="26" t="s">
        <v>526</v>
      </c>
      <c r="J186" s="11" t="str">
        <f>VLOOKUP(K186,'PN Dictionary'!A:B,2,FALSE)</f>
        <v>GB300 L10</v>
      </c>
      <c r="K186" s="26" t="s">
        <v>36</v>
      </c>
      <c r="L186" s="44" t="s">
        <v>1492</v>
      </c>
      <c r="M186" s="26" t="s">
        <v>948</v>
      </c>
      <c r="N186" s="26" t="s">
        <v>53</v>
      </c>
      <c r="O186" s="26" t="s">
        <v>54</v>
      </c>
      <c r="P186" s="26">
        <v>90131</v>
      </c>
      <c r="Q186" s="26" t="s">
        <v>55</v>
      </c>
    </row>
    <row r="187" spans="1:17" hidden="1" x14ac:dyDescent="0.3">
      <c r="A187" s="26" t="s">
        <v>949</v>
      </c>
      <c r="B187" s="26" t="s">
        <v>950</v>
      </c>
      <c r="C187" s="26" t="s">
        <v>50</v>
      </c>
      <c r="D187" s="26" t="s">
        <v>951</v>
      </c>
      <c r="E187" s="26" t="s">
        <v>242</v>
      </c>
      <c r="G187" s="26" t="s">
        <v>930</v>
      </c>
      <c r="H187" s="26" t="s">
        <v>39</v>
      </c>
      <c r="I187" s="26" t="s">
        <v>952</v>
      </c>
      <c r="J187" s="11" t="str">
        <f>VLOOKUP(K187,'PN Dictionary'!A:B,2,FALSE)</f>
        <v>Delta power shelf right input</v>
      </c>
      <c r="K187" s="26" t="s">
        <v>353</v>
      </c>
      <c r="L187" s="44" t="s">
        <v>953</v>
      </c>
      <c r="M187" s="26" t="s">
        <v>954</v>
      </c>
      <c r="N187" s="26" t="s">
        <v>53</v>
      </c>
      <c r="O187" s="26" t="s">
        <v>728</v>
      </c>
      <c r="P187" s="26">
        <v>90066</v>
      </c>
      <c r="Q187" s="26" t="s">
        <v>55</v>
      </c>
    </row>
    <row r="188" spans="1:17" hidden="1" x14ac:dyDescent="0.3">
      <c r="A188" s="26" t="s">
        <v>955</v>
      </c>
      <c r="B188" s="26" t="s">
        <v>956</v>
      </c>
      <c r="C188" s="26" t="s">
        <v>50</v>
      </c>
      <c r="D188" s="26" t="s">
        <v>603</v>
      </c>
      <c r="E188" s="26" t="s">
        <v>52</v>
      </c>
      <c r="G188" s="26" t="s">
        <v>930</v>
      </c>
      <c r="H188" s="26" t="s">
        <v>39</v>
      </c>
      <c r="I188" s="26" t="s">
        <v>526</v>
      </c>
      <c r="J188" s="11" t="str">
        <f>VLOOKUP(K188,'PN Dictionary'!A:B,2,FALSE)</f>
        <v>GB300 L10</v>
      </c>
      <c r="K188" s="26" t="s">
        <v>36</v>
      </c>
      <c r="L188" s="44" t="s">
        <v>1493</v>
      </c>
      <c r="M188" s="26" t="s">
        <v>957</v>
      </c>
      <c r="N188" s="26" t="s">
        <v>53</v>
      </c>
      <c r="O188" s="26" t="s">
        <v>54</v>
      </c>
      <c r="P188" s="26">
        <v>90131</v>
      </c>
      <c r="Q188" s="26" t="s">
        <v>55</v>
      </c>
    </row>
    <row r="189" spans="1:17" hidden="1" x14ac:dyDescent="0.3">
      <c r="A189" s="26" t="s">
        <v>958</v>
      </c>
      <c r="B189" s="26" t="s">
        <v>959</v>
      </c>
      <c r="C189" s="26" t="s">
        <v>50</v>
      </c>
      <c r="D189" s="26" t="s">
        <v>960</v>
      </c>
      <c r="E189" s="26" t="s">
        <v>242</v>
      </c>
      <c r="G189" s="26" t="s">
        <v>930</v>
      </c>
      <c r="H189" s="26" t="s">
        <v>39</v>
      </c>
      <c r="I189" s="26" t="s">
        <v>952</v>
      </c>
      <c r="J189" s="11" t="str">
        <f>VLOOKUP(K189,'PN Dictionary'!A:B,2,FALSE)</f>
        <v>Delta Power Shelf Left Input</v>
      </c>
      <c r="K189" s="26" t="s">
        <v>10</v>
      </c>
      <c r="L189" s="44" t="s">
        <v>961</v>
      </c>
      <c r="M189" s="26" t="s">
        <v>962</v>
      </c>
      <c r="N189" s="26" t="s">
        <v>53</v>
      </c>
      <c r="O189" s="26" t="s">
        <v>728</v>
      </c>
      <c r="P189" s="26">
        <v>90066</v>
      </c>
      <c r="Q189" s="26" t="s">
        <v>55</v>
      </c>
    </row>
    <row r="190" spans="1:17" hidden="1" x14ac:dyDescent="0.3">
      <c r="A190" s="26" t="s">
        <v>963</v>
      </c>
      <c r="B190" s="26" t="s">
        <v>964</v>
      </c>
      <c r="C190" s="26" t="s">
        <v>50</v>
      </c>
      <c r="D190" s="26" t="s">
        <v>965</v>
      </c>
      <c r="E190" s="26" t="s">
        <v>242</v>
      </c>
      <c r="G190" s="26" t="s">
        <v>930</v>
      </c>
      <c r="H190" s="26" t="s">
        <v>39</v>
      </c>
      <c r="I190" s="26" t="s">
        <v>966</v>
      </c>
      <c r="J190" s="11" t="str">
        <f>VLOOKUP(K190,'PN Dictionary'!A:B,2,FALSE)</f>
        <v>Power Shelf Control Module</v>
      </c>
      <c r="K190" s="26" t="s">
        <v>11</v>
      </c>
      <c r="L190" s="44" t="s">
        <v>967</v>
      </c>
      <c r="M190" s="26" t="s">
        <v>968</v>
      </c>
      <c r="N190" s="26" t="s">
        <v>53</v>
      </c>
      <c r="O190" s="26" t="s">
        <v>728</v>
      </c>
      <c r="P190" s="26">
        <v>90066</v>
      </c>
      <c r="Q190" s="26" t="s">
        <v>55</v>
      </c>
    </row>
    <row r="191" spans="1:17" hidden="1" x14ac:dyDescent="0.3">
      <c r="A191" s="26" t="s">
        <v>969</v>
      </c>
      <c r="B191" s="26" t="s">
        <v>970</v>
      </c>
      <c r="C191" s="26" t="s">
        <v>50</v>
      </c>
      <c r="D191" s="26" t="s">
        <v>939</v>
      </c>
      <c r="E191" s="26" t="s">
        <v>87</v>
      </c>
      <c r="G191" s="26" t="s">
        <v>930</v>
      </c>
      <c r="H191" s="26" t="s">
        <v>39</v>
      </c>
      <c r="I191" s="26" t="s">
        <v>971</v>
      </c>
      <c r="J191" s="11" t="str">
        <f>VLOOKUP(K191,'PN Dictionary'!A:B,2,FALSE)</f>
        <v>GB300 L10</v>
      </c>
      <c r="K191" s="26" t="s">
        <v>36</v>
      </c>
      <c r="L191" s="44" t="s">
        <v>1494</v>
      </c>
      <c r="M191" s="26" t="s">
        <v>972</v>
      </c>
      <c r="N191" s="26" t="s">
        <v>53</v>
      </c>
      <c r="O191" s="26" t="s">
        <v>728</v>
      </c>
      <c r="P191" s="26">
        <v>90131</v>
      </c>
      <c r="Q191" s="26" t="s">
        <v>55</v>
      </c>
    </row>
    <row r="192" spans="1:17" hidden="1" x14ac:dyDescent="0.3">
      <c r="A192" s="26" t="s">
        <v>973</v>
      </c>
      <c r="B192" s="26" t="s">
        <v>974</v>
      </c>
      <c r="C192" s="26" t="s">
        <v>50</v>
      </c>
      <c r="D192" s="26" t="s">
        <v>975</v>
      </c>
      <c r="E192" s="26" t="s">
        <v>128</v>
      </c>
      <c r="G192" s="26" t="s">
        <v>930</v>
      </c>
      <c r="H192" s="26" t="s">
        <v>39</v>
      </c>
      <c r="I192" s="26" t="s">
        <v>976</v>
      </c>
      <c r="J192" s="11" t="str">
        <f>VLOOKUP(K192,'PN Dictionary'!A:B,2,FALSE)</f>
        <v>Cable Cartridge</v>
      </c>
      <c r="K192" s="26" t="s">
        <v>6</v>
      </c>
      <c r="L192" s="44">
        <v>1823425354213</v>
      </c>
      <c r="M192" s="26">
        <v>1822525184563</v>
      </c>
      <c r="N192" s="26" t="s">
        <v>53</v>
      </c>
      <c r="O192" s="26" t="s">
        <v>728</v>
      </c>
      <c r="P192" s="26">
        <v>90066</v>
      </c>
      <c r="Q192" s="26" t="s">
        <v>55</v>
      </c>
    </row>
    <row r="193" spans="1:17" hidden="1" x14ac:dyDescent="0.3">
      <c r="A193" s="26" t="s">
        <v>977</v>
      </c>
      <c r="B193" s="26" t="s">
        <v>978</v>
      </c>
      <c r="C193" s="26" t="s">
        <v>50</v>
      </c>
      <c r="D193" s="26" t="s">
        <v>979</v>
      </c>
      <c r="E193" s="26" t="s">
        <v>242</v>
      </c>
      <c r="G193" s="26" t="s">
        <v>930</v>
      </c>
      <c r="H193" s="26" t="s">
        <v>39</v>
      </c>
      <c r="I193" s="26" t="s">
        <v>980</v>
      </c>
      <c r="J193" s="11" t="str">
        <f>VLOOKUP(K193,'PN Dictionary'!A:B,2,FALSE)</f>
        <v>Delta power shelf right input</v>
      </c>
      <c r="K193" s="26" t="s">
        <v>353</v>
      </c>
      <c r="L193" s="44" t="s">
        <v>981</v>
      </c>
      <c r="M193" s="26" t="s">
        <v>982</v>
      </c>
      <c r="N193" s="26" t="s">
        <v>53</v>
      </c>
      <c r="O193" s="26" t="s">
        <v>728</v>
      </c>
      <c r="P193" s="26">
        <v>90131</v>
      </c>
      <c r="Q193" s="26" t="s">
        <v>55</v>
      </c>
    </row>
    <row r="194" spans="1:17" hidden="1" x14ac:dyDescent="0.3">
      <c r="A194" s="26" t="s">
        <v>984</v>
      </c>
      <c r="B194" s="26" t="s">
        <v>985</v>
      </c>
      <c r="C194" s="26" t="s">
        <v>50</v>
      </c>
      <c r="D194" s="26" t="s">
        <v>986</v>
      </c>
      <c r="E194" s="26" t="s">
        <v>113</v>
      </c>
      <c r="G194" s="26" t="s">
        <v>983</v>
      </c>
      <c r="H194" s="26" t="s">
        <v>39</v>
      </c>
      <c r="I194" s="26" t="s">
        <v>987</v>
      </c>
      <c r="J194" s="11" t="str">
        <f>VLOOKUP(K194,'PN Dictionary'!A:B,2,FALSE)</f>
        <v>GB300 L10</v>
      </c>
      <c r="K194" s="26" t="s">
        <v>36</v>
      </c>
      <c r="L194" s="44" t="s">
        <v>1495</v>
      </c>
      <c r="M194" s="26" t="s">
        <v>989</v>
      </c>
      <c r="N194" s="26" t="s">
        <v>53</v>
      </c>
      <c r="O194" s="26" t="s">
        <v>728</v>
      </c>
      <c r="P194" s="26">
        <v>90066</v>
      </c>
      <c r="Q194" s="26" t="s">
        <v>55</v>
      </c>
    </row>
    <row r="195" spans="1:17" hidden="1" x14ac:dyDescent="0.3">
      <c r="A195" s="26" t="s">
        <v>992</v>
      </c>
      <c r="B195" s="26" t="s">
        <v>993</v>
      </c>
      <c r="C195" s="26" t="s">
        <v>50</v>
      </c>
      <c r="D195" s="26" t="s">
        <v>991</v>
      </c>
      <c r="E195" s="26" t="s">
        <v>81</v>
      </c>
      <c r="G195" s="26" t="s">
        <v>983</v>
      </c>
      <c r="H195" s="26" t="s">
        <v>39</v>
      </c>
      <c r="I195" s="26" t="s">
        <v>522</v>
      </c>
      <c r="J195" s="11" t="str">
        <f>VLOOKUP(K195,'PN Dictionary'!A:B,2,FALSE)</f>
        <v>GB300 L10</v>
      </c>
      <c r="K195" s="26" t="s">
        <v>36</v>
      </c>
      <c r="L195" s="44" t="s">
        <v>1496</v>
      </c>
      <c r="M195" s="26" t="s">
        <v>994</v>
      </c>
      <c r="N195" s="26" t="s">
        <v>53</v>
      </c>
      <c r="O195" s="26" t="s">
        <v>728</v>
      </c>
      <c r="P195" s="26">
        <v>90131</v>
      </c>
      <c r="Q195" s="26" t="s">
        <v>55</v>
      </c>
    </row>
    <row r="196" spans="1:17" hidden="1" x14ac:dyDescent="0.3">
      <c r="A196" s="26" t="s">
        <v>995</v>
      </c>
      <c r="B196" s="26" t="s">
        <v>996</v>
      </c>
      <c r="C196" s="26" t="s">
        <v>50</v>
      </c>
      <c r="D196" s="26" t="s">
        <v>997</v>
      </c>
      <c r="E196" s="26" t="s">
        <v>242</v>
      </c>
      <c r="G196" s="26" t="s">
        <v>983</v>
      </c>
      <c r="H196" s="26" t="s">
        <v>39</v>
      </c>
      <c r="I196" s="26" t="s">
        <v>604</v>
      </c>
      <c r="J196" s="11" t="str">
        <f>VLOOKUP(K196,'PN Dictionary'!A:B,2,FALSE)</f>
        <v>Delta power shelf right input</v>
      </c>
      <c r="K196" s="26" t="s">
        <v>353</v>
      </c>
      <c r="L196" s="44" t="s">
        <v>998</v>
      </c>
      <c r="M196" s="26" t="s">
        <v>999</v>
      </c>
      <c r="N196" s="26" t="s">
        <v>53</v>
      </c>
      <c r="O196" s="26" t="s">
        <v>728</v>
      </c>
      <c r="P196" s="26">
        <v>90131</v>
      </c>
      <c r="Q196" s="26" t="s">
        <v>55</v>
      </c>
    </row>
    <row r="197" spans="1:17" hidden="1" x14ac:dyDescent="0.3">
      <c r="A197" s="26" t="s">
        <v>1000</v>
      </c>
      <c r="B197" s="26" t="s">
        <v>1001</v>
      </c>
      <c r="C197" s="26" t="s">
        <v>50</v>
      </c>
      <c r="D197" s="26" t="s">
        <v>1002</v>
      </c>
      <c r="E197" s="26" t="s">
        <v>242</v>
      </c>
      <c r="G197" s="26" t="s">
        <v>983</v>
      </c>
      <c r="H197" s="26" t="s">
        <v>39</v>
      </c>
      <c r="I197" s="26" t="s">
        <v>1003</v>
      </c>
      <c r="J197" s="11" t="str">
        <f>VLOOKUP(K197,'PN Dictionary'!A:B,2,FALSE)</f>
        <v>Delta power shelf right input</v>
      </c>
      <c r="K197" s="26" t="s">
        <v>353</v>
      </c>
      <c r="L197" s="44" t="s">
        <v>1004</v>
      </c>
      <c r="M197" s="26" t="s">
        <v>1005</v>
      </c>
      <c r="N197" s="26" t="s">
        <v>53</v>
      </c>
      <c r="O197" s="26" t="s">
        <v>728</v>
      </c>
      <c r="P197" s="26">
        <v>90066</v>
      </c>
      <c r="Q197" s="26" t="s">
        <v>55</v>
      </c>
    </row>
    <row r="198" spans="1:17" hidden="1" x14ac:dyDescent="0.3">
      <c r="A198" s="26" t="s">
        <v>1006</v>
      </c>
      <c r="B198" s="26" t="s">
        <v>1007</v>
      </c>
      <c r="C198" s="26" t="s">
        <v>50</v>
      </c>
      <c r="D198" s="26" t="s">
        <v>997</v>
      </c>
      <c r="E198" s="26" t="s">
        <v>242</v>
      </c>
      <c r="G198" s="26" t="s">
        <v>983</v>
      </c>
      <c r="H198" s="26" t="s">
        <v>39</v>
      </c>
      <c r="I198" s="26" t="s">
        <v>604</v>
      </c>
      <c r="J198" s="11" t="str">
        <f>VLOOKUP(K198,'PN Dictionary'!A:B,2,FALSE)</f>
        <v>Delta Power Shelf Left Input</v>
      </c>
      <c r="K198" s="26" t="s">
        <v>10</v>
      </c>
      <c r="L198" s="44" t="s">
        <v>1008</v>
      </c>
      <c r="M198" s="26" t="s">
        <v>1009</v>
      </c>
      <c r="N198" s="26" t="s">
        <v>53</v>
      </c>
      <c r="O198" s="26" t="s">
        <v>728</v>
      </c>
      <c r="P198" s="26">
        <v>90131</v>
      </c>
      <c r="Q198" s="26" t="s">
        <v>55</v>
      </c>
    </row>
    <row r="199" spans="1:17" hidden="1" x14ac:dyDescent="0.3">
      <c r="A199" s="26" t="s">
        <v>1010</v>
      </c>
      <c r="B199" s="26" t="s">
        <v>1011</v>
      </c>
      <c r="C199" s="26" t="s">
        <v>50</v>
      </c>
      <c r="D199" s="26" t="s">
        <v>997</v>
      </c>
      <c r="E199" s="26" t="s">
        <v>242</v>
      </c>
      <c r="G199" s="26" t="s">
        <v>983</v>
      </c>
      <c r="H199" s="26" t="s">
        <v>39</v>
      </c>
      <c r="I199" s="26" t="s">
        <v>604</v>
      </c>
      <c r="J199" s="11" t="str">
        <f>VLOOKUP(K199,'PN Dictionary'!A:B,2,FALSE)</f>
        <v>Delta power shelf right input</v>
      </c>
      <c r="K199" s="26" t="s">
        <v>353</v>
      </c>
      <c r="L199" s="44" t="s">
        <v>1012</v>
      </c>
      <c r="M199" s="26" t="s">
        <v>1013</v>
      </c>
      <c r="N199" s="26" t="s">
        <v>53</v>
      </c>
      <c r="O199" s="26" t="s">
        <v>728</v>
      </c>
      <c r="P199" s="26">
        <v>90131</v>
      </c>
      <c r="Q199" s="26" t="s">
        <v>55</v>
      </c>
    </row>
    <row r="200" spans="1:17" hidden="1" x14ac:dyDescent="0.3">
      <c r="A200" s="26" t="s">
        <v>1014</v>
      </c>
      <c r="B200" s="26" t="s">
        <v>1015</v>
      </c>
      <c r="C200" s="26" t="s">
        <v>50</v>
      </c>
      <c r="D200" s="26" t="s">
        <v>1016</v>
      </c>
      <c r="E200" s="26" t="s">
        <v>52</v>
      </c>
      <c r="G200" s="26" t="s">
        <v>983</v>
      </c>
      <c r="H200" s="26" t="s">
        <v>39</v>
      </c>
      <c r="I200" s="26" t="s">
        <v>990</v>
      </c>
      <c r="J200" s="11" t="str">
        <f>VLOOKUP(K200,'PN Dictionary'!A:B,2,FALSE)</f>
        <v>GB300 L10</v>
      </c>
      <c r="K200" s="26" t="s">
        <v>36</v>
      </c>
      <c r="L200" s="44" t="s">
        <v>1497</v>
      </c>
      <c r="M200" s="26" t="s">
        <v>1017</v>
      </c>
      <c r="N200" s="26" t="s">
        <v>53</v>
      </c>
      <c r="O200" s="26" t="s">
        <v>728</v>
      </c>
      <c r="P200" s="26">
        <v>90131</v>
      </c>
      <c r="Q200" s="26" t="s">
        <v>55</v>
      </c>
    </row>
    <row r="201" spans="1:17" hidden="1" x14ac:dyDescent="0.3">
      <c r="A201" s="26" t="s">
        <v>1018</v>
      </c>
      <c r="B201" s="26" t="s">
        <v>1019</v>
      </c>
      <c r="C201" s="26" t="s">
        <v>50</v>
      </c>
      <c r="D201" s="26" t="s">
        <v>960</v>
      </c>
      <c r="E201" s="26" t="s">
        <v>128</v>
      </c>
      <c r="G201" s="26" t="s">
        <v>983</v>
      </c>
      <c r="H201" s="26" t="s">
        <v>39</v>
      </c>
      <c r="I201" s="26" t="s">
        <v>1020</v>
      </c>
      <c r="J201" s="11" t="str">
        <f>VLOOKUP(K201,'PN Dictionary'!A:B,2,FALSE)</f>
        <v>Cable Cartridge</v>
      </c>
      <c r="K201" s="26" t="s">
        <v>6</v>
      </c>
      <c r="L201" s="44">
        <v>1823325350833</v>
      </c>
      <c r="M201" s="26">
        <v>1823425355933</v>
      </c>
      <c r="N201" s="26" t="s">
        <v>53</v>
      </c>
      <c r="O201" s="26" t="s">
        <v>728</v>
      </c>
      <c r="P201" s="26">
        <v>90066</v>
      </c>
      <c r="Q201" s="26" t="s">
        <v>55</v>
      </c>
    </row>
    <row r="202" spans="1:17" hidden="1" x14ac:dyDescent="0.3">
      <c r="A202" s="26" t="s">
        <v>1021</v>
      </c>
      <c r="B202" s="26" t="s">
        <v>1022</v>
      </c>
      <c r="C202" s="26" t="s">
        <v>50</v>
      </c>
      <c r="D202" s="26" t="s">
        <v>1023</v>
      </c>
      <c r="E202" s="26" t="s">
        <v>81</v>
      </c>
      <c r="G202" s="26" t="s">
        <v>1024</v>
      </c>
      <c r="H202" s="26" t="s">
        <v>39</v>
      </c>
      <c r="I202" s="26" t="s">
        <v>1025</v>
      </c>
      <c r="J202" s="11" t="str">
        <f>VLOOKUP(K202,'PN Dictionary'!A:B,2,FALSE)</f>
        <v>GB300 L10</v>
      </c>
      <c r="K202" s="26" t="s">
        <v>36</v>
      </c>
      <c r="L202" s="44" t="s">
        <v>1498</v>
      </c>
      <c r="M202" s="26" t="s">
        <v>1027</v>
      </c>
      <c r="N202" s="26" t="s">
        <v>53</v>
      </c>
      <c r="O202" s="26" t="s">
        <v>728</v>
      </c>
      <c r="P202" s="26">
        <v>90131</v>
      </c>
      <c r="Q202" s="26" t="s">
        <v>55</v>
      </c>
    </row>
    <row r="203" spans="1:17" hidden="1" x14ac:dyDescent="0.3">
      <c r="A203" s="26" t="s">
        <v>1028</v>
      </c>
      <c r="B203" s="26" t="s">
        <v>1029</v>
      </c>
      <c r="C203" s="26" t="s">
        <v>50</v>
      </c>
      <c r="D203" s="26" t="s">
        <v>991</v>
      </c>
      <c r="E203" s="26" t="s">
        <v>128</v>
      </c>
      <c r="G203" s="26" t="s">
        <v>1024</v>
      </c>
      <c r="H203" s="26" t="s">
        <v>39</v>
      </c>
      <c r="I203" s="26" t="s">
        <v>1030</v>
      </c>
      <c r="J203" s="11" t="str">
        <f>VLOOKUP(K203,'PN Dictionary'!A:B,2,FALSE)</f>
        <v>Cable Cartridge</v>
      </c>
      <c r="K203" s="26" t="s">
        <v>6</v>
      </c>
      <c r="L203" s="44">
        <v>1823325350865</v>
      </c>
      <c r="M203" s="26">
        <v>1822825356016</v>
      </c>
      <c r="N203" s="26" t="s">
        <v>53</v>
      </c>
      <c r="O203" s="26" t="s">
        <v>728</v>
      </c>
      <c r="P203" s="26">
        <v>3600</v>
      </c>
      <c r="Q203" s="26" t="s">
        <v>55</v>
      </c>
    </row>
    <row r="204" spans="1:17" hidden="1" x14ac:dyDescent="0.3">
      <c r="A204" s="26" t="s">
        <v>1031</v>
      </c>
      <c r="B204" s="26" t="s">
        <v>1032</v>
      </c>
      <c r="C204" s="26" t="s">
        <v>50</v>
      </c>
      <c r="D204" s="26" t="s">
        <v>1033</v>
      </c>
      <c r="E204" s="26" t="s">
        <v>52</v>
      </c>
      <c r="G204" s="26" t="s">
        <v>1024</v>
      </c>
      <c r="H204" s="26" t="s">
        <v>39</v>
      </c>
      <c r="I204" s="26" t="s">
        <v>1034</v>
      </c>
      <c r="J204" s="11" t="str">
        <f>VLOOKUP(K204,'PN Dictionary'!A:B,2,FALSE)</f>
        <v>GB300 L10</v>
      </c>
      <c r="K204" s="26" t="s">
        <v>36</v>
      </c>
      <c r="L204" s="44" t="s">
        <v>1479</v>
      </c>
      <c r="M204" s="26" t="s">
        <v>569</v>
      </c>
      <c r="N204" s="26" t="s">
        <v>53</v>
      </c>
      <c r="O204" s="26" t="s">
        <v>728</v>
      </c>
      <c r="P204" s="26">
        <v>640</v>
      </c>
      <c r="Q204" s="26" t="s">
        <v>55</v>
      </c>
    </row>
    <row r="205" spans="1:17" hidden="1" x14ac:dyDescent="0.3">
      <c r="A205" s="26" t="s">
        <v>1035</v>
      </c>
      <c r="B205" s="26" t="s">
        <v>1036</v>
      </c>
      <c r="C205" s="26" t="s">
        <v>50</v>
      </c>
      <c r="D205" s="26" t="s">
        <v>1033</v>
      </c>
      <c r="E205" s="26" t="s">
        <v>242</v>
      </c>
      <c r="G205" s="26" t="s">
        <v>1024</v>
      </c>
      <c r="H205" s="26" t="s">
        <v>39</v>
      </c>
      <c r="I205" s="26" t="s">
        <v>1037</v>
      </c>
      <c r="J205" s="11" t="str">
        <f>VLOOKUP(K205,'PN Dictionary'!A:B,2,FALSE)</f>
        <v>Delta power shelf right input</v>
      </c>
      <c r="K205" s="26" t="s">
        <v>353</v>
      </c>
      <c r="L205" s="44" t="s">
        <v>1038</v>
      </c>
      <c r="M205" s="26" t="s">
        <v>1039</v>
      </c>
      <c r="N205" s="26" t="s">
        <v>53</v>
      </c>
      <c r="O205" s="26" t="s">
        <v>728</v>
      </c>
      <c r="P205" s="26">
        <v>3600</v>
      </c>
      <c r="Q205" s="26" t="s">
        <v>55</v>
      </c>
    </row>
    <row r="206" spans="1:17" hidden="1" x14ac:dyDescent="0.3">
      <c r="A206" s="26" t="s">
        <v>1040</v>
      </c>
      <c r="B206" s="26" t="s">
        <v>1041</v>
      </c>
      <c r="C206" s="26" t="s">
        <v>50</v>
      </c>
      <c r="D206" s="26" t="s">
        <v>1042</v>
      </c>
      <c r="E206" s="26" t="s">
        <v>52</v>
      </c>
      <c r="G206" s="26" t="s">
        <v>1024</v>
      </c>
      <c r="H206" s="26" t="s">
        <v>39</v>
      </c>
      <c r="I206" s="26" t="s">
        <v>1043</v>
      </c>
      <c r="J206" s="11" t="str">
        <f>VLOOKUP(K206,'PN Dictionary'!A:B,2,FALSE)</f>
        <v>GB300 L10</v>
      </c>
      <c r="K206" s="26" t="s">
        <v>36</v>
      </c>
      <c r="L206" s="44" t="s">
        <v>1499</v>
      </c>
      <c r="M206" s="26" t="s">
        <v>1044</v>
      </c>
      <c r="N206" s="26" t="s">
        <v>53</v>
      </c>
      <c r="O206" s="26" t="s">
        <v>728</v>
      </c>
      <c r="P206" s="26">
        <v>3600</v>
      </c>
      <c r="Q206" s="26" t="s">
        <v>55</v>
      </c>
    </row>
    <row r="207" spans="1:17" hidden="1" x14ac:dyDescent="0.3">
      <c r="A207" s="26" t="s">
        <v>1045</v>
      </c>
      <c r="B207" s="26" t="s">
        <v>1046</v>
      </c>
      <c r="C207" s="26" t="s">
        <v>50</v>
      </c>
      <c r="D207" s="26" t="s">
        <v>1047</v>
      </c>
      <c r="E207" s="26" t="s">
        <v>322</v>
      </c>
      <c r="G207" s="26" t="s">
        <v>1024</v>
      </c>
      <c r="H207" s="26" t="s">
        <v>39</v>
      </c>
      <c r="I207" s="26" t="s">
        <v>1048</v>
      </c>
      <c r="J207" s="11" t="str">
        <f>VLOOKUP(K207,'PN Dictionary'!A:B,2,FALSE)</f>
        <v>GB300 L10</v>
      </c>
      <c r="K207" s="26" t="s">
        <v>36</v>
      </c>
      <c r="L207" s="44" t="s">
        <v>1500</v>
      </c>
      <c r="M207" s="26" t="s">
        <v>1049</v>
      </c>
      <c r="N207" s="26" t="s">
        <v>53</v>
      </c>
      <c r="O207" s="26" t="s">
        <v>728</v>
      </c>
      <c r="P207" s="26">
        <v>90131</v>
      </c>
      <c r="Q207" s="26" t="s">
        <v>55</v>
      </c>
    </row>
    <row r="208" spans="1:17" hidden="1" x14ac:dyDescent="0.3">
      <c r="A208" s="26" t="s">
        <v>1050</v>
      </c>
      <c r="B208" s="26" t="s">
        <v>1051</v>
      </c>
      <c r="C208" s="26" t="s">
        <v>50</v>
      </c>
      <c r="D208" s="26" t="s">
        <v>1052</v>
      </c>
      <c r="E208" s="26" t="s">
        <v>307</v>
      </c>
      <c r="G208" s="26" t="s">
        <v>1024</v>
      </c>
      <c r="H208" s="26" t="s">
        <v>39</v>
      </c>
      <c r="I208" s="26" t="s">
        <v>922</v>
      </c>
      <c r="J208" s="11" t="str">
        <f>VLOOKUP(K208,'PN Dictionary'!A:B,2,FALSE)</f>
        <v>GB300 L10</v>
      </c>
      <c r="K208" s="26" t="s">
        <v>36</v>
      </c>
      <c r="L208" s="44" t="s">
        <v>1501</v>
      </c>
      <c r="M208" s="26" t="s">
        <v>1053</v>
      </c>
      <c r="N208" s="26" t="s">
        <v>53</v>
      </c>
      <c r="O208" s="26" t="s">
        <v>728</v>
      </c>
      <c r="P208" s="26">
        <v>90066</v>
      </c>
      <c r="Q208" s="26" t="s">
        <v>55</v>
      </c>
    </row>
    <row r="209" spans="1:17" hidden="1" x14ac:dyDescent="0.3">
      <c r="A209" s="26" t="s">
        <v>1054</v>
      </c>
      <c r="B209" s="26" t="s">
        <v>1055</v>
      </c>
      <c r="C209" s="26" t="s">
        <v>50</v>
      </c>
      <c r="D209" s="26" t="s">
        <v>939</v>
      </c>
      <c r="E209" s="26" t="s">
        <v>128</v>
      </c>
      <c r="G209" s="26" t="s">
        <v>1056</v>
      </c>
      <c r="H209" s="26" t="s">
        <v>39</v>
      </c>
      <c r="I209" s="26" t="s">
        <v>1057</v>
      </c>
      <c r="J209" s="11" t="str">
        <f>VLOOKUP(K209,'PN Dictionary'!A:B,2,FALSE)</f>
        <v>Cable Cartridge</v>
      </c>
      <c r="K209" s="26" t="s">
        <v>6</v>
      </c>
      <c r="L209" s="44">
        <v>1823325354704</v>
      </c>
      <c r="M209" s="26">
        <v>1822825354839</v>
      </c>
      <c r="N209" s="26" t="s">
        <v>53</v>
      </c>
      <c r="O209" s="26" t="s">
        <v>728</v>
      </c>
      <c r="P209" s="26">
        <v>640</v>
      </c>
      <c r="Q209" s="26" t="s">
        <v>55</v>
      </c>
    </row>
    <row r="210" spans="1:17" hidden="1" x14ac:dyDescent="0.3">
      <c r="A210" s="26" t="s">
        <v>1058</v>
      </c>
      <c r="B210" s="26" t="s">
        <v>1059</v>
      </c>
      <c r="C210" s="26" t="s">
        <v>50</v>
      </c>
      <c r="D210" s="26" t="s">
        <v>1060</v>
      </c>
      <c r="E210" s="26" t="s">
        <v>242</v>
      </c>
      <c r="G210" s="26" t="s">
        <v>1056</v>
      </c>
      <c r="H210" s="26" t="s">
        <v>39</v>
      </c>
      <c r="I210" s="26" t="s">
        <v>1061</v>
      </c>
      <c r="J210" s="11" t="str">
        <f>VLOOKUP(K210,'PN Dictionary'!A:B,2,FALSE)</f>
        <v>Power Shelf Control Module</v>
      </c>
      <c r="K210" s="26" t="s">
        <v>11</v>
      </c>
      <c r="L210" s="44" t="s">
        <v>1062</v>
      </c>
      <c r="M210" s="26" t="s">
        <v>1063</v>
      </c>
      <c r="N210" s="26" t="s">
        <v>53</v>
      </c>
      <c r="O210" s="26" t="s">
        <v>728</v>
      </c>
      <c r="P210" s="26">
        <v>640</v>
      </c>
      <c r="Q210" s="26" t="s">
        <v>55</v>
      </c>
    </row>
    <row r="211" spans="1:17" hidden="1" x14ac:dyDescent="0.3">
      <c r="A211" s="26" t="s">
        <v>1064</v>
      </c>
      <c r="B211" s="26" t="s">
        <v>1065</v>
      </c>
      <c r="C211" s="26" t="s">
        <v>50</v>
      </c>
      <c r="D211" s="26" t="s">
        <v>1066</v>
      </c>
      <c r="E211" s="26" t="s">
        <v>242</v>
      </c>
      <c r="G211" s="26" t="s">
        <v>1056</v>
      </c>
      <c r="H211" s="26" t="s">
        <v>39</v>
      </c>
      <c r="I211" s="26" t="s">
        <v>1067</v>
      </c>
      <c r="J211" s="11" t="str">
        <f>VLOOKUP(K211,'PN Dictionary'!A:B,2,FALSE)</f>
        <v>Delta Power Shelf Left Input</v>
      </c>
      <c r="K211" s="26" t="s">
        <v>10</v>
      </c>
      <c r="L211" s="44" t="s">
        <v>1068</v>
      </c>
      <c r="M211" s="26" t="s">
        <v>1069</v>
      </c>
      <c r="N211" s="26" t="s">
        <v>53</v>
      </c>
      <c r="O211" s="26" t="s">
        <v>728</v>
      </c>
      <c r="P211" s="26">
        <v>1519</v>
      </c>
      <c r="Q211" s="26" t="s">
        <v>55</v>
      </c>
    </row>
    <row r="212" spans="1:17" hidden="1" x14ac:dyDescent="0.3">
      <c r="A212" s="26" t="s">
        <v>1070</v>
      </c>
      <c r="B212" s="26" t="s">
        <v>1071</v>
      </c>
      <c r="C212" s="26" t="s">
        <v>50</v>
      </c>
      <c r="D212" s="26" t="s">
        <v>1072</v>
      </c>
      <c r="E212" s="26" t="s">
        <v>242</v>
      </c>
      <c r="G212" s="26" t="s">
        <v>1056</v>
      </c>
      <c r="H212" s="26" t="s">
        <v>39</v>
      </c>
      <c r="I212" s="26" t="s">
        <v>1067</v>
      </c>
      <c r="J212" s="11" t="str">
        <f>VLOOKUP(K212,'PN Dictionary'!A:B,2,FALSE)</f>
        <v>Delta Power Shelf Left Input</v>
      </c>
      <c r="K212" s="26" t="s">
        <v>10</v>
      </c>
      <c r="L212" s="44" t="s">
        <v>1073</v>
      </c>
      <c r="M212" s="26" t="s">
        <v>1074</v>
      </c>
      <c r="N212" s="26" t="s">
        <v>53</v>
      </c>
      <c r="O212" s="26" t="s">
        <v>728</v>
      </c>
      <c r="P212" s="26">
        <v>1519</v>
      </c>
      <c r="Q212" s="26" t="s">
        <v>55</v>
      </c>
    </row>
    <row r="213" spans="1:17" hidden="1" x14ac:dyDescent="0.3">
      <c r="A213" s="26" t="s">
        <v>1075</v>
      </c>
      <c r="B213" s="26" t="s">
        <v>1076</v>
      </c>
      <c r="C213" s="26" t="s">
        <v>50</v>
      </c>
      <c r="D213" s="26" t="s">
        <v>1077</v>
      </c>
      <c r="E213" s="26" t="s">
        <v>411</v>
      </c>
      <c r="G213" s="26" t="s">
        <v>1056</v>
      </c>
      <c r="H213" s="26" t="s">
        <v>39</v>
      </c>
      <c r="I213" s="26" t="s">
        <v>243</v>
      </c>
      <c r="J213" s="11" t="str">
        <f>VLOOKUP(K213,'PN Dictionary'!A:B,2,FALSE)</f>
        <v>NVSwitch</v>
      </c>
      <c r="K213" s="26" t="s">
        <v>7</v>
      </c>
      <c r="L213" s="44" t="s">
        <v>1078</v>
      </c>
      <c r="M213" s="26" t="s">
        <v>1079</v>
      </c>
      <c r="N213" s="26" t="s">
        <v>53</v>
      </c>
      <c r="O213" s="26" t="s">
        <v>728</v>
      </c>
      <c r="P213" s="26">
        <v>718</v>
      </c>
      <c r="Q213" s="26" t="s">
        <v>55</v>
      </c>
    </row>
    <row r="214" spans="1:17" hidden="1" x14ac:dyDescent="0.3">
      <c r="A214" s="26" t="s">
        <v>1080</v>
      </c>
      <c r="B214" s="26" t="s">
        <v>1081</v>
      </c>
      <c r="C214" s="26" t="s">
        <v>50</v>
      </c>
      <c r="D214" s="26" t="s">
        <v>1082</v>
      </c>
      <c r="E214" s="26" t="s">
        <v>128</v>
      </c>
      <c r="G214" s="26" t="s">
        <v>1056</v>
      </c>
      <c r="H214" s="26" t="s">
        <v>39</v>
      </c>
      <c r="I214" s="26" t="s">
        <v>1083</v>
      </c>
      <c r="J214" s="11" t="str">
        <f>VLOOKUP(K214,'PN Dictionary'!A:B,2,FALSE)</f>
        <v>Cable Cartridge</v>
      </c>
      <c r="K214" s="26" t="s">
        <v>6</v>
      </c>
      <c r="L214" s="44">
        <v>1823325354686</v>
      </c>
      <c r="M214" s="26">
        <v>1823425355996</v>
      </c>
      <c r="N214" s="26" t="s">
        <v>53</v>
      </c>
      <c r="O214" s="26" t="s">
        <v>728</v>
      </c>
      <c r="P214" s="26">
        <v>1519</v>
      </c>
      <c r="Q214" s="26" t="s">
        <v>55</v>
      </c>
    </row>
    <row r="215" spans="1:17" hidden="1" x14ac:dyDescent="0.3">
      <c r="A215" s="26" t="s">
        <v>1084</v>
      </c>
      <c r="B215" s="26" t="s">
        <v>1085</v>
      </c>
      <c r="C215" s="26" t="s">
        <v>50</v>
      </c>
      <c r="D215" s="26" t="s">
        <v>1086</v>
      </c>
      <c r="E215" s="26" t="s">
        <v>242</v>
      </c>
      <c r="G215" s="26" t="s">
        <v>1056</v>
      </c>
      <c r="H215" s="26" t="s">
        <v>39</v>
      </c>
      <c r="I215" s="26" t="s">
        <v>1087</v>
      </c>
      <c r="J215" s="11" t="str">
        <f>VLOOKUP(K215,'PN Dictionary'!A:B,2,FALSE)</f>
        <v>Power Shelf Control Module</v>
      </c>
      <c r="K215" s="26" t="s">
        <v>11</v>
      </c>
      <c r="L215" s="44" t="s">
        <v>1088</v>
      </c>
      <c r="M215" s="26" t="s">
        <v>1089</v>
      </c>
      <c r="N215" s="26" t="s">
        <v>53</v>
      </c>
      <c r="O215" s="26" t="s">
        <v>728</v>
      </c>
      <c r="P215" s="26">
        <v>3600</v>
      </c>
      <c r="Q215" s="26" t="s">
        <v>55</v>
      </c>
    </row>
    <row r="216" spans="1:17" hidden="1" x14ac:dyDescent="0.3">
      <c r="A216" s="26" t="s">
        <v>1090</v>
      </c>
      <c r="B216" s="26" t="s">
        <v>1091</v>
      </c>
      <c r="C216" s="26" t="s">
        <v>50</v>
      </c>
      <c r="D216" s="26" t="s">
        <v>1092</v>
      </c>
      <c r="E216" s="26" t="s">
        <v>270</v>
      </c>
      <c r="G216" s="26" t="s">
        <v>1056</v>
      </c>
      <c r="H216" s="26" t="s">
        <v>39</v>
      </c>
      <c r="I216" s="26" t="s">
        <v>243</v>
      </c>
      <c r="J216" s="11" t="str">
        <f>VLOOKUP(K216,'PN Dictionary'!A:B,2,FALSE)</f>
        <v>Delta power shelf right input</v>
      </c>
      <c r="K216" s="26" t="s">
        <v>353</v>
      </c>
      <c r="L216" s="44" t="s">
        <v>1093</v>
      </c>
      <c r="M216" s="26" t="s">
        <v>1094</v>
      </c>
      <c r="N216" s="26" t="s">
        <v>53</v>
      </c>
      <c r="O216" s="26" t="s">
        <v>728</v>
      </c>
      <c r="P216" s="26">
        <v>718</v>
      </c>
      <c r="Q216" s="26" t="s">
        <v>55</v>
      </c>
    </row>
    <row r="217" spans="1:17" hidden="1" x14ac:dyDescent="0.3">
      <c r="A217" s="26" t="s">
        <v>1095</v>
      </c>
      <c r="B217" s="26" t="s">
        <v>1096</v>
      </c>
      <c r="C217" s="26" t="s">
        <v>50</v>
      </c>
      <c r="D217" s="26" t="s">
        <v>1097</v>
      </c>
      <c r="E217" s="26" t="s">
        <v>242</v>
      </c>
      <c r="G217" s="26" t="s">
        <v>1056</v>
      </c>
      <c r="H217" s="26" t="s">
        <v>39</v>
      </c>
      <c r="I217" s="26" t="s">
        <v>1098</v>
      </c>
      <c r="J217" s="11" t="str">
        <f>VLOOKUP(K217,'PN Dictionary'!A:B,2,FALSE)</f>
        <v>Power Shelf Control Module</v>
      </c>
      <c r="K217" s="26" t="s">
        <v>11</v>
      </c>
      <c r="L217" s="44" t="s">
        <v>1099</v>
      </c>
      <c r="M217" s="26" t="s">
        <v>1100</v>
      </c>
      <c r="N217" s="26" t="s">
        <v>53</v>
      </c>
      <c r="O217" s="26" t="s">
        <v>728</v>
      </c>
      <c r="P217" s="26">
        <v>3600</v>
      </c>
      <c r="Q217" s="26" t="s">
        <v>55</v>
      </c>
    </row>
    <row r="218" spans="1:17" hidden="1" x14ac:dyDescent="0.3">
      <c r="A218" s="26" t="s">
        <v>1101</v>
      </c>
      <c r="B218" s="26" t="s">
        <v>1102</v>
      </c>
      <c r="C218" s="26" t="s">
        <v>50</v>
      </c>
      <c r="D218" s="26" t="s">
        <v>1060</v>
      </c>
      <c r="E218" s="26" t="s">
        <v>52</v>
      </c>
      <c r="G218" s="26" t="s">
        <v>1056</v>
      </c>
      <c r="H218" s="26" t="s">
        <v>39</v>
      </c>
      <c r="I218" s="26" t="s">
        <v>1043</v>
      </c>
      <c r="J218" s="11" t="str">
        <f>VLOOKUP(K218,'PN Dictionary'!A:B,2,FALSE)</f>
        <v>GB300 L10</v>
      </c>
      <c r="K218" s="26" t="s">
        <v>36</v>
      </c>
      <c r="L218" s="44" t="s">
        <v>1502</v>
      </c>
      <c r="M218" s="26" t="s">
        <v>1103</v>
      </c>
      <c r="N218" s="26" t="s">
        <v>53</v>
      </c>
      <c r="O218" s="26" t="s">
        <v>728</v>
      </c>
      <c r="P218" s="26">
        <v>3600</v>
      </c>
      <c r="Q218" s="26" t="s">
        <v>55</v>
      </c>
    </row>
    <row r="219" spans="1:17" hidden="1" x14ac:dyDescent="0.3">
      <c r="A219" s="26" t="s">
        <v>1104</v>
      </c>
      <c r="B219" s="26" t="s">
        <v>1105</v>
      </c>
      <c r="C219" s="26" t="s">
        <v>50</v>
      </c>
      <c r="D219" s="26" t="s">
        <v>1106</v>
      </c>
      <c r="E219" s="26" t="s">
        <v>52</v>
      </c>
      <c r="G219" s="26" t="s">
        <v>1056</v>
      </c>
      <c r="H219" s="26" t="s">
        <v>39</v>
      </c>
      <c r="I219" s="26" t="s">
        <v>1043</v>
      </c>
      <c r="J219" s="11" t="str">
        <f>VLOOKUP(K219,'PN Dictionary'!A:B,2,FALSE)</f>
        <v>GB300 L10</v>
      </c>
      <c r="K219" s="26" t="s">
        <v>36</v>
      </c>
      <c r="L219" s="44" t="s">
        <v>1503</v>
      </c>
      <c r="M219" s="26" t="s">
        <v>1107</v>
      </c>
      <c r="N219" s="26" t="s">
        <v>53</v>
      </c>
      <c r="O219" s="26" t="s">
        <v>728</v>
      </c>
      <c r="P219" s="26">
        <v>3600</v>
      </c>
      <c r="Q219" s="26" t="s">
        <v>55</v>
      </c>
    </row>
    <row r="220" spans="1:17" hidden="1" x14ac:dyDescent="0.3">
      <c r="A220" s="26" t="s">
        <v>1108</v>
      </c>
      <c r="B220" s="26" t="s">
        <v>1105</v>
      </c>
      <c r="C220" s="26" t="s">
        <v>50</v>
      </c>
      <c r="D220" s="26" t="s">
        <v>1106</v>
      </c>
      <c r="E220" s="26" t="s">
        <v>52</v>
      </c>
      <c r="G220" s="26" t="s">
        <v>1056</v>
      </c>
      <c r="H220" s="26" t="s">
        <v>39</v>
      </c>
      <c r="I220" s="26" t="s">
        <v>1043</v>
      </c>
      <c r="J220" s="11" t="str">
        <f>VLOOKUP(K220,'PN Dictionary'!A:B,2,FALSE)</f>
        <v>GB300 L10</v>
      </c>
      <c r="K220" s="26" t="s">
        <v>36</v>
      </c>
      <c r="L220" s="44" t="s">
        <v>1504</v>
      </c>
      <c r="M220" s="26" t="s">
        <v>1109</v>
      </c>
      <c r="N220" s="26" t="s">
        <v>53</v>
      </c>
      <c r="O220" s="26" t="s">
        <v>728</v>
      </c>
      <c r="P220" s="26">
        <v>3600</v>
      </c>
      <c r="Q220" s="26" t="s">
        <v>55</v>
      </c>
    </row>
    <row r="221" spans="1:17" hidden="1" x14ac:dyDescent="0.3">
      <c r="A221" s="26" t="s">
        <v>1110</v>
      </c>
      <c r="B221" s="26" t="s">
        <v>1105</v>
      </c>
      <c r="C221" s="26" t="s">
        <v>50</v>
      </c>
      <c r="D221" s="26" t="s">
        <v>1106</v>
      </c>
      <c r="E221" s="26" t="s">
        <v>52</v>
      </c>
      <c r="G221" s="26" t="s">
        <v>1056</v>
      </c>
      <c r="H221" s="26" t="s">
        <v>39</v>
      </c>
      <c r="I221" s="26" t="s">
        <v>1043</v>
      </c>
      <c r="J221" s="11" t="str">
        <f>VLOOKUP(K221,'PN Dictionary'!A:B,2,FALSE)</f>
        <v>GB300 L10</v>
      </c>
      <c r="K221" s="26" t="s">
        <v>36</v>
      </c>
      <c r="L221" s="44" t="s">
        <v>1505</v>
      </c>
      <c r="M221" s="26" t="s">
        <v>1111</v>
      </c>
      <c r="N221" s="26" t="s">
        <v>53</v>
      </c>
      <c r="O221" s="26" t="s">
        <v>728</v>
      </c>
      <c r="P221" s="26">
        <v>3600</v>
      </c>
      <c r="Q221" s="26" t="s">
        <v>55</v>
      </c>
    </row>
    <row r="222" spans="1:17" hidden="1" x14ac:dyDescent="0.3">
      <c r="A222" s="26" t="s">
        <v>1112</v>
      </c>
      <c r="B222" s="26" t="s">
        <v>1113</v>
      </c>
      <c r="C222" s="26" t="s">
        <v>50</v>
      </c>
      <c r="D222" s="26" t="s">
        <v>1114</v>
      </c>
      <c r="E222" s="26" t="s">
        <v>242</v>
      </c>
      <c r="G222" s="26" t="s">
        <v>1056</v>
      </c>
      <c r="H222" s="26" t="s">
        <v>39</v>
      </c>
      <c r="I222" s="26" t="s">
        <v>1037</v>
      </c>
      <c r="J222" s="11" t="str">
        <f>VLOOKUP(K222,'PN Dictionary'!A:B,2,FALSE)</f>
        <v>Delta power shelf right input</v>
      </c>
      <c r="K222" s="26" t="s">
        <v>353</v>
      </c>
      <c r="L222" s="44" t="s">
        <v>1115</v>
      </c>
      <c r="M222" s="26" t="s">
        <v>1116</v>
      </c>
      <c r="N222" s="26" t="s">
        <v>53</v>
      </c>
      <c r="O222" s="26" t="s">
        <v>728</v>
      </c>
      <c r="P222" s="26">
        <v>3600</v>
      </c>
      <c r="Q222" s="26" t="s">
        <v>55</v>
      </c>
    </row>
    <row r="223" spans="1:17" hidden="1" x14ac:dyDescent="0.3">
      <c r="A223" s="26" t="s">
        <v>3150</v>
      </c>
      <c r="B223" s="26" t="s">
        <v>3151</v>
      </c>
      <c r="C223" s="26" t="s">
        <v>50</v>
      </c>
      <c r="D223" s="26" t="s">
        <v>1097</v>
      </c>
      <c r="E223" s="26" t="s">
        <v>87</v>
      </c>
      <c r="G223" s="26" t="s">
        <v>1056</v>
      </c>
      <c r="H223" s="26" t="s">
        <v>39</v>
      </c>
      <c r="I223" s="26" t="s">
        <v>990</v>
      </c>
      <c r="J223" s="11" t="str">
        <f>VLOOKUP(K223,'PN Dictionary'!A:B,2,FALSE)</f>
        <v>GB300 L10</v>
      </c>
      <c r="K223" s="11" t="s">
        <v>36</v>
      </c>
      <c r="L223" s="26" t="s">
        <v>3152</v>
      </c>
      <c r="M223" s="44" t="s">
        <v>3153</v>
      </c>
      <c r="N223" s="26" t="s">
        <v>53</v>
      </c>
      <c r="O223" s="26" t="s">
        <v>728</v>
      </c>
      <c r="P223" s="26">
        <v>924</v>
      </c>
      <c r="Q223" s="26" t="s">
        <v>55</v>
      </c>
    </row>
    <row r="224" spans="1:17" hidden="1" x14ac:dyDescent="0.3">
      <c r="A224" s="26" t="s">
        <v>3154</v>
      </c>
      <c r="B224" s="26" t="s">
        <v>3155</v>
      </c>
      <c r="C224" s="26" t="s">
        <v>50</v>
      </c>
      <c r="D224" s="26" t="s">
        <v>1114</v>
      </c>
      <c r="E224" s="26" t="s">
        <v>87</v>
      </c>
      <c r="G224" s="26" t="s">
        <v>1056</v>
      </c>
      <c r="H224" s="26" t="s">
        <v>39</v>
      </c>
      <c r="I224" s="26" t="s">
        <v>1117</v>
      </c>
      <c r="J224" s="11" t="str">
        <f>VLOOKUP(K224,'PN Dictionary'!A:B,2,FALSE)</f>
        <v>GB300 L10</v>
      </c>
      <c r="K224" s="11" t="s">
        <v>36</v>
      </c>
      <c r="L224" s="11" t="s">
        <v>3156</v>
      </c>
      <c r="M224" s="26" t="s">
        <v>3157</v>
      </c>
      <c r="N224" s="44" t="s">
        <v>53</v>
      </c>
      <c r="O224" s="26" t="s">
        <v>728</v>
      </c>
      <c r="P224" s="26">
        <v>718</v>
      </c>
      <c r="Q224" s="26" t="s">
        <v>55</v>
      </c>
    </row>
    <row r="225" spans="1:17" hidden="1" x14ac:dyDescent="0.3">
      <c r="A225" s="26" t="s">
        <v>1118</v>
      </c>
      <c r="B225" s="26" t="s">
        <v>1119</v>
      </c>
      <c r="C225" s="26" t="s">
        <v>50</v>
      </c>
      <c r="D225" s="26" t="s">
        <v>1086</v>
      </c>
      <c r="E225" s="26" t="s">
        <v>87</v>
      </c>
      <c r="G225" s="26" t="s">
        <v>1056</v>
      </c>
      <c r="H225" s="26" t="s">
        <v>39</v>
      </c>
      <c r="I225" s="26" t="s">
        <v>1120</v>
      </c>
      <c r="J225" s="11" t="str">
        <f>VLOOKUP(K225,'PN Dictionary'!A:B,2,FALSE)</f>
        <v>GB300 L10</v>
      </c>
      <c r="K225" s="26" t="s">
        <v>36</v>
      </c>
      <c r="L225" s="44" t="s">
        <v>1506</v>
      </c>
      <c r="M225" s="26" t="s">
        <v>1026</v>
      </c>
      <c r="N225" s="26" t="s">
        <v>53</v>
      </c>
      <c r="O225" s="26" t="s">
        <v>728</v>
      </c>
      <c r="P225" s="26">
        <v>924</v>
      </c>
      <c r="Q225" s="26" t="s">
        <v>55</v>
      </c>
    </row>
    <row r="226" spans="1:17" hidden="1" x14ac:dyDescent="0.3">
      <c r="A226" s="26" t="s">
        <v>1121</v>
      </c>
      <c r="B226" s="26" t="s">
        <v>1122</v>
      </c>
      <c r="C226" s="26" t="s">
        <v>50</v>
      </c>
      <c r="D226" s="26" t="s">
        <v>1114</v>
      </c>
      <c r="E226" s="26" t="s">
        <v>322</v>
      </c>
      <c r="G226" s="26" t="s">
        <v>1056</v>
      </c>
      <c r="H226" s="26" t="s">
        <v>39</v>
      </c>
      <c r="I226" s="26" t="s">
        <v>1123</v>
      </c>
      <c r="J226" s="11" t="str">
        <f>VLOOKUP(K226,'PN Dictionary'!A:B,2,FALSE)</f>
        <v>GB300 L10</v>
      </c>
      <c r="K226" s="26" t="s">
        <v>36</v>
      </c>
      <c r="L226" s="44" t="s">
        <v>1507</v>
      </c>
      <c r="M226" s="26" t="s">
        <v>1124</v>
      </c>
      <c r="N226" s="26" t="s">
        <v>53</v>
      </c>
      <c r="O226" s="26" t="s">
        <v>728</v>
      </c>
      <c r="P226" s="26">
        <v>924</v>
      </c>
      <c r="Q226" s="26" t="s">
        <v>55</v>
      </c>
    </row>
    <row r="227" spans="1:17" hidden="1" x14ac:dyDescent="0.3">
      <c r="A227" s="26" t="s">
        <v>1125</v>
      </c>
      <c r="B227" s="26" t="s">
        <v>1126</v>
      </c>
      <c r="C227" s="26" t="s">
        <v>50</v>
      </c>
      <c r="D227" s="26" t="s">
        <v>1072</v>
      </c>
      <c r="E227" s="26" t="s">
        <v>230</v>
      </c>
      <c r="G227" s="26" t="s">
        <v>1056</v>
      </c>
      <c r="H227" s="26" t="s">
        <v>39</v>
      </c>
      <c r="I227" s="26" t="s">
        <v>1127</v>
      </c>
      <c r="J227" s="11" t="str">
        <f>VLOOKUP(K227,'PN Dictionary'!A:B,2,FALSE)</f>
        <v>NVSwitch</v>
      </c>
      <c r="K227" s="26" t="s">
        <v>7</v>
      </c>
      <c r="L227" s="44" t="s">
        <v>1128</v>
      </c>
      <c r="M227" s="26" t="s">
        <v>1129</v>
      </c>
      <c r="N227" s="26" t="s">
        <v>53</v>
      </c>
      <c r="O227" s="26" t="s">
        <v>728</v>
      </c>
      <c r="P227" s="26">
        <v>90066</v>
      </c>
      <c r="Q227" s="26" t="s">
        <v>55</v>
      </c>
    </row>
    <row r="228" spans="1:17" hidden="1" x14ac:dyDescent="0.3">
      <c r="A228" s="26" t="s">
        <v>3158</v>
      </c>
      <c r="B228" s="26" t="s">
        <v>3159</v>
      </c>
      <c r="C228" s="26" t="s">
        <v>50</v>
      </c>
      <c r="D228" s="26" t="s">
        <v>1106</v>
      </c>
      <c r="E228" s="26" t="s">
        <v>81</v>
      </c>
      <c r="G228" s="26" t="s">
        <v>1056</v>
      </c>
      <c r="H228" s="26" t="s">
        <v>39</v>
      </c>
      <c r="I228" s="26" t="s">
        <v>375</v>
      </c>
      <c r="J228" s="11" t="str">
        <f>VLOOKUP(K228,'PN Dictionary'!A:B,2,FALSE)</f>
        <v>GB300 L10</v>
      </c>
      <c r="K228" s="11" t="s">
        <v>36</v>
      </c>
      <c r="L228" s="26" t="s">
        <v>1109</v>
      </c>
      <c r="M228" s="44" t="s">
        <v>3160</v>
      </c>
      <c r="N228" s="26" t="s">
        <v>53</v>
      </c>
      <c r="O228" s="26" t="s">
        <v>728</v>
      </c>
      <c r="P228" s="26">
        <v>924</v>
      </c>
      <c r="Q228" s="26" t="s">
        <v>55</v>
      </c>
    </row>
    <row r="229" spans="1:17" hidden="1" x14ac:dyDescent="0.3">
      <c r="A229" s="26" t="s">
        <v>3161</v>
      </c>
      <c r="B229" s="26" t="s">
        <v>3162</v>
      </c>
      <c r="C229" s="26" t="s">
        <v>50</v>
      </c>
      <c r="D229" s="26" t="s">
        <v>1086</v>
      </c>
      <c r="E229" s="26" t="s">
        <v>52</v>
      </c>
      <c r="G229" s="26" t="s">
        <v>1056</v>
      </c>
      <c r="H229" s="26" t="s">
        <v>39</v>
      </c>
      <c r="I229" s="26" t="s">
        <v>3163</v>
      </c>
      <c r="J229" s="11" t="str">
        <f>VLOOKUP(K229,'PN Dictionary'!A:B,2,FALSE)</f>
        <v>GB300 L10</v>
      </c>
      <c r="K229" s="11" t="s">
        <v>36</v>
      </c>
      <c r="L229" s="26" t="s">
        <v>1026</v>
      </c>
      <c r="M229" s="44" t="s">
        <v>3164</v>
      </c>
      <c r="N229" s="26" t="s">
        <v>53</v>
      </c>
      <c r="O229" s="26" t="s">
        <v>728</v>
      </c>
      <c r="P229" s="26">
        <v>924</v>
      </c>
      <c r="Q229" s="26" t="s">
        <v>55</v>
      </c>
    </row>
    <row r="230" spans="1:17" hidden="1" x14ac:dyDescent="0.3">
      <c r="A230" s="26" t="s">
        <v>1130</v>
      </c>
      <c r="B230" s="26" t="s">
        <v>1131</v>
      </c>
      <c r="C230" s="26" t="s">
        <v>50</v>
      </c>
      <c r="D230" s="26" t="s">
        <v>1132</v>
      </c>
      <c r="E230" s="26" t="s">
        <v>128</v>
      </c>
      <c r="G230" s="26" t="s">
        <v>1056</v>
      </c>
      <c r="H230" s="26" t="s">
        <v>39</v>
      </c>
      <c r="I230" s="26" t="s">
        <v>1133</v>
      </c>
      <c r="J230" s="11" t="str">
        <f>VLOOKUP(K230,'PN Dictionary'!A:B,2,FALSE)</f>
        <v>Cable Cartridge</v>
      </c>
      <c r="K230" s="26" t="s">
        <v>6</v>
      </c>
      <c r="L230" s="44">
        <v>2024425880492</v>
      </c>
      <c r="M230" s="26">
        <v>1823425355435</v>
      </c>
      <c r="N230" s="26" t="s">
        <v>53</v>
      </c>
      <c r="O230" s="26" t="s">
        <v>728</v>
      </c>
      <c r="P230" s="26">
        <v>90066</v>
      </c>
      <c r="Q230" s="26" t="s">
        <v>55</v>
      </c>
    </row>
    <row r="231" spans="1:17" hidden="1" x14ac:dyDescent="0.3">
      <c r="A231" s="26" t="s">
        <v>3165</v>
      </c>
      <c r="B231" s="26" t="s">
        <v>3166</v>
      </c>
      <c r="C231" s="26" t="s">
        <v>50</v>
      </c>
      <c r="D231" s="26" t="s">
        <v>1023</v>
      </c>
      <c r="E231" s="26" t="s">
        <v>87</v>
      </c>
      <c r="G231" s="26" t="s">
        <v>1056</v>
      </c>
      <c r="H231" s="26" t="s">
        <v>39</v>
      </c>
      <c r="I231" s="26" t="s">
        <v>526</v>
      </c>
      <c r="J231" s="11" t="str">
        <f>VLOOKUP(K231,'PN Dictionary'!A:B,2,FALSE)</f>
        <v>GB300 L10</v>
      </c>
      <c r="K231" s="11" t="s">
        <v>36</v>
      </c>
      <c r="L231" s="26" t="s">
        <v>1760</v>
      </c>
      <c r="M231" s="44" t="s">
        <v>3167</v>
      </c>
      <c r="N231" s="26" t="s">
        <v>53</v>
      </c>
      <c r="O231" s="26" t="s">
        <v>728</v>
      </c>
      <c r="P231" s="26">
        <v>2131</v>
      </c>
      <c r="Q231" s="26" t="s">
        <v>55</v>
      </c>
    </row>
    <row r="232" spans="1:17" hidden="1" x14ac:dyDescent="0.3">
      <c r="A232" s="26" t="s">
        <v>1508</v>
      </c>
      <c r="B232" s="26" t="s">
        <v>1134</v>
      </c>
      <c r="C232" s="26" t="s">
        <v>50</v>
      </c>
      <c r="D232" s="26" t="s">
        <v>1042</v>
      </c>
      <c r="E232" s="26" t="s">
        <v>81</v>
      </c>
      <c r="G232" s="26" t="s">
        <v>1056</v>
      </c>
      <c r="H232" s="26" t="s">
        <v>39</v>
      </c>
      <c r="I232" s="26" t="s">
        <v>1135</v>
      </c>
      <c r="J232" s="11" t="str">
        <f>VLOOKUP(K232,'PN Dictionary'!A:B,2,FALSE)</f>
        <v>GB300 L10</v>
      </c>
      <c r="K232" s="26" t="s">
        <v>36</v>
      </c>
      <c r="L232" s="44" t="s">
        <v>1509</v>
      </c>
      <c r="M232" s="26" t="s">
        <v>1136</v>
      </c>
      <c r="N232" s="26" t="s">
        <v>53</v>
      </c>
      <c r="O232" s="26" t="s">
        <v>728</v>
      </c>
      <c r="P232" s="26">
        <v>2131</v>
      </c>
      <c r="Q232" s="26" t="s">
        <v>55</v>
      </c>
    </row>
    <row r="233" spans="1:17" hidden="1" x14ac:dyDescent="0.3">
      <c r="A233" s="26" t="s">
        <v>1137</v>
      </c>
      <c r="B233" s="26" t="s">
        <v>1138</v>
      </c>
      <c r="C233" s="26" t="s">
        <v>50</v>
      </c>
      <c r="D233" s="26" t="s">
        <v>1002</v>
      </c>
      <c r="E233" s="26" t="s">
        <v>761</v>
      </c>
      <c r="G233" s="26" t="s">
        <v>1139</v>
      </c>
      <c r="H233" s="26" t="s">
        <v>39</v>
      </c>
      <c r="I233" s="26" t="s">
        <v>1140</v>
      </c>
      <c r="J233" s="11" t="str">
        <f>VLOOKUP(K233,'PN Dictionary'!A:B,2,FALSE)</f>
        <v>GB300 L10</v>
      </c>
      <c r="K233" s="26" t="s">
        <v>36</v>
      </c>
      <c r="L233" s="44" t="s">
        <v>1164</v>
      </c>
      <c r="M233" s="26" t="s">
        <v>1141</v>
      </c>
      <c r="N233" s="26" t="s">
        <v>53</v>
      </c>
      <c r="O233" s="26" t="s">
        <v>728</v>
      </c>
      <c r="P233" s="26">
        <v>90066</v>
      </c>
      <c r="Q233" s="26" t="s">
        <v>55</v>
      </c>
    </row>
    <row r="234" spans="1:17" hidden="1" x14ac:dyDescent="0.3">
      <c r="A234" s="26" t="s">
        <v>1142</v>
      </c>
      <c r="B234" s="26" t="s">
        <v>1143</v>
      </c>
      <c r="C234" s="26" t="s">
        <v>50</v>
      </c>
      <c r="D234" s="26" t="s">
        <v>1144</v>
      </c>
      <c r="E234" s="26" t="s">
        <v>242</v>
      </c>
      <c r="G234" s="26" t="s">
        <v>1139</v>
      </c>
      <c r="H234" s="26" t="s">
        <v>39</v>
      </c>
      <c r="I234" s="26" t="s">
        <v>1145</v>
      </c>
      <c r="J234" s="11" t="str">
        <f>VLOOKUP(K234,'PN Dictionary'!A:B,2,FALSE)</f>
        <v>Delta power shelf right input</v>
      </c>
      <c r="K234" s="26" t="s">
        <v>353</v>
      </c>
      <c r="L234" s="44" t="s">
        <v>1146</v>
      </c>
      <c r="M234" s="26" t="s">
        <v>1147</v>
      </c>
      <c r="N234" s="26" t="s">
        <v>53</v>
      </c>
      <c r="O234" s="26" t="s">
        <v>728</v>
      </c>
      <c r="P234" s="26">
        <v>640</v>
      </c>
      <c r="Q234" s="26" t="s">
        <v>55</v>
      </c>
    </row>
    <row r="235" spans="1:17" hidden="1" x14ac:dyDescent="0.3">
      <c r="A235" s="26" t="s">
        <v>1148</v>
      </c>
      <c r="B235" s="26" t="s">
        <v>1149</v>
      </c>
      <c r="C235" s="26" t="s">
        <v>50</v>
      </c>
      <c r="D235" s="26" t="s">
        <v>1077</v>
      </c>
      <c r="E235" s="26" t="s">
        <v>128</v>
      </c>
      <c r="G235" s="26" t="s">
        <v>1139</v>
      </c>
      <c r="H235" s="26" t="s">
        <v>39</v>
      </c>
      <c r="I235" s="26" t="s">
        <v>1150</v>
      </c>
      <c r="J235" s="11" t="str">
        <f>VLOOKUP(K235,'PN Dictionary'!A:B,2,FALSE)</f>
        <v>Cable Cartridge</v>
      </c>
      <c r="K235" s="26" t="s">
        <v>6</v>
      </c>
      <c r="L235" s="44">
        <v>1823725355000</v>
      </c>
      <c r="M235" s="26">
        <v>1822825356136</v>
      </c>
      <c r="N235" s="26" t="s">
        <v>53</v>
      </c>
      <c r="O235" s="26" t="s">
        <v>728</v>
      </c>
      <c r="P235" s="26">
        <v>718</v>
      </c>
      <c r="Q235" s="26" t="s">
        <v>55</v>
      </c>
    </row>
    <row r="236" spans="1:17" hidden="1" x14ac:dyDescent="0.3">
      <c r="A236" s="26" t="s">
        <v>1151</v>
      </c>
      <c r="B236" s="26" t="s">
        <v>1152</v>
      </c>
      <c r="C236" s="26" t="s">
        <v>50</v>
      </c>
      <c r="D236" s="26" t="s">
        <v>951</v>
      </c>
      <c r="E236" s="26" t="s">
        <v>230</v>
      </c>
      <c r="G236" s="26" t="s">
        <v>1139</v>
      </c>
      <c r="H236" s="26" t="s">
        <v>39</v>
      </c>
      <c r="I236" s="26" t="s">
        <v>1153</v>
      </c>
      <c r="J236" s="11" t="str">
        <f>VLOOKUP(K236,'PN Dictionary'!A:B,2,FALSE)</f>
        <v>NVSwitch</v>
      </c>
      <c r="K236" s="26" t="s">
        <v>7</v>
      </c>
      <c r="L236" s="44" t="s">
        <v>1154</v>
      </c>
      <c r="M236" s="26" t="s">
        <v>1155</v>
      </c>
      <c r="N236" s="26" t="s">
        <v>53</v>
      </c>
      <c r="O236" s="26" t="s">
        <v>728</v>
      </c>
      <c r="P236" s="26">
        <v>1519</v>
      </c>
      <c r="Q236" s="26" t="s">
        <v>55</v>
      </c>
    </row>
    <row r="237" spans="1:17" hidden="1" x14ac:dyDescent="0.3">
      <c r="A237" s="26" t="s">
        <v>1156</v>
      </c>
      <c r="B237" s="26" t="s">
        <v>1157</v>
      </c>
      <c r="C237" s="26" t="s">
        <v>50</v>
      </c>
      <c r="D237" s="26" t="s">
        <v>1158</v>
      </c>
      <c r="E237" s="26" t="s">
        <v>128</v>
      </c>
      <c r="G237" s="26" t="s">
        <v>1139</v>
      </c>
      <c r="H237" s="26" t="s">
        <v>39</v>
      </c>
      <c r="I237" s="26" t="s">
        <v>1159</v>
      </c>
      <c r="J237" s="11" t="str">
        <f>VLOOKUP(K237,'PN Dictionary'!A:B,2,FALSE)</f>
        <v>Cable Cartridge</v>
      </c>
      <c r="K237" s="26" t="s">
        <v>6</v>
      </c>
      <c r="L237" s="44">
        <v>1824125354805</v>
      </c>
      <c r="M237" s="26">
        <v>1822825354736</v>
      </c>
      <c r="N237" s="26" t="s">
        <v>53</v>
      </c>
      <c r="O237" s="26" t="s">
        <v>728</v>
      </c>
      <c r="P237" s="26">
        <v>640</v>
      </c>
      <c r="Q237" s="26" t="s">
        <v>55</v>
      </c>
    </row>
    <row r="238" spans="1:17" hidden="1" x14ac:dyDescent="0.3">
      <c r="A238" s="26" t="s">
        <v>1160</v>
      </c>
      <c r="B238" s="26" t="s">
        <v>1161</v>
      </c>
      <c r="C238" s="26" t="s">
        <v>50</v>
      </c>
      <c r="D238" s="26" t="s">
        <v>1162</v>
      </c>
      <c r="E238" s="26" t="s">
        <v>761</v>
      </c>
      <c r="G238" s="26" t="s">
        <v>1139</v>
      </c>
      <c r="H238" s="26" t="s">
        <v>39</v>
      </c>
      <c r="I238" s="26" t="s">
        <v>1163</v>
      </c>
      <c r="J238" s="11" t="str">
        <f>VLOOKUP(K238,'PN Dictionary'!A:B,2,FALSE)</f>
        <v>GB300 L10</v>
      </c>
      <c r="K238" s="26" t="s">
        <v>36</v>
      </c>
      <c r="L238" s="44" t="s">
        <v>730</v>
      </c>
      <c r="M238" s="26" t="s">
        <v>988</v>
      </c>
      <c r="N238" s="26" t="s">
        <v>53</v>
      </c>
      <c r="O238" s="26" t="s">
        <v>728</v>
      </c>
      <c r="P238" s="26">
        <v>924</v>
      </c>
      <c r="Q238" s="26" t="s">
        <v>55</v>
      </c>
    </row>
    <row r="239" spans="1:17" hidden="1" x14ac:dyDescent="0.3">
      <c r="A239" s="26" t="s">
        <v>1165</v>
      </c>
      <c r="B239" s="26" t="s">
        <v>1166</v>
      </c>
      <c r="C239" s="26" t="s">
        <v>50</v>
      </c>
      <c r="D239" s="26" t="s">
        <v>1082</v>
      </c>
      <c r="E239" s="26" t="s">
        <v>411</v>
      </c>
      <c r="G239" s="26" t="s">
        <v>1139</v>
      </c>
      <c r="H239" s="26" t="s">
        <v>39</v>
      </c>
      <c r="I239" s="26" t="s">
        <v>1167</v>
      </c>
      <c r="J239" s="11" t="str">
        <f>VLOOKUP(K239,'PN Dictionary'!A:B,2,FALSE)</f>
        <v>NVSwitch</v>
      </c>
      <c r="K239" s="26" t="s">
        <v>7</v>
      </c>
      <c r="L239" s="44" t="s">
        <v>1168</v>
      </c>
      <c r="M239" s="26" t="s">
        <v>1169</v>
      </c>
      <c r="N239" s="26" t="s">
        <v>53</v>
      </c>
      <c r="O239" s="26" t="s">
        <v>728</v>
      </c>
      <c r="P239" s="26">
        <v>90066</v>
      </c>
      <c r="Q239" s="26" t="s">
        <v>55</v>
      </c>
    </row>
    <row r="240" spans="1:17" hidden="1" x14ac:dyDescent="0.3">
      <c r="A240" s="26" t="s">
        <v>1170</v>
      </c>
      <c r="B240" s="26" t="s">
        <v>1171</v>
      </c>
      <c r="C240" s="26" t="s">
        <v>50</v>
      </c>
      <c r="D240" s="26" t="s">
        <v>1172</v>
      </c>
      <c r="E240" s="26" t="s">
        <v>128</v>
      </c>
      <c r="G240" s="26" t="s">
        <v>1139</v>
      </c>
      <c r="H240" s="26" t="s">
        <v>39</v>
      </c>
      <c r="I240" s="26" t="s">
        <v>1173</v>
      </c>
      <c r="J240" s="11" t="str">
        <f>VLOOKUP(K240,'PN Dictionary'!A:B,2,FALSE)</f>
        <v>Cable Cartridge</v>
      </c>
      <c r="K240" s="26" t="s">
        <v>6</v>
      </c>
      <c r="L240" s="44">
        <v>1823725354825</v>
      </c>
      <c r="M240" s="26">
        <v>1822825354531</v>
      </c>
      <c r="N240" s="26" t="s">
        <v>53</v>
      </c>
      <c r="O240" s="26" t="s">
        <v>728</v>
      </c>
      <c r="P240" s="26">
        <v>1348</v>
      </c>
      <c r="Q240" s="26" t="s">
        <v>55</v>
      </c>
    </row>
    <row r="241" spans="1:17" hidden="1" x14ac:dyDescent="0.3">
      <c r="A241" s="26" t="s">
        <v>1174</v>
      </c>
      <c r="B241" s="26" t="s">
        <v>1175</v>
      </c>
      <c r="C241" s="26" t="s">
        <v>50</v>
      </c>
      <c r="D241" s="26" t="s">
        <v>1114</v>
      </c>
      <c r="E241" s="26" t="s">
        <v>128</v>
      </c>
      <c r="G241" s="26" t="s">
        <v>1139</v>
      </c>
      <c r="H241" s="26" t="s">
        <v>39</v>
      </c>
      <c r="I241" s="26" t="s">
        <v>1176</v>
      </c>
      <c r="J241" s="11" t="str">
        <f>VLOOKUP(K241,'PN Dictionary'!A:B,2,FALSE)</f>
        <v>Cable Cartridge</v>
      </c>
      <c r="K241" s="26" t="s">
        <v>6</v>
      </c>
      <c r="L241" s="44">
        <v>2024125351487</v>
      </c>
      <c r="M241" s="26">
        <v>1822825354586</v>
      </c>
      <c r="N241" s="26" t="s">
        <v>53</v>
      </c>
      <c r="O241" s="26" t="s">
        <v>728</v>
      </c>
      <c r="P241" s="26">
        <v>1348</v>
      </c>
      <c r="Q241" s="26" t="s">
        <v>55</v>
      </c>
    </row>
    <row r="242" spans="1:17" hidden="1" x14ac:dyDescent="0.3">
      <c r="A242" s="26" t="s">
        <v>1177</v>
      </c>
      <c r="B242" s="26" t="s">
        <v>1178</v>
      </c>
      <c r="C242" s="26" t="s">
        <v>50</v>
      </c>
      <c r="D242" s="26" t="s">
        <v>1179</v>
      </c>
      <c r="E242" s="26" t="s">
        <v>81</v>
      </c>
      <c r="G242" s="26" t="s">
        <v>1139</v>
      </c>
      <c r="H242" s="26" t="s">
        <v>39</v>
      </c>
      <c r="I242" s="26" t="s">
        <v>1180</v>
      </c>
      <c r="J242" s="11" t="str">
        <f>VLOOKUP(K242,'PN Dictionary'!A:B,2,FALSE)</f>
        <v>GB300 L10</v>
      </c>
      <c r="K242" s="26" t="s">
        <v>36</v>
      </c>
      <c r="L242" s="44" t="s">
        <v>1455</v>
      </c>
      <c r="M242" s="26" t="s">
        <v>1181</v>
      </c>
      <c r="N242" s="26" t="s">
        <v>53</v>
      </c>
      <c r="O242" s="26" t="s">
        <v>728</v>
      </c>
      <c r="P242" s="26">
        <v>1348</v>
      </c>
      <c r="Q242" s="26" t="s">
        <v>55</v>
      </c>
    </row>
    <row r="243" spans="1:17" hidden="1" x14ac:dyDescent="0.3">
      <c r="A243" s="26" t="s">
        <v>1182</v>
      </c>
      <c r="B243" s="26" t="s">
        <v>1183</v>
      </c>
      <c r="C243" s="26" t="s">
        <v>50</v>
      </c>
      <c r="D243" s="26" t="s">
        <v>1184</v>
      </c>
      <c r="E243" s="26" t="s">
        <v>411</v>
      </c>
      <c r="G243" s="26" t="s">
        <v>1139</v>
      </c>
      <c r="H243" s="26" t="s">
        <v>39</v>
      </c>
      <c r="I243" s="26" t="s">
        <v>1185</v>
      </c>
      <c r="J243" s="11" t="str">
        <f>VLOOKUP(K243,'PN Dictionary'!A:B,2,FALSE)</f>
        <v>NVSwitch</v>
      </c>
      <c r="K243" s="26" t="s">
        <v>7</v>
      </c>
      <c r="L243" s="44" t="s">
        <v>1186</v>
      </c>
      <c r="M243" s="26" t="s">
        <v>1168</v>
      </c>
      <c r="N243" s="26" t="s">
        <v>53</v>
      </c>
      <c r="O243" s="26" t="s">
        <v>728</v>
      </c>
      <c r="P243" s="26">
        <v>90066</v>
      </c>
      <c r="Q243" s="26" t="s">
        <v>55</v>
      </c>
    </row>
    <row r="244" spans="1:17" hidden="1" x14ac:dyDescent="0.3">
      <c r="A244" s="26" t="s">
        <v>1187</v>
      </c>
      <c r="B244" s="26" t="s">
        <v>1188</v>
      </c>
      <c r="C244" s="26" t="s">
        <v>50</v>
      </c>
      <c r="D244" s="26" t="s">
        <v>1189</v>
      </c>
      <c r="E244" s="26" t="s">
        <v>761</v>
      </c>
      <c r="G244" s="26" t="s">
        <v>1139</v>
      </c>
      <c r="H244" s="26" t="s">
        <v>39</v>
      </c>
      <c r="I244" s="26" t="s">
        <v>1190</v>
      </c>
      <c r="J244" s="11" t="str">
        <f>VLOOKUP(K244,'PN Dictionary'!A:B,2,FALSE)</f>
        <v>GB300 L10</v>
      </c>
      <c r="K244" s="26" t="s">
        <v>36</v>
      </c>
      <c r="L244" s="44" t="s">
        <v>1510</v>
      </c>
      <c r="M244" s="26" t="s">
        <v>1191</v>
      </c>
      <c r="N244" s="26" t="s">
        <v>53</v>
      </c>
      <c r="O244" s="26" t="s">
        <v>728</v>
      </c>
      <c r="P244" s="26">
        <v>90066</v>
      </c>
      <c r="Q244" s="26" t="s">
        <v>55</v>
      </c>
    </row>
    <row r="245" spans="1:17" hidden="1" x14ac:dyDescent="0.3">
      <c r="A245" s="26" t="s">
        <v>1192</v>
      </c>
      <c r="B245" s="26" t="s">
        <v>1193</v>
      </c>
      <c r="C245" s="26" t="s">
        <v>50</v>
      </c>
      <c r="D245" s="26" t="s">
        <v>1194</v>
      </c>
      <c r="E245" s="26" t="s">
        <v>242</v>
      </c>
      <c r="G245" s="26" t="s">
        <v>1195</v>
      </c>
      <c r="H245" s="26" t="s">
        <v>39</v>
      </c>
      <c r="I245" s="26" t="s">
        <v>1196</v>
      </c>
      <c r="J245" s="11" t="str">
        <f>VLOOKUP(K245,'PN Dictionary'!A:B,2,FALSE)</f>
        <v>Power Shelf Control Module</v>
      </c>
      <c r="K245" s="26" t="s">
        <v>11</v>
      </c>
      <c r="L245" s="44" t="s">
        <v>1197</v>
      </c>
      <c r="M245" s="26" t="s">
        <v>1062</v>
      </c>
      <c r="N245" s="26" t="s">
        <v>53</v>
      </c>
      <c r="O245" s="26" t="s">
        <v>728</v>
      </c>
      <c r="P245" s="26">
        <v>1348</v>
      </c>
      <c r="Q245" s="26" t="s">
        <v>55</v>
      </c>
    </row>
    <row r="246" spans="1:17" hidden="1" x14ac:dyDescent="0.3">
      <c r="A246" s="26" t="s">
        <v>3168</v>
      </c>
      <c r="B246" s="26" t="s">
        <v>3169</v>
      </c>
      <c r="C246" s="26" t="s">
        <v>50</v>
      </c>
      <c r="D246" s="26" t="s">
        <v>3170</v>
      </c>
      <c r="E246" s="26" t="s">
        <v>1198</v>
      </c>
      <c r="G246" s="26" t="s">
        <v>1195</v>
      </c>
      <c r="H246" s="26" t="s">
        <v>39</v>
      </c>
      <c r="I246" s="26" t="s">
        <v>1199</v>
      </c>
      <c r="J246" s="11" t="str">
        <f>VLOOKUP(K246,'PN Dictionary'!A:B,2,FALSE)</f>
        <v>GB300 L10</v>
      </c>
      <c r="K246" s="11" t="s">
        <v>36</v>
      </c>
      <c r="L246" s="26" t="s">
        <v>3171</v>
      </c>
      <c r="M246" s="44" t="s">
        <v>3172</v>
      </c>
      <c r="N246" s="26" t="s">
        <v>53</v>
      </c>
      <c r="O246" s="26" t="s">
        <v>728</v>
      </c>
      <c r="P246" s="26">
        <v>718</v>
      </c>
      <c r="Q246" s="26" t="s">
        <v>55</v>
      </c>
    </row>
    <row r="247" spans="1:17" hidden="1" x14ac:dyDescent="0.3">
      <c r="A247" s="26" t="s">
        <v>3173</v>
      </c>
      <c r="B247" s="26" t="s">
        <v>3174</v>
      </c>
      <c r="C247" s="26" t="s">
        <v>50</v>
      </c>
      <c r="D247" s="26" t="s">
        <v>1194</v>
      </c>
      <c r="E247" s="26" t="s">
        <v>1198</v>
      </c>
      <c r="G247" s="26" t="s">
        <v>1195</v>
      </c>
      <c r="H247" s="26" t="s">
        <v>39</v>
      </c>
      <c r="I247" s="26" t="s">
        <v>1199</v>
      </c>
      <c r="J247" s="11" t="str">
        <f>VLOOKUP(K247,'PN Dictionary'!A:B,2,FALSE)</f>
        <v>GB300 L10</v>
      </c>
      <c r="K247" s="11" t="s">
        <v>36</v>
      </c>
      <c r="L247" s="26" t="s">
        <v>3175</v>
      </c>
      <c r="M247" s="44" t="s">
        <v>3176</v>
      </c>
      <c r="N247" s="26" t="s">
        <v>53</v>
      </c>
      <c r="O247" s="26" t="s">
        <v>728</v>
      </c>
      <c r="P247" s="26">
        <v>718</v>
      </c>
      <c r="Q247" s="26" t="s">
        <v>55</v>
      </c>
    </row>
    <row r="248" spans="1:17" hidden="1" x14ac:dyDescent="0.3">
      <c r="A248" s="26" t="s">
        <v>1200</v>
      </c>
      <c r="B248" s="26" t="s">
        <v>1201</v>
      </c>
      <c r="C248" s="26" t="s">
        <v>50</v>
      </c>
      <c r="D248" s="26" t="s">
        <v>1077</v>
      </c>
      <c r="E248" s="26" t="s">
        <v>1198</v>
      </c>
      <c r="G248" s="26" t="s">
        <v>1195</v>
      </c>
      <c r="H248" s="26" t="s">
        <v>39</v>
      </c>
      <c r="I248" s="26" t="s">
        <v>1202</v>
      </c>
      <c r="J248" s="11" t="str">
        <f>VLOOKUP(K248,'PN Dictionary'!A:B,2,FALSE)</f>
        <v>GB300 L10</v>
      </c>
      <c r="K248" s="26" t="s">
        <v>36</v>
      </c>
      <c r="L248" s="44" t="s">
        <v>1511</v>
      </c>
      <c r="M248" s="26" t="s">
        <v>1203</v>
      </c>
      <c r="N248" s="26" t="s">
        <v>53</v>
      </c>
      <c r="O248" s="26" t="s">
        <v>728</v>
      </c>
      <c r="P248" s="26">
        <v>718</v>
      </c>
      <c r="Q248" s="26" t="s">
        <v>55</v>
      </c>
    </row>
    <row r="249" spans="1:17" hidden="1" x14ac:dyDescent="0.3">
      <c r="A249" s="26" t="s">
        <v>1204</v>
      </c>
      <c r="B249" s="26" t="s">
        <v>1205</v>
      </c>
      <c r="C249" s="26" t="s">
        <v>50</v>
      </c>
      <c r="D249" s="26" t="s">
        <v>1206</v>
      </c>
      <c r="E249" s="26" t="s">
        <v>242</v>
      </c>
      <c r="G249" s="26" t="s">
        <v>1195</v>
      </c>
      <c r="H249" s="26" t="s">
        <v>39</v>
      </c>
      <c r="I249" s="26" t="s">
        <v>1207</v>
      </c>
      <c r="J249" s="11" t="str">
        <f>VLOOKUP(K249,'PN Dictionary'!A:B,2,FALSE)</f>
        <v>Power Shelf Control Module</v>
      </c>
      <c r="K249" s="26" t="s">
        <v>11</v>
      </c>
      <c r="L249" s="44" t="s">
        <v>1208</v>
      </c>
      <c r="M249" s="26" t="s">
        <v>1209</v>
      </c>
      <c r="N249" s="26" t="s">
        <v>53</v>
      </c>
      <c r="O249" s="26" t="s">
        <v>728</v>
      </c>
      <c r="P249" s="26">
        <v>924</v>
      </c>
      <c r="Q249" s="26" t="s">
        <v>55</v>
      </c>
    </row>
    <row r="250" spans="1:17" hidden="1" x14ac:dyDescent="0.3">
      <c r="A250" s="26" t="s">
        <v>3177</v>
      </c>
      <c r="B250" s="26" t="s">
        <v>3178</v>
      </c>
      <c r="C250" s="26" t="s">
        <v>50</v>
      </c>
      <c r="D250" s="26" t="s">
        <v>1077</v>
      </c>
      <c r="E250" s="26" t="s">
        <v>653</v>
      </c>
      <c r="G250" s="26" t="s">
        <v>1195</v>
      </c>
      <c r="H250" s="26" t="s">
        <v>39</v>
      </c>
      <c r="I250" s="26" t="s">
        <v>3179</v>
      </c>
      <c r="J250" s="11" t="str">
        <f>VLOOKUP(K250,'PN Dictionary'!A:B,2,FALSE)</f>
        <v>GB300 L10</v>
      </c>
      <c r="K250" s="11" t="s">
        <v>36</v>
      </c>
      <c r="L250" s="26" t="s">
        <v>3180</v>
      </c>
      <c r="M250" s="44" t="s">
        <v>3181</v>
      </c>
      <c r="N250" s="26" t="s">
        <v>53</v>
      </c>
      <c r="O250" s="26" t="s">
        <v>728</v>
      </c>
      <c r="P250" s="26">
        <v>718</v>
      </c>
      <c r="Q250" s="26" t="s">
        <v>55</v>
      </c>
    </row>
    <row r="251" spans="1:17" hidden="1" x14ac:dyDescent="0.3">
      <c r="A251" s="26" t="s">
        <v>1210</v>
      </c>
      <c r="B251" s="26" t="s">
        <v>1219</v>
      </c>
      <c r="C251" s="26" t="s">
        <v>50</v>
      </c>
      <c r="D251" s="26" t="s">
        <v>1066</v>
      </c>
      <c r="E251" s="26" t="s">
        <v>1211</v>
      </c>
      <c r="G251" s="26" t="s">
        <v>1195</v>
      </c>
      <c r="H251" s="26" t="s">
        <v>39</v>
      </c>
      <c r="I251" s="26" t="s">
        <v>1220</v>
      </c>
      <c r="J251" s="11" t="str">
        <f>VLOOKUP(K251,'PN Dictionary'!A:B,2,FALSE)</f>
        <v>SCDM</v>
      </c>
      <c r="K251" s="11" t="s">
        <v>1212</v>
      </c>
      <c r="L251" s="44" t="s">
        <v>1213</v>
      </c>
      <c r="M251" s="26" t="s">
        <v>1221</v>
      </c>
      <c r="N251" s="26" t="s">
        <v>53</v>
      </c>
      <c r="O251" s="26" t="s">
        <v>728</v>
      </c>
      <c r="P251" s="26">
        <v>928</v>
      </c>
      <c r="Q251" s="26" t="s">
        <v>55</v>
      </c>
    </row>
    <row r="252" spans="1:17" hidden="1" x14ac:dyDescent="0.3">
      <c r="A252" s="26" t="s">
        <v>1214</v>
      </c>
      <c r="B252" s="26" t="s">
        <v>1215</v>
      </c>
      <c r="C252" s="26" t="s">
        <v>50</v>
      </c>
      <c r="D252" s="26" t="s">
        <v>1206</v>
      </c>
      <c r="E252" s="26" t="s">
        <v>242</v>
      </c>
      <c r="G252" s="26" t="s">
        <v>1195</v>
      </c>
      <c r="H252" s="26" t="s">
        <v>39</v>
      </c>
      <c r="I252" s="26" t="s">
        <v>1207</v>
      </c>
      <c r="J252" s="11" t="str">
        <f>VLOOKUP(K252,'PN Dictionary'!A:B,2,FALSE)</f>
        <v>Delta Power Shelf Left Input</v>
      </c>
      <c r="K252" s="26" t="s">
        <v>10</v>
      </c>
      <c r="L252" s="44" t="s">
        <v>1216</v>
      </c>
      <c r="M252" s="26" t="s">
        <v>1217</v>
      </c>
      <c r="N252" s="26" t="s">
        <v>53</v>
      </c>
      <c r="O252" s="26" t="s">
        <v>728</v>
      </c>
      <c r="P252" s="26">
        <v>924</v>
      </c>
      <c r="Q252" s="26" t="s">
        <v>55</v>
      </c>
    </row>
    <row r="253" spans="1:17" hidden="1" x14ac:dyDescent="0.3">
      <c r="A253" s="26" t="s">
        <v>1222</v>
      </c>
      <c r="B253" s="26" t="s">
        <v>1223</v>
      </c>
      <c r="C253" s="26" t="s">
        <v>50</v>
      </c>
      <c r="D253" s="26" t="s">
        <v>1224</v>
      </c>
      <c r="E253" s="26" t="s">
        <v>307</v>
      </c>
      <c r="G253" s="26" t="s">
        <v>1195</v>
      </c>
      <c r="H253" s="26" t="s">
        <v>39</v>
      </c>
      <c r="I253" s="26" t="s">
        <v>1225</v>
      </c>
      <c r="J253" s="11" t="str">
        <f>VLOOKUP(K253,'PN Dictionary'!A:B,2,FALSE)</f>
        <v>GB300 L10</v>
      </c>
      <c r="K253" s="26" t="s">
        <v>36</v>
      </c>
      <c r="L253" s="44" t="s">
        <v>1512</v>
      </c>
      <c r="M253" s="26" t="s">
        <v>1226</v>
      </c>
      <c r="N253" s="26" t="s">
        <v>53</v>
      </c>
      <c r="O253" s="26" t="s">
        <v>728</v>
      </c>
      <c r="P253" s="26">
        <v>90066</v>
      </c>
      <c r="Q253" s="26" t="s">
        <v>55</v>
      </c>
    </row>
    <row r="254" spans="1:17" hidden="1" x14ac:dyDescent="0.3">
      <c r="A254" s="26" t="s">
        <v>3182</v>
      </c>
      <c r="B254" s="26" t="s">
        <v>3183</v>
      </c>
      <c r="C254" s="26" t="s">
        <v>50</v>
      </c>
      <c r="D254" s="26" t="s">
        <v>603</v>
      </c>
      <c r="E254" s="26" t="s">
        <v>87</v>
      </c>
      <c r="G254" s="26" t="s">
        <v>1195</v>
      </c>
      <c r="H254" s="26" t="s">
        <v>39</v>
      </c>
      <c r="I254" s="26" t="s">
        <v>3184</v>
      </c>
      <c r="J254" s="11" t="str">
        <f>VLOOKUP(K254,'PN Dictionary'!A:B,2,FALSE)</f>
        <v>GB300 L10</v>
      </c>
      <c r="K254" s="26" t="s">
        <v>36</v>
      </c>
      <c r="L254" s="26" t="s">
        <v>3185</v>
      </c>
      <c r="M254" s="44" t="s">
        <v>3186</v>
      </c>
      <c r="N254" s="26" t="s">
        <v>53</v>
      </c>
      <c r="O254" s="26" t="s">
        <v>54</v>
      </c>
      <c r="P254" s="26">
        <v>1348</v>
      </c>
      <c r="Q254" s="26" t="s">
        <v>55</v>
      </c>
    </row>
    <row r="255" spans="1:17" hidden="1" x14ac:dyDescent="0.3">
      <c r="A255" s="26" t="s">
        <v>1227</v>
      </c>
      <c r="B255" s="26" t="s">
        <v>1228</v>
      </c>
      <c r="C255" s="26" t="s">
        <v>50</v>
      </c>
      <c r="D255" s="26" t="s">
        <v>1114</v>
      </c>
      <c r="E255" s="26" t="s">
        <v>128</v>
      </c>
      <c r="G255" s="26" t="s">
        <v>1195</v>
      </c>
      <c r="H255" s="26" t="s">
        <v>39</v>
      </c>
      <c r="I255" s="26" t="s">
        <v>1229</v>
      </c>
      <c r="J255" s="11" t="str">
        <f>VLOOKUP(K255,'PN Dictionary'!A:B,2,FALSE)</f>
        <v>Cable Cartridge</v>
      </c>
      <c r="K255" s="26" t="s">
        <v>6</v>
      </c>
      <c r="L255" s="44">
        <v>2024125351339</v>
      </c>
      <c r="M255" s="26">
        <v>1822825354854</v>
      </c>
      <c r="N255" s="26" t="s">
        <v>53</v>
      </c>
      <c r="O255" s="26" t="s">
        <v>728</v>
      </c>
      <c r="P255" s="26">
        <v>1348</v>
      </c>
      <c r="Q255" s="26" t="s">
        <v>55</v>
      </c>
    </row>
    <row r="256" spans="1:17" hidden="1" x14ac:dyDescent="0.3">
      <c r="A256" s="26" t="s">
        <v>1230</v>
      </c>
      <c r="B256" s="26" t="s">
        <v>1231</v>
      </c>
      <c r="C256" s="26" t="s">
        <v>50</v>
      </c>
      <c r="D256" s="26" t="s">
        <v>1232</v>
      </c>
      <c r="E256" s="26" t="s">
        <v>374</v>
      </c>
      <c r="G256" s="26" t="s">
        <v>1195</v>
      </c>
      <c r="H256" s="26" t="s">
        <v>39</v>
      </c>
      <c r="I256" s="26" t="s">
        <v>1233</v>
      </c>
      <c r="J256" s="11" t="str">
        <f>VLOOKUP(K256,'PN Dictionary'!A:B,2,FALSE)</f>
        <v>GB300 L10</v>
      </c>
      <c r="K256" s="26" t="s">
        <v>36</v>
      </c>
      <c r="L256" s="44" t="s">
        <v>1513</v>
      </c>
      <c r="M256" s="26" t="s">
        <v>1234</v>
      </c>
      <c r="N256" s="26" t="s">
        <v>53</v>
      </c>
      <c r="O256" s="26" t="s">
        <v>728</v>
      </c>
      <c r="P256" s="26">
        <v>1348</v>
      </c>
      <c r="Q256" s="26" t="s">
        <v>55</v>
      </c>
    </row>
    <row r="257" spans="1:17" hidden="1" x14ac:dyDescent="0.3">
      <c r="A257" s="26" t="s">
        <v>1235</v>
      </c>
      <c r="B257" s="26" t="s">
        <v>1236</v>
      </c>
      <c r="C257" s="26" t="s">
        <v>50</v>
      </c>
      <c r="D257" s="26" t="s">
        <v>1237</v>
      </c>
      <c r="E257" s="26" t="s">
        <v>128</v>
      </c>
      <c r="G257" s="26" t="s">
        <v>1195</v>
      </c>
      <c r="H257" s="26" t="s">
        <v>39</v>
      </c>
      <c r="I257" s="26" t="s">
        <v>1238</v>
      </c>
      <c r="J257" s="11" t="str">
        <f>VLOOKUP(K257,'PN Dictionary'!A:B,2,FALSE)</f>
        <v>Cable Cartridge</v>
      </c>
      <c r="K257" s="26" t="s">
        <v>6</v>
      </c>
      <c r="L257" s="44">
        <v>2024125350940</v>
      </c>
      <c r="M257" s="26">
        <v>1823425356028</v>
      </c>
      <c r="N257" s="26" t="s">
        <v>53</v>
      </c>
      <c r="O257" s="26" t="s">
        <v>728</v>
      </c>
      <c r="P257" s="26">
        <v>90066</v>
      </c>
      <c r="Q257" s="26" t="s">
        <v>55</v>
      </c>
    </row>
    <row r="258" spans="1:17" hidden="1" x14ac:dyDescent="0.3">
      <c r="A258" s="26" t="s">
        <v>1239</v>
      </c>
      <c r="B258" s="26" t="s">
        <v>1240</v>
      </c>
      <c r="C258" s="26" t="s">
        <v>50</v>
      </c>
      <c r="D258" s="26" t="s">
        <v>1241</v>
      </c>
      <c r="E258" s="26" t="s">
        <v>128</v>
      </c>
      <c r="G258" s="26" t="s">
        <v>1242</v>
      </c>
      <c r="H258" s="26" t="s">
        <v>39</v>
      </c>
      <c r="I258" s="26" t="s">
        <v>1243</v>
      </c>
      <c r="J258" s="11" t="str">
        <f>VLOOKUP(K258,'PN Dictionary'!A:B,2,FALSE)</f>
        <v>Cable Cartridge</v>
      </c>
      <c r="K258" s="26" t="s">
        <v>6</v>
      </c>
      <c r="L258" s="44">
        <v>2024225350114</v>
      </c>
      <c r="M258" s="26">
        <v>1822825356134</v>
      </c>
      <c r="N258" s="26" t="s">
        <v>53</v>
      </c>
      <c r="O258" s="26" t="s">
        <v>728</v>
      </c>
      <c r="P258" s="26">
        <v>1348</v>
      </c>
      <c r="Q258" s="26" t="s">
        <v>55</v>
      </c>
    </row>
    <row r="259" spans="1:17" hidden="1" x14ac:dyDescent="0.3">
      <c r="A259" s="26" t="s">
        <v>1244</v>
      </c>
      <c r="B259" s="26" t="s">
        <v>1245</v>
      </c>
      <c r="C259" s="26" t="s">
        <v>50</v>
      </c>
      <c r="D259" s="26" t="s">
        <v>1246</v>
      </c>
      <c r="E259" s="26" t="s">
        <v>242</v>
      </c>
      <c r="G259" s="26" t="s">
        <v>1242</v>
      </c>
      <c r="H259" s="26" t="s">
        <v>39</v>
      </c>
      <c r="I259" s="26" t="s">
        <v>1247</v>
      </c>
      <c r="J259" s="11" t="str">
        <f>VLOOKUP(K259,'PN Dictionary'!A:B,2,FALSE)</f>
        <v>Delta power shelf right input</v>
      </c>
      <c r="K259" s="26" t="s">
        <v>353</v>
      </c>
      <c r="L259" s="44" t="s">
        <v>1248</v>
      </c>
      <c r="M259" s="26" t="s">
        <v>1249</v>
      </c>
      <c r="N259" s="26" t="s">
        <v>53</v>
      </c>
      <c r="O259" s="26" t="s">
        <v>728</v>
      </c>
      <c r="P259" s="26">
        <v>1519</v>
      </c>
      <c r="Q259" s="26" t="s">
        <v>55</v>
      </c>
    </row>
    <row r="260" spans="1:17" hidden="1" x14ac:dyDescent="0.3">
      <c r="A260" s="26" t="s">
        <v>1250</v>
      </c>
      <c r="B260" s="26" t="s">
        <v>1251</v>
      </c>
      <c r="C260" s="26" t="s">
        <v>50</v>
      </c>
      <c r="D260" s="26" t="s">
        <v>1184</v>
      </c>
      <c r="E260" s="26" t="s">
        <v>374</v>
      </c>
      <c r="G260" s="26" t="s">
        <v>1242</v>
      </c>
      <c r="H260" s="26" t="s">
        <v>39</v>
      </c>
      <c r="I260" s="26" t="s">
        <v>1252</v>
      </c>
      <c r="J260" s="11" t="str">
        <f>VLOOKUP(K260,'PN Dictionary'!A:B,2,FALSE)</f>
        <v>NVSwitch</v>
      </c>
      <c r="K260" s="26" t="s">
        <v>7</v>
      </c>
      <c r="L260" s="44" t="s">
        <v>1168</v>
      </c>
      <c r="M260" s="26" t="s">
        <v>1253</v>
      </c>
      <c r="N260" s="26" t="s">
        <v>53</v>
      </c>
      <c r="O260" s="26" t="s">
        <v>728</v>
      </c>
      <c r="P260" s="26">
        <v>924</v>
      </c>
      <c r="Q260" s="26" t="s">
        <v>55</v>
      </c>
    </row>
    <row r="261" spans="1:17" hidden="1" x14ac:dyDescent="0.3">
      <c r="A261" s="26" t="s">
        <v>1250</v>
      </c>
      <c r="B261" s="26" t="s">
        <v>1251</v>
      </c>
      <c r="C261" s="26" t="s">
        <v>50</v>
      </c>
      <c r="D261" s="26" t="s">
        <v>1184</v>
      </c>
      <c r="E261" s="26" t="s">
        <v>374</v>
      </c>
      <c r="G261" s="26" t="s">
        <v>1242</v>
      </c>
      <c r="H261" s="26" t="s">
        <v>39</v>
      </c>
      <c r="I261" s="26" t="s">
        <v>1252</v>
      </c>
      <c r="J261" s="11" t="str">
        <f>VLOOKUP(K261,'PN Dictionary'!A:B,2,FALSE)</f>
        <v>NVSwitch</v>
      </c>
      <c r="K261" s="26" t="s">
        <v>7</v>
      </c>
      <c r="L261" s="44" t="s">
        <v>1168</v>
      </c>
      <c r="M261" s="26" t="s">
        <v>1253</v>
      </c>
      <c r="N261" s="26" t="s">
        <v>53</v>
      </c>
      <c r="O261" s="26" t="s">
        <v>728</v>
      </c>
      <c r="P261" s="26">
        <v>924</v>
      </c>
      <c r="Q261" s="26" t="s">
        <v>55</v>
      </c>
    </row>
    <row r="262" spans="1:17" hidden="1" x14ac:dyDescent="0.3">
      <c r="A262" s="26" t="s">
        <v>3187</v>
      </c>
      <c r="B262" s="26" t="s">
        <v>3188</v>
      </c>
      <c r="C262" s="26" t="s">
        <v>50</v>
      </c>
      <c r="D262" s="26" t="s">
        <v>3189</v>
      </c>
      <c r="E262" s="26" t="s">
        <v>52</v>
      </c>
      <c r="G262" s="26" t="s">
        <v>1242</v>
      </c>
      <c r="H262" s="26" t="s">
        <v>39</v>
      </c>
      <c r="I262" s="26" t="s">
        <v>3190</v>
      </c>
      <c r="J262" s="11" t="str">
        <f>VLOOKUP(K262,'PN Dictionary'!A:B,2,FALSE)</f>
        <v>GB300 L10</v>
      </c>
      <c r="K262" s="11" t="s">
        <v>36</v>
      </c>
      <c r="L262" s="26" t="s">
        <v>3191</v>
      </c>
      <c r="M262" s="44" t="s">
        <v>3192</v>
      </c>
      <c r="N262" s="26" t="s">
        <v>53</v>
      </c>
      <c r="O262" s="26" t="s">
        <v>728</v>
      </c>
      <c r="P262" s="26">
        <v>640</v>
      </c>
      <c r="Q262" s="26" t="s">
        <v>55</v>
      </c>
    </row>
    <row r="263" spans="1:17" hidden="1" x14ac:dyDescent="0.3">
      <c r="A263" s="26" t="s">
        <v>3193</v>
      </c>
      <c r="B263" s="26" t="s">
        <v>3188</v>
      </c>
      <c r="C263" s="26" t="s">
        <v>50</v>
      </c>
      <c r="D263" s="26" t="s">
        <v>3189</v>
      </c>
      <c r="E263" s="26" t="s">
        <v>52</v>
      </c>
      <c r="G263" s="26" t="s">
        <v>1242</v>
      </c>
      <c r="H263" s="26" t="s">
        <v>39</v>
      </c>
      <c r="I263" s="26" t="s">
        <v>3190</v>
      </c>
      <c r="J263" s="11" t="str">
        <f>VLOOKUP(K263,'PN Dictionary'!A:B,2,FALSE)</f>
        <v>GB300 L10</v>
      </c>
      <c r="K263" s="11" t="s">
        <v>36</v>
      </c>
      <c r="L263" s="26" t="s">
        <v>3194</v>
      </c>
      <c r="M263" s="44" t="s">
        <v>3195</v>
      </c>
      <c r="N263" s="26" t="s">
        <v>53</v>
      </c>
      <c r="O263" s="26" t="s">
        <v>728</v>
      </c>
      <c r="P263" s="26">
        <v>640</v>
      </c>
      <c r="Q263" s="26" t="s">
        <v>55</v>
      </c>
    </row>
    <row r="264" spans="1:17" hidden="1" x14ac:dyDescent="0.3">
      <c r="A264" s="26" t="s">
        <v>3196</v>
      </c>
      <c r="B264" s="26" t="s">
        <v>3197</v>
      </c>
      <c r="C264" s="26" t="s">
        <v>50</v>
      </c>
      <c r="D264" s="26" t="s">
        <v>1254</v>
      </c>
      <c r="E264" s="26" t="s">
        <v>52</v>
      </c>
      <c r="G264" s="26" t="s">
        <v>1242</v>
      </c>
      <c r="H264" s="26" t="s">
        <v>39</v>
      </c>
      <c r="I264" s="26" t="s">
        <v>3190</v>
      </c>
      <c r="J264" s="11" t="str">
        <f>VLOOKUP(K264,'PN Dictionary'!A:B,2,FALSE)</f>
        <v>GB300 L10</v>
      </c>
      <c r="K264" s="11" t="s">
        <v>36</v>
      </c>
      <c r="L264" s="26" t="s">
        <v>3198</v>
      </c>
      <c r="M264" s="44" t="s">
        <v>3199</v>
      </c>
      <c r="N264" s="26" t="s">
        <v>53</v>
      </c>
      <c r="O264" s="26" t="s">
        <v>728</v>
      </c>
      <c r="P264" s="26">
        <v>640</v>
      </c>
      <c r="Q264" s="26" t="s">
        <v>55</v>
      </c>
    </row>
    <row r="265" spans="1:17" hidden="1" x14ac:dyDescent="0.3">
      <c r="A265" s="26" t="s">
        <v>1255</v>
      </c>
      <c r="B265" s="26" t="s">
        <v>1256</v>
      </c>
      <c r="C265" s="26" t="s">
        <v>50</v>
      </c>
      <c r="D265" s="26" t="s">
        <v>1189</v>
      </c>
      <c r="E265" s="26" t="s">
        <v>1257</v>
      </c>
      <c r="G265" s="26" t="s">
        <v>1242</v>
      </c>
      <c r="H265" s="26" t="s">
        <v>39</v>
      </c>
      <c r="I265" s="26" t="s">
        <v>1258</v>
      </c>
      <c r="J265" s="11" t="str">
        <f>VLOOKUP(K265,'PN Dictionary'!A:B,2,FALSE)</f>
        <v>GB300 L10</v>
      </c>
      <c r="K265" s="26" t="s">
        <v>36</v>
      </c>
      <c r="L265" s="44" t="s">
        <v>1514</v>
      </c>
      <c r="M265" s="26" t="s">
        <v>1259</v>
      </c>
      <c r="N265" s="26" t="s">
        <v>53</v>
      </c>
      <c r="O265" s="26" t="s">
        <v>728</v>
      </c>
      <c r="P265" s="26">
        <v>90066</v>
      </c>
      <c r="Q265" s="26" t="s">
        <v>55</v>
      </c>
    </row>
    <row r="266" spans="1:17" hidden="1" x14ac:dyDescent="0.3">
      <c r="A266" s="26" t="s">
        <v>1546</v>
      </c>
      <c r="B266" s="26" t="s">
        <v>1547</v>
      </c>
      <c r="C266" s="26" t="s">
        <v>50</v>
      </c>
      <c r="D266" s="26" t="s">
        <v>1237</v>
      </c>
      <c r="E266" s="26" t="s">
        <v>307</v>
      </c>
      <c r="G266" s="26" t="s">
        <v>1242</v>
      </c>
      <c r="H266" s="26" t="s">
        <v>39</v>
      </c>
      <c r="I266" s="26" t="s">
        <v>1225</v>
      </c>
      <c r="J266" s="11" t="str">
        <f>VLOOKUP(K266,'PN Dictionary'!A:B,2,FALSE)</f>
        <v>GB300 L10</v>
      </c>
      <c r="K266" s="11" t="s">
        <v>36</v>
      </c>
      <c r="L266" s="44" t="s">
        <v>1548</v>
      </c>
      <c r="M266" s="26" t="s">
        <v>1549</v>
      </c>
      <c r="N266" s="26" t="s">
        <v>53</v>
      </c>
      <c r="O266" s="26" t="s">
        <v>728</v>
      </c>
      <c r="P266" s="26">
        <v>90066</v>
      </c>
      <c r="Q266" s="26" t="s">
        <v>55</v>
      </c>
    </row>
    <row r="267" spans="1:17" hidden="1" x14ac:dyDescent="0.3">
      <c r="A267" s="26" t="s">
        <v>1268</v>
      </c>
      <c r="B267" s="26" t="s">
        <v>1269</v>
      </c>
      <c r="C267" s="26" t="s">
        <v>50</v>
      </c>
      <c r="D267" s="26" t="s">
        <v>1270</v>
      </c>
      <c r="E267" s="26" t="s">
        <v>87</v>
      </c>
      <c r="G267" s="26" t="s">
        <v>1242</v>
      </c>
      <c r="H267" s="26" t="s">
        <v>39</v>
      </c>
      <c r="I267" s="26" t="s">
        <v>1271</v>
      </c>
      <c r="J267" s="11" t="str">
        <f>VLOOKUP(K267,'PN Dictionary'!A:B,2,FALSE)</f>
        <v>GB300 L10</v>
      </c>
      <c r="K267" s="26" t="s">
        <v>36</v>
      </c>
      <c r="L267" s="44" t="s">
        <v>1431</v>
      </c>
      <c r="M267" s="26" t="s">
        <v>1272</v>
      </c>
      <c r="N267" s="26" t="s">
        <v>53</v>
      </c>
      <c r="O267" s="26" t="s">
        <v>728</v>
      </c>
      <c r="P267" s="26">
        <v>90131</v>
      </c>
      <c r="Q267" s="26" t="s">
        <v>55</v>
      </c>
    </row>
    <row r="268" spans="1:17" hidden="1" x14ac:dyDescent="0.3">
      <c r="A268" s="26" t="s">
        <v>3200</v>
      </c>
      <c r="B268" s="26" t="s">
        <v>3201</v>
      </c>
      <c r="C268" s="26" t="s">
        <v>50</v>
      </c>
      <c r="D268" s="26" t="s">
        <v>3202</v>
      </c>
      <c r="E268" s="26" t="s">
        <v>81</v>
      </c>
      <c r="G268" s="26" t="s">
        <v>1242</v>
      </c>
      <c r="H268" s="26" t="s">
        <v>39</v>
      </c>
      <c r="I268" s="26" t="s">
        <v>522</v>
      </c>
      <c r="J268" s="11" t="str">
        <f>VLOOKUP(K268,'PN Dictionary'!A:B,2,FALSE)</f>
        <v>GB300 L10</v>
      </c>
      <c r="K268" s="11" t="s">
        <v>36</v>
      </c>
      <c r="L268" s="26" t="s">
        <v>3203</v>
      </c>
      <c r="M268" s="44" t="s">
        <v>3204</v>
      </c>
      <c r="N268" s="26" t="s">
        <v>53</v>
      </c>
      <c r="O268" s="26" t="s">
        <v>728</v>
      </c>
      <c r="P268" s="26">
        <v>90131</v>
      </c>
      <c r="Q268" s="26" t="s">
        <v>55</v>
      </c>
    </row>
    <row r="269" spans="1:17" hidden="1" x14ac:dyDescent="0.3">
      <c r="A269" s="26" t="s">
        <v>1260</v>
      </c>
      <c r="B269" s="26" t="s">
        <v>1261</v>
      </c>
      <c r="C269" s="26" t="s">
        <v>50</v>
      </c>
      <c r="D269" s="26" t="s">
        <v>1262</v>
      </c>
      <c r="E269" s="26" t="s">
        <v>1263</v>
      </c>
      <c r="G269" s="26" t="s">
        <v>1242</v>
      </c>
      <c r="H269" s="26" t="s">
        <v>39</v>
      </c>
      <c r="I269" s="26" t="s">
        <v>1264</v>
      </c>
      <c r="J269" s="11" t="str">
        <f>VLOOKUP(K269,'PN Dictionary'!A:B,2,FALSE)</f>
        <v>GB300 L10</v>
      </c>
      <c r="K269" s="26" t="s">
        <v>36</v>
      </c>
      <c r="L269" s="44" t="s">
        <v>1515</v>
      </c>
      <c r="M269" s="26" t="s">
        <v>1265</v>
      </c>
      <c r="N269" s="26" t="s">
        <v>53</v>
      </c>
      <c r="O269" s="26" t="s">
        <v>728</v>
      </c>
      <c r="P269" s="26">
        <v>90066</v>
      </c>
      <c r="Q269" s="26" t="s">
        <v>55</v>
      </c>
    </row>
    <row r="270" spans="1:17" hidden="1" x14ac:dyDescent="0.3">
      <c r="A270" s="26" t="s">
        <v>1273</v>
      </c>
      <c r="B270" s="26" t="s">
        <v>1274</v>
      </c>
      <c r="C270" s="26" t="s">
        <v>50</v>
      </c>
      <c r="D270" s="26" t="s">
        <v>1262</v>
      </c>
      <c r="E270" s="26" t="s">
        <v>128</v>
      </c>
      <c r="G270" s="26" t="s">
        <v>1242</v>
      </c>
      <c r="H270" s="26" t="s">
        <v>39</v>
      </c>
      <c r="I270" s="26" t="s">
        <v>976</v>
      </c>
      <c r="J270" s="11" t="str">
        <f>VLOOKUP(K270,'PN Dictionary'!A:B,2,FALSE)</f>
        <v>Cable Cartridge</v>
      </c>
      <c r="K270" s="26" t="s">
        <v>6</v>
      </c>
      <c r="L270" s="44">
        <v>2023625350230</v>
      </c>
      <c r="M270" s="26">
        <v>1823425355464</v>
      </c>
      <c r="N270" s="26" t="s">
        <v>53</v>
      </c>
      <c r="O270" s="26" t="s">
        <v>728</v>
      </c>
      <c r="P270" s="26">
        <v>90066</v>
      </c>
      <c r="Q270" s="26" t="s">
        <v>55</v>
      </c>
    </row>
    <row r="271" spans="1:17" hidden="1" x14ac:dyDescent="0.3">
      <c r="A271" s="26" t="s">
        <v>1266</v>
      </c>
      <c r="B271" s="26" t="s">
        <v>1267</v>
      </c>
      <c r="C271" s="26" t="s">
        <v>50</v>
      </c>
      <c r="D271" s="26" t="s">
        <v>1097</v>
      </c>
      <c r="E271" s="26" t="s">
        <v>128</v>
      </c>
      <c r="G271" s="26" t="s">
        <v>1242</v>
      </c>
      <c r="H271" s="26" t="s">
        <v>39</v>
      </c>
      <c r="I271" s="26" t="s">
        <v>205</v>
      </c>
      <c r="J271" s="11" t="str">
        <f>VLOOKUP(K271,'PN Dictionary'!A:B,2,FALSE)</f>
        <v>Cable Cartridge</v>
      </c>
      <c r="K271" s="26" t="s">
        <v>6</v>
      </c>
      <c r="L271" s="44">
        <v>2024125351390</v>
      </c>
      <c r="M271" s="26">
        <v>1823325356029</v>
      </c>
      <c r="N271" s="26" t="s">
        <v>53</v>
      </c>
      <c r="O271" s="26" t="s">
        <v>728</v>
      </c>
      <c r="P271" s="26">
        <v>90131</v>
      </c>
      <c r="Q271" s="26" t="s">
        <v>55</v>
      </c>
    </row>
    <row r="272" spans="1:17" hidden="1" x14ac:dyDescent="0.3">
      <c r="A272" s="26" t="s">
        <v>1275</v>
      </c>
      <c r="B272" s="26" t="s">
        <v>1276</v>
      </c>
      <c r="C272" s="26" t="s">
        <v>50</v>
      </c>
      <c r="D272" s="26" t="s">
        <v>1277</v>
      </c>
      <c r="E272" s="26" t="s">
        <v>230</v>
      </c>
      <c r="G272" s="26" t="s">
        <v>1278</v>
      </c>
      <c r="H272" s="26" t="s">
        <v>39</v>
      </c>
      <c r="I272" s="26" t="s">
        <v>1279</v>
      </c>
      <c r="J272" s="11" t="str">
        <f>VLOOKUP(K272,'PN Dictionary'!A:B,2,FALSE)</f>
        <v>NVSwitch</v>
      </c>
      <c r="K272" s="26" t="s">
        <v>7</v>
      </c>
      <c r="L272" s="44" t="s">
        <v>1280</v>
      </c>
      <c r="M272" s="26" t="s">
        <v>1281</v>
      </c>
      <c r="N272" s="26" t="s">
        <v>53</v>
      </c>
      <c r="O272" s="26" t="s">
        <v>728</v>
      </c>
      <c r="P272" s="26">
        <v>90131</v>
      </c>
      <c r="Q272" s="26" t="s">
        <v>55</v>
      </c>
    </row>
    <row r="273" spans="1:17" hidden="1" x14ac:dyDescent="0.3">
      <c r="A273" s="26" t="s">
        <v>1301</v>
      </c>
      <c r="B273" s="26" t="s">
        <v>1302</v>
      </c>
      <c r="C273" s="26" t="s">
        <v>50</v>
      </c>
      <c r="D273" s="26" t="s">
        <v>1303</v>
      </c>
      <c r="E273" s="26" t="s">
        <v>591</v>
      </c>
      <c r="G273" s="26" t="s">
        <v>1278</v>
      </c>
      <c r="H273" s="26" t="s">
        <v>39</v>
      </c>
      <c r="I273" s="26" t="s">
        <v>1304</v>
      </c>
      <c r="J273" s="11" t="str">
        <f>VLOOKUP(K273,'PN Dictionary'!A:B,2,FALSE)</f>
        <v>NVSwitch</v>
      </c>
      <c r="K273" s="26" t="s">
        <v>7</v>
      </c>
      <c r="L273" s="44" t="s">
        <v>1305</v>
      </c>
      <c r="M273" s="26" t="s">
        <v>1306</v>
      </c>
      <c r="N273" s="26" t="s">
        <v>53</v>
      </c>
      <c r="O273" s="26" t="s">
        <v>728</v>
      </c>
      <c r="P273" s="26">
        <v>640</v>
      </c>
      <c r="Q273" s="26" t="s">
        <v>55</v>
      </c>
    </row>
    <row r="274" spans="1:17" hidden="1" x14ac:dyDescent="0.3">
      <c r="A274" s="26" t="s">
        <v>1307</v>
      </c>
      <c r="B274" s="26" t="s">
        <v>1308</v>
      </c>
      <c r="C274" s="26" t="s">
        <v>1309</v>
      </c>
      <c r="D274" s="26" t="s">
        <v>1310</v>
      </c>
      <c r="E274" s="26" t="s">
        <v>128</v>
      </c>
      <c r="G274" s="26" t="s">
        <v>1278</v>
      </c>
      <c r="H274" s="26" t="s">
        <v>39</v>
      </c>
      <c r="I274" s="26" t="s">
        <v>1311</v>
      </c>
      <c r="J274" s="11" t="str">
        <f>VLOOKUP(K274,'PN Dictionary'!A:B,2,FALSE)</f>
        <v>Cable Cartridge</v>
      </c>
      <c r="K274" s="26" t="s">
        <v>6</v>
      </c>
      <c r="L274" s="44">
        <v>2023625351398</v>
      </c>
      <c r="M274" s="26">
        <v>1823325355953</v>
      </c>
      <c r="N274" s="26" t="s">
        <v>53</v>
      </c>
      <c r="O274" s="26" t="s">
        <v>728</v>
      </c>
      <c r="P274" s="26">
        <v>640</v>
      </c>
      <c r="Q274" s="26" t="s">
        <v>55</v>
      </c>
    </row>
    <row r="275" spans="1:17" hidden="1" x14ac:dyDescent="0.3">
      <c r="A275" s="26" t="s">
        <v>3205</v>
      </c>
      <c r="B275" s="26" t="s">
        <v>3206</v>
      </c>
      <c r="C275" s="26" t="s">
        <v>50</v>
      </c>
      <c r="D275" s="26" t="s">
        <v>1270</v>
      </c>
      <c r="E275" s="26" t="s">
        <v>52</v>
      </c>
      <c r="G275" s="26" t="s">
        <v>1278</v>
      </c>
      <c r="H275" s="26" t="s">
        <v>39</v>
      </c>
      <c r="I275" s="26" t="s">
        <v>3207</v>
      </c>
      <c r="J275" s="11" t="str">
        <f>VLOOKUP(K275,'PN Dictionary'!A:B,2,FALSE)</f>
        <v>GB300 L10</v>
      </c>
      <c r="K275" s="11" t="s">
        <v>36</v>
      </c>
      <c r="L275" s="26" t="s">
        <v>3208</v>
      </c>
      <c r="M275" s="44" t="s">
        <v>3209</v>
      </c>
      <c r="N275" s="26" t="s">
        <v>53</v>
      </c>
      <c r="O275" s="26" t="s">
        <v>728</v>
      </c>
      <c r="P275" s="26">
        <v>640</v>
      </c>
      <c r="Q275" s="26" t="s">
        <v>55</v>
      </c>
    </row>
    <row r="276" spans="1:17" hidden="1" x14ac:dyDescent="0.3">
      <c r="A276" s="26" t="s">
        <v>1312</v>
      </c>
      <c r="B276" s="26" t="s">
        <v>1358</v>
      </c>
      <c r="C276" s="26" t="s">
        <v>1309</v>
      </c>
      <c r="D276" s="26" t="s">
        <v>1313</v>
      </c>
      <c r="E276" s="26" t="s">
        <v>242</v>
      </c>
      <c r="G276" s="26" t="s">
        <v>1278</v>
      </c>
      <c r="H276" s="26" t="s">
        <v>39</v>
      </c>
      <c r="I276" s="26" t="s">
        <v>1314</v>
      </c>
      <c r="J276" s="11" t="str">
        <f>VLOOKUP(K276,'PN Dictionary'!A:B,2,FALSE)</f>
        <v>LiteOn Power Shelf Right Input</v>
      </c>
      <c r="K276" s="26" t="s">
        <v>30</v>
      </c>
      <c r="L276" s="44" t="s">
        <v>1315</v>
      </c>
      <c r="M276" s="26"/>
      <c r="N276" s="26" t="s">
        <v>53</v>
      </c>
      <c r="O276" s="26" t="s">
        <v>728</v>
      </c>
      <c r="P276" s="26">
        <v>1519</v>
      </c>
      <c r="Q276" s="26" t="s">
        <v>55</v>
      </c>
    </row>
    <row r="277" spans="1:17" hidden="1" x14ac:dyDescent="0.3">
      <c r="A277" s="26" t="s">
        <v>1296</v>
      </c>
      <c r="B277" s="26" t="s">
        <v>1297</v>
      </c>
      <c r="C277" s="26" t="s">
        <v>50</v>
      </c>
      <c r="D277" s="26" t="s">
        <v>1298</v>
      </c>
      <c r="E277" s="26" t="s">
        <v>52</v>
      </c>
      <c r="G277" s="26" t="s">
        <v>1278</v>
      </c>
      <c r="H277" s="26" t="s">
        <v>39</v>
      </c>
      <c r="I277" s="26" t="s">
        <v>1299</v>
      </c>
      <c r="J277" s="11" t="str">
        <f>VLOOKUP(K277,'PN Dictionary'!A:B,2,FALSE)</f>
        <v>GB300 L10</v>
      </c>
      <c r="K277" s="26" t="s">
        <v>36</v>
      </c>
      <c r="L277" s="44" t="s">
        <v>1518</v>
      </c>
      <c r="M277" s="26" t="s">
        <v>1300</v>
      </c>
      <c r="N277" s="26" t="s">
        <v>53</v>
      </c>
      <c r="O277" s="26" t="s">
        <v>728</v>
      </c>
      <c r="P277" s="26">
        <v>718</v>
      </c>
      <c r="Q277" s="26" t="s">
        <v>55</v>
      </c>
    </row>
    <row r="278" spans="1:17" hidden="1" x14ac:dyDescent="0.3">
      <c r="A278" s="26" t="s">
        <v>1291</v>
      </c>
      <c r="B278" s="26" t="s">
        <v>1292</v>
      </c>
      <c r="C278" s="26" t="s">
        <v>50</v>
      </c>
      <c r="D278" s="26" t="s">
        <v>1293</v>
      </c>
      <c r="E278" s="26" t="s">
        <v>52</v>
      </c>
      <c r="G278" s="26" t="s">
        <v>1278</v>
      </c>
      <c r="H278" s="26" t="s">
        <v>39</v>
      </c>
      <c r="I278" s="26" t="s">
        <v>1294</v>
      </c>
      <c r="J278" s="11" t="str">
        <f>VLOOKUP(K278,'PN Dictionary'!A:B,2,FALSE)</f>
        <v>GB300 L10</v>
      </c>
      <c r="K278" s="26" t="s">
        <v>36</v>
      </c>
      <c r="L278" s="44" t="s">
        <v>1517</v>
      </c>
      <c r="M278" s="26" t="s">
        <v>1295</v>
      </c>
      <c r="N278" s="26" t="s">
        <v>53</v>
      </c>
      <c r="O278" s="26" t="s">
        <v>728</v>
      </c>
      <c r="P278" s="26">
        <v>718</v>
      </c>
      <c r="Q278" s="26" t="s">
        <v>55</v>
      </c>
    </row>
    <row r="279" spans="1:17" hidden="1" x14ac:dyDescent="0.3">
      <c r="A279" s="26" t="s">
        <v>1285</v>
      </c>
      <c r="B279" s="26" t="s">
        <v>1286</v>
      </c>
      <c r="C279" s="26" t="s">
        <v>50</v>
      </c>
      <c r="D279" s="26" t="s">
        <v>1277</v>
      </c>
      <c r="E279" s="26" t="s">
        <v>52</v>
      </c>
      <c r="G279" s="26" t="s">
        <v>1278</v>
      </c>
      <c r="H279" s="26" t="s">
        <v>39</v>
      </c>
      <c r="I279" s="26" t="s">
        <v>1287</v>
      </c>
      <c r="J279" s="11" t="str">
        <f>VLOOKUP(K279,'PN Dictionary'!A:B,2,FALSE)</f>
        <v>GB300 L10</v>
      </c>
      <c r="K279" s="26" t="s">
        <v>36</v>
      </c>
      <c r="L279" s="44" t="s">
        <v>1516</v>
      </c>
      <c r="M279" s="26" t="s">
        <v>1288</v>
      </c>
      <c r="N279" s="26" t="s">
        <v>53</v>
      </c>
      <c r="O279" s="26" t="s">
        <v>728</v>
      </c>
      <c r="P279" s="26">
        <v>718</v>
      </c>
      <c r="Q279" s="26" t="s">
        <v>55</v>
      </c>
    </row>
    <row r="280" spans="1:17" hidden="1" x14ac:dyDescent="0.3">
      <c r="A280" s="26" t="s">
        <v>1282</v>
      </c>
      <c r="B280" s="26" t="s">
        <v>1283</v>
      </c>
      <c r="C280" s="26" t="s">
        <v>50</v>
      </c>
      <c r="D280" s="26" t="s">
        <v>1254</v>
      </c>
      <c r="E280" s="26" t="s">
        <v>128</v>
      </c>
      <c r="G280" s="26" t="s">
        <v>1278</v>
      </c>
      <c r="H280" s="26" t="s">
        <v>39</v>
      </c>
      <c r="I280" s="26" t="s">
        <v>1284</v>
      </c>
      <c r="J280" s="11" t="str">
        <f>VLOOKUP(K280,'PN Dictionary'!A:B,2,FALSE)</f>
        <v>Cable Cartridge</v>
      </c>
      <c r="K280" s="26" t="s">
        <v>6</v>
      </c>
      <c r="L280" s="44">
        <v>2023625351397</v>
      </c>
      <c r="M280" s="26">
        <v>1823325356008</v>
      </c>
      <c r="N280" s="26" t="s">
        <v>53</v>
      </c>
      <c r="O280" s="26" t="s">
        <v>728</v>
      </c>
      <c r="P280" s="26">
        <v>640</v>
      </c>
      <c r="Q280" s="26" t="s">
        <v>55</v>
      </c>
    </row>
    <row r="281" spans="1:17" hidden="1" x14ac:dyDescent="0.3">
      <c r="A281" s="26" t="s">
        <v>1289</v>
      </c>
      <c r="B281" s="26" t="s">
        <v>1283</v>
      </c>
      <c r="C281" s="26" t="s">
        <v>50</v>
      </c>
      <c r="D281" s="26" t="s">
        <v>1254</v>
      </c>
      <c r="E281" s="26" t="s">
        <v>128</v>
      </c>
      <c r="G281" s="26" t="s">
        <v>1278</v>
      </c>
      <c r="H281" s="26" t="s">
        <v>39</v>
      </c>
      <c r="I281" s="26" t="s">
        <v>1290</v>
      </c>
      <c r="J281" s="11" t="str">
        <f>VLOOKUP(K281,'PN Dictionary'!A:B,2,FALSE)</f>
        <v>Cable Cartridge</v>
      </c>
      <c r="K281" s="26" t="s">
        <v>6</v>
      </c>
      <c r="L281" s="44">
        <v>2023625351398</v>
      </c>
      <c r="M281" s="26">
        <v>1823325356233</v>
      </c>
      <c r="N281" s="26" t="s">
        <v>53</v>
      </c>
      <c r="O281" s="26" t="s">
        <v>728</v>
      </c>
      <c r="P281" s="26">
        <v>640</v>
      </c>
      <c r="Q281" s="26" t="s">
        <v>55</v>
      </c>
    </row>
    <row r="282" spans="1:17" hidden="1" x14ac:dyDescent="0.3">
      <c r="A282" s="26" t="s">
        <v>1316</v>
      </c>
      <c r="B282" s="26" t="s">
        <v>1317</v>
      </c>
      <c r="C282" s="26" t="s">
        <v>50</v>
      </c>
      <c r="D282" s="26" t="s">
        <v>1318</v>
      </c>
      <c r="E282" s="26" t="s">
        <v>230</v>
      </c>
      <c r="G282" s="26" t="s">
        <v>1278</v>
      </c>
      <c r="H282" s="26" t="s">
        <v>39</v>
      </c>
      <c r="I282" s="26" t="s">
        <v>238</v>
      </c>
      <c r="J282" s="11" t="str">
        <f>VLOOKUP(K282,'PN Dictionary'!A:B,2,FALSE)</f>
        <v>NVSwitch</v>
      </c>
      <c r="K282" s="26" t="s">
        <v>7</v>
      </c>
      <c r="L282" s="44" t="s">
        <v>1319</v>
      </c>
      <c r="M282" s="26" t="s">
        <v>1320</v>
      </c>
      <c r="N282" s="26" t="s">
        <v>53</v>
      </c>
      <c r="O282" s="26" t="s">
        <v>728</v>
      </c>
      <c r="P282" s="26">
        <v>90131</v>
      </c>
      <c r="Q282" s="26" t="s">
        <v>55</v>
      </c>
    </row>
    <row r="283" spans="1:17" hidden="1" x14ac:dyDescent="0.3">
      <c r="A283" s="26" t="s">
        <v>1321</v>
      </c>
      <c r="B283" s="26" t="s">
        <v>1322</v>
      </c>
      <c r="C283" s="26" t="s">
        <v>1309</v>
      </c>
      <c r="D283" s="26" t="s">
        <v>1313</v>
      </c>
      <c r="E283" s="26" t="s">
        <v>242</v>
      </c>
      <c r="G283" s="26" t="s">
        <v>1278</v>
      </c>
      <c r="H283" s="26" t="s">
        <v>39</v>
      </c>
      <c r="I283" s="26" t="s">
        <v>1323</v>
      </c>
      <c r="J283" s="11" t="str">
        <f>VLOOKUP(K283,'PN Dictionary'!A:B,2,FALSE)</f>
        <v>LiteOn power shelf control module</v>
      </c>
      <c r="K283" s="26" t="s">
        <v>1360</v>
      </c>
      <c r="L283" s="44" t="s">
        <v>1325</v>
      </c>
      <c r="M283" s="26" t="s">
        <v>1326</v>
      </c>
      <c r="N283" s="26" t="s">
        <v>53</v>
      </c>
      <c r="O283" s="26" t="s">
        <v>728</v>
      </c>
      <c r="P283" s="26">
        <v>90066</v>
      </c>
      <c r="Q283" s="26" t="s">
        <v>55</v>
      </c>
    </row>
    <row r="284" spans="1:17" hidden="1" x14ac:dyDescent="0.3">
      <c r="A284" s="26" t="s">
        <v>1327</v>
      </c>
      <c r="B284" s="26" t="s">
        <v>1328</v>
      </c>
      <c r="C284" s="26" t="s">
        <v>50</v>
      </c>
      <c r="D284" s="26" t="s">
        <v>1277</v>
      </c>
      <c r="E284" s="26" t="s">
        <v>230</v>
      </c>
      <c r="G284" s="26" t="s">
        <v>1278</v>
      </c>
      <c r="H284" s="26" t="s">
        <v>39</v>
      </c>
      <c r="I284" s="26" t="s">
        <v>1329</v>
      </c>
      <c r="J284" s="11" t="str">
        <f>VLOOKUP(K284,'PN Dictionary'!A:B,2,FALSE)</f>
        <v>NVSwitch</v>
      </c>
      <c r="K284" s="26" t="s">
        <v>7</v>
      </c>
      <c r="L284" s="44" t="s">
        <v>1281</v>
      </c>
      <c r="M284" s="26" t="s">
        <v>1330</v>
      </c>
      <c r="N284" s="26" t="s">
        <v>53</v>
      </c>
      <c r="O284" s="26" t="s">
        <v>728</v>
      </c>
      <c r="P284" s="26">
        <v>90168</v>
      </c>
      <c r="Q284" s="26" t="s">
        <v>55</v>
      </c>
    </row>
    <row r="285" spans="1:17" hidden="1" x14ac:dyDescent="0.3">
      <c r="A285" s="26" t="s">
        <v>1331</v>
      </c>
      <c r="B285" s="26" t="s">
        <v>1332</v>
      </c>
      <c r="C285" s="26" t="s">
        <v>50</v>
      </c>
      <c r="D285" s="26" t="s">
        <v>1254</v>
      </c>
      <c r="E285" s="26" t="s">
        <v>230</v>
      </c>
      <c r="G285" s="26" t="s">
        <v>1333</v>
      </c>
      <c r="H285" s="26" t="s">
        <v>39</v>
      </c>
      <c r="I285" s="26" t="s">
        <v>1334</v>
      </c>
      <c r="J285" s="11" t="str">
        <f>VLOOKUP(K285,'PN Dictionary'!A:B,2,FALSE)</f>
        <v>NVSwitch</v>
      </c>
      <c r="K285" s="26" t="s">
        <v>7</v>
      </c>
      <c r="L285" s="44" t="s">
        <v>1335</v>
      </c>
      <c r="M285" s="26" t="s">
        <v>495</v>
      </c>
      <c r="N285" s="26" t="s">
        <v>53</v>
      </c>
      <c r="O285" s="26" t="s">
        <v>728</v>
      </c>
      <c r="P285" s="26">
        <v>90168</v>
      </c>
      <c r="Q285" s="26" t="s">
        <v>55</v>
      </c>
    </row>
    <row r="286" spans="1:17" hidden="1" x14ac:dyDescent="0.3">
      <c r="A286" s="26" t="s">
        <v>1336</v>
      </c>
      <c r="B286" s="26" t="s">
        <v>1337</v>
      </c>
      <c r="C286" s="26" t="s">
        <v>1309</v>
      </c>
      <c r="D286" s="26" t="s">
        <v>1338</v>
      </c>
      <c r="E286" s="26" t="s">
        <v>81</v>
      </c>
      <c r="G286" s="26" t="s">
        <v>1333</v>
      </c>
      <c r="H286" s="26" t="s">
        <v>39</v>
      </c>
      <c r="I286" s="26" t="s">
        <v>1339</v>
      </c>
      <c r="J286" s="11" t="str">
        <f>VLOOKUP(K286,'PN Dictionary'!A:B,2,FALSE)</f>
        <v>GB300 L10</v>
      </c>
      <c r="K286" s="26" t="s">
        <v>1340</v>
      </c>
      <c r="L286" s="44" t="s">
        <v>1519</v>
      </c>
      <c r="M286" s="26" t="s">
        <v>1341</v>
      </c>
      <c r="N286" s="26" t="s">
        <v>53</v>
      </c>
      <c r="O286" s="26" t="s">
        <v>728</v>
      </c>
      <c r="P286" s="26">
        <v>90131</v>
      </c>
      <c r="Q286" s="26" t="s">
        <v>55</v>
      </c>
    </row>
    <row r="287" spans="1:17" hidden="1" x14ac:dyDescent="0.3">
      <c r="A287" s="26" t="s">
        <v>1342</v>
      </c>
      <c r="B287" s="26" t="s">
        <v>1343</v>
      </c>
      <c r="C287" s="26" t="s">
        <v>1309</v>
      </c>
      <c r="D287" s="26" t="s">
        <v>1310</v>
      </c>
      <c r="E287" s="26" t="s">
        <v>81</v>
      </c>
      <c r="G287" s="26" t="s">
        <v>1333</v>
      </c>
      <c r="H287" s="26" t="s">
        <v>39</v>
      </c>
      <c r="I287" s="26" t="s">
        <v>1344</v>
      </c>
      <c r="J287" s="11" t="str">
        <f>VLOOKUP(K287,'PN Dictionary'!A:B,2,FALSE)</f>
        <v>GB300 L10</v>
      </c>
      <c r="K287" s="26" t="s">
        <v>1340</v>
      </c>
      <c r="L287" s="44" t="s">
        <v>1520</v>
      </c>
      <c r="M287" s="26" t="s">
        <v>1345</v>
      </c>
      <c r="N287" s="26" t="s">
        <v>53</v>
      </c>
      <c r="O287" s="26" t="s">
        <v>728</v>
      </c>
      <c r="P287" s="26">
        <v>90131</v>
      </c>
      <c r="Q287" s="26" t="s">
        <v>55</v>
      </c>
    </row>
    <row r="288" spans="1:17" hidden="1" x14ac:dyDescent="0.3">
      <c r="A288" s="26" t="s">
        <v>1346</v>
      </c>
      <c r="B288" s="26" t="s">
        <v>1347</v>
      </c>
      <c r="C288" s="26" t="s">
        <v>50</v>
      </c>
      <c r="D288" s="26" t="s">
        <v>1348</v>
      </c>
      <c r="E288" s="26" t="s">
        <v>230</v>
      </c>
      <c r="G288" s="26" t="s">
        <v>1333</v>
      </c>
      <c r="H288" s="26" t="s">
        <v>39</v>
      </c>
      <c r="I288" s="26" t="s">
        <v>1349</v>
      </c>
      <c r="J288" s="11" t="str">
        <f>VLOOKUP(K288,'PN Dictionary'!A:B,2,FALSE)</f>
        <v>NVSwitch</v>
      </c>
      <c r="K288" s="26" t="s">
        <v>7</v>
      </c>
      <c r="L288" s="44" t="s">
        <v>1350</v>
      </c>
      <c r="M288" s="26" t="s">
        <v>1351</v>
      </c>
      <c r="N288" s="26" t="s">
        <v>53</v>
      </c>
      <c r="O288" s="26" t="s">
        <v>728</v>
      </c>
      <c r="P288" s="26">
        <v>90131</v>
      </c>
      <c r="Q288" s="26" t="s">
        <v>55</v>
      </c>
    </row>
    <row r="289" spans="1:18" hidden="1" x14ac:dyDescent="0.3">
      <c r="A289" s="26" t="s">
        <v>1352</v>
      </c>
      <c r="B289" s="26" t="s">
        <v>1353</v>
      </c>
      <c r="C289" s="26" t="s">
        <v>1309</v>
      </c>
      <c r="D289" s="26" t="s">
        <v>1354</v>
      </c>
      <c r="E289" s="26" t="s">
        <v>1355</v>
      </c>
      <c r="G289" s="26" t="s">
        <v>1333</v>
      </c>
      <c r="H289" s="26" t="s">
        <v>39</v>
      </c>
      <c r="I289" s="26" t="s">
        <v>1356</v>
      </c>
      <c r="J289" s="11" t="str">
        <f>VLOOKUP(K289,'PN Dictionary'!A:B,2,FALSE)</f>
        <v>GB300 L10</v>
      </c>
      <c r="K289" s="26" t="s">
        <v>1359</v>
      </c>
      <c r="L289" s="44" t="s">
        <v>1521</v>
      </c>
      <c r="M289" s="26" t="s">
        <v>1357</v>
      </c>
      <c r="N289" s="26" t="s">
        <v>53</v>
      </c>
      <c r="O289" s="26" t="s">
        <v>728</v>
      </c>
      <c r="P289" s="26">
        <v>90066</v>
      </c>
      <c r="Q289" s="26" t="s">
        <v>55</v>
      </c>
    </row>
    <row r="290" spans="1:18" hidden="1" x14ac:dyDescent="0.3">
      <c r="A290" s="26" t="s">
        <v>1363</v>
      </c>
      <c r="B290" s="26" t="s">
        <v>1364</v>
      </c>
      <c r="C290" s="26" t="s">
        <v>1543</v>
      </c>
      <c r="D290" s="26" t="s">
        <v>1365</v>
      </c>
      <c r="E290" s="26" t="s">
        <v>52</v>
      </c>
      <c r="G290" s="26" t="s">
        <v>1333</v>
      </c>
      <c r="H290" s="26" t="s">
        <v>39</v>
      </c>
      <c r="I290" s="26" t="s">
        <v>1366</v>
      </c>
      <c r="J290" s="11" t="str">
        <f>VLOOKUP(K290,'PN Dictionary'!A:B,2,FALSE)</f>
        <v>GB300 L10</v>
      </c>
      <c r="K290" s="26" t="s">
        <v>1340</v>
      </c>
      <c r="L290" s="44" t="s">
        <v>1522</v>
      </c>
      <c r="M290" s="26" t="s">
        <v>1367</v>
      </c>
      <c r="N290" s="26" t="s">
        <v>53</v>
      </c>
      <c r="O290" s="26" t="s">
        <v>728</v>
      </c>
      <c r="P290" s="26">
        <v>90131</v>
      </c>
      <c r="Q290" s="26" t="s">
        <v>55</v>
      </c>
    </row>
    <row r="291" spans="1:18" hidden="1" x14ac:dyDescent="0.3">
      <c r="A291" s="26" t="s">
        <v>1368</v>
      </c>
      <c r="B291" s="26" t="s">
        <v>1545</v>
      </c>
      <c r="C291" s="26" t="s">
        <v>1309</v>
      </c>
      <c r="D291" s="26" t="s">
        <v>1369</v>
      </c>
      <c r="E291" s="26" t="s">
        <v>307</v>
      </c>
      <c r="G291" s="26" t="s">
        <v>1333</v>
      </c>
      <c r="H291" s="26" t="s">
        <v>39</v>
      </c>
      <c r="I291" s="26" t="s">
        <v>987</v>
      </c>
      <c r="J291" s="11" t="str">
        <f>VLOOKUP(K291,'PN Dictionary'!A:B,2,FALSE)</f>
        <v>GB300 L10</v>
      </c>
      <c r="K291" s="26" t="s">
        <v>1340</v>
      </c>
      <c r="L291" s="44" t="s">
        <v>1523</v>
      </c>
      <c r="M291" s="26" t="s">
        <v>1370</v>
      </c>
      <c r="N291" s="26" t="s">
        <v>53</v>
      </c>
      <c r="O291" s="26" t="s">
        <v>728</v>
      </c>
      <c r="P291" s="26">
        <v>90066</v>
      </c>
      <c r="Q291" s="26" t="s">
        <v>55</v>
      </c>
    </row>
    <row r="292" spans="1:18" hidden="1" x14ac:dyDescent="0.3">
      <c r="A292" s="26" t="s">
        <v>1371</v>
      </c>
      <c r="B292" s="26" t="s">
        <v>1372</v>
      </c>
      <c r="C292" s="26" t="s">
        <v>1309</v>
      </c>
      <c r="D292" s="26" t="s">
        <v>1373</v>
      </c>
      <c r="E292" s="26" t="s">
        <v>81</v>
      </c>
      <c r="G292" s="26" t="s">
        <v>1333</v>
      </c>
      <c r="H292" s="26" t="s">
        <v>39</v>
      </c>
      <c r="I292" s="26" t="s">
        <v>1374</v>
      </c>
      <c r="J292" s="11" t="str">
        <f>VLOOKUP(K292,'PN Dictionary'!A:B,2,FALSE)</f>
        <v>GB300 L10</v>
      </c>
      <c r="K292" s="26" t="s">
        <v>1340</v>
      </c>
      <c r="L292" s="44" t="s">
        <v>1524</v>
      </c>
      <c r="M292" s="26" t="s">
        <v>1375</v>
      </c>
      <c r="N292" s="26" t="s">
        <v>53</v>
      </c>
      <c r="O292" s="26" t="s">
        <v>728</v>
      </c>
      <c r="P292" s="26">
        <v>90131</v>
      </c>
      <c r="Q292" s="26" t="s">
        <v>55</v>
      </c>
    </row>
    <row r="293" spans="1:18" hidden="1" x14ac:dyDescent="0.3">
      <c r="A293" s="26" t="s">
        <v>1376</v>
      </c>
      <c r="B293" s="26" t="s">
        <v>1377</v>
      </c>
      <c r="C293" s="26" t="s">
        <v>1309</v>
      </c>
      <c r="D293" s="26" t="s">
        <v>1369</v>
      </c>
      <c r="E293" s="26" t="s">
        <v>611</v>
      </c>
      <c r="G293" s="26" t="s">
        <v>1333</v>
      </c>
      <c r="H293" s="26" t="s">
        <v>39</v>
      </c>
      <c r="I293" s="26" t="s">
        <v>1378</v>
      </c>
      <c r="J293" s="11" t="str">
        <f>VLOOKUP(K293,'PN Dictionary'!A:B,2,FALSE)</f>
        <v>GB300 L10</v>
      </c>
      <c r="K293" s="26" t="s">
        <v>1340</v>
      </c>
      <c r="L293" s="44" t="s">
        <v>1525</v>
      </c>
      <c r="M293" s="26" t="s">
        <v>1379</v>
      </c>
      <c r="N293" s="26" t="s">
        <v>53</v>
      </c>
      <c r="O293" s="26" t="s">
        <v>728</v>
      </c>
      <c r="P293" s="26">
        <v>90066</v>
      </c>
      <c r="Q293" s="26" t="s">
        <v>55</v>
      </c>
    </row>
    <row r="294" spans="1:18" hidden="1" x14ac:dyDescent="0.3">
      <c r="A294" s="26" t="s">
        <v>1380</v>
      </c>
      <c r="B294" s="26" t="s">
        <v>1381</v>
      </c>
      <c r="C294" s="26" t="s">
        <v>1309</v>
      </c>
      <c r="D294" s="26" t="s">
        <v>1382</v>
      </c>
      <c r="E294" s="26" t="s">
        <v>230</v>
      </c>
      <c r="G294" s="26" t="s">
        <v>1333</v>
      </c>
      <c r="H294" s="26" t="s">
        <v>39</v>
      </c>
      <c r="I294" s="26" t="s">
        <v>1383</v>
      </c>
      <c r="J294" s="11" t="str">
        <f>VLOOKUP(K294,'PN Dictionary'!A:B,2,FALSE)</f>
        <v>NVSwitch</v>
      </c>
      <c r="K294" s="26" t="s">
        <v>7</v>
      </c>
      <c r="L294" s="44" t="s">
        <v>1384</v>
      </c>
      <c r="M294" s="26" t="s">
        <v>1385</v>
      </c>
      <c r="N294" s="26" t="s">
        <v>53</v>
      </c>
      <c r="O294" s="26" t="s">
        <v>728</v>
      </c>
      <c r="P294" s="26">
        <v>90131</v>
      </c>
      <c r="Q294" s="26" t="s">
        <v>55</v>
      </c>
    </row>
    <row r="295" spans="1:18" hidden="1" x14ac:dyDescent="0.3">
      <c r="A295" s="26" t="s">
        <v>1386</v>
      </c>
      <c r="B295" s="26" t="s">
        <v>1387</v>
      </c>
      <c r="C295" s="26" t="s">
        <v>1309</v>
      </c>
      <c r="D295" s="26" t="s">
        <v>1338</v>
      </c>
      <c r="E295" s="26" t="s">
        <v>374</v>
      </c>
      <c r="G295" s="26" t="s">
        <v>1388</v>
      </c>
      <c r="H295" s="26" t="s">
        <v>39</v>
      </c>
      <c r="I295" s="26" t="s">
        <v>1389</v>
      </c>
      <c r="J295" s="11" t="str">
        <f>VLOOKUP(K295,'PN Dictionary'!A:B,2,FALSE)</f>
        <v>NVSwitch</v>
      </c>
      <c r="K295" s="26" t="s">
        <v>7</v>
      </c>
      <c r="L295" s="44" t="s">
        <v>1335</v>
      </c>
      <c r="M295" s="26" t="s">
        <v>1390</v>
      </c>
      <c r="N295" s="26" t="s">
        <v>53</v>
      </c>
      <c r="O295" s="26" t="s">
        <v>728</v>
      </c>
      <c r="P295" s="26">
        <v>640</v>
      </c>
      <c r="Q295" s="26" t="s">
        <v>55</v>
      </c>
    </row>
    <row r="296" spans="1:18" hidden="1" x14ac:dyDescent="0.3">
      <c r="A296" s="26" t="s">
        <v>1391</v>
      </c>
      <c r="B296" s="26" t="s">
        <v>1392</v>
      </c>
      <c r="C296" s="26" t="s">
        <v>1309</v>
      </c>
      <c r="D296" s="26" t="s">
        <v>1365</v>
      </c>
      <c r="E296" s="26" t="s">
        <v>81</v>
      </c>
      <c r="G296" s="26" t="s">
        <v>1388</v>
      </c>
      <c r="H296" s="26" t="s">
        <v>39</v>
      </c>
      <c r="I296" s="26" t="s">
        <v>1393</v>
      </c>
      <c r="J296" s="11" t="str">
        <f>VLOOKUP(K296,'PN Dictionary'!A:B,2,FALSE)</f>
        <v>GB300 L10</v>
      </c>
      <c r="K296" s="26" t="s">
        <v>1340</v>
      </c>
      <c r="L296" s="44" t="s">
        <v>1526</v>
      </c>
      <c r="M296" s="26" t="s">
        <v>1394</v>
      </c>
      <c r="N296" s="26" t="s">
        <v>53</v>
      </c>
      <c r="O296" s="26" t="s">
        <v>728</v>
      </c>
      <c r="P296" s="26">
        <v>90131</v>
      </c>
      <c r="Q296" s="26" t="s">
        <v>55</v>
      </c>
    </row>
    <row r="297" spans="1:18" hidden="1" x14ac:dyDescent="0.3">
      <c r="A297" s="26" t="s">
        <v>1395</v>
      </c>
      <c r="B297" s="26" t="s">
        <v>1396</v>
      </c>
      <c r="C297" s="26" t="s">
        <v>50</v>
      </c>
      <c r="D297" s="26" t="s">
        <v>1397</v>
      </c>
      <c r="E297" s="26" t="s">
        <v>81</v>
      </c>
      <c r="G297" s="26" t="s">
        <v>1388</v>
      </c>
      <c r="H297" s="26" t="s">
        <v>39</v>
      </c>
      <c r="I297" s="26" t="s">
        <v>1398</v>
      </c>
      <c r="J297" s="11" t="str">
        <f>VLOOKUP(K297,'PN Dictionary'!A:B,2,FALSE)</f>
        <v>GB300 L10</v>
      </c>
      <c r="K297" s="26" t="s">
        <v>36</v>
      </c>
      <c r="L297" s="44" t="s">
        <v>1527</v>
      </c>
      <c r="M297" s="26" t="s">
        <v>1399</v>
      </c>
      <c r="N297" s="26" t="s">
        <v>53</v>
      </c>
      <c r="O297" s="26" t="s">
        <v>728</v>
      </c>
      <c r="P297" s="26">
        <v>90131</v>
      </c>
      <c r="Q297" s="26" t="s">
        <v>55</v>
      </c>
    </row>
    <row r="298" spans="1:18" hidden="1" x14ac:dyDescent="0.3">
      <c r="A298" s="26" t="s">
        <v>1400</v>
      </c>
      <c r="B298" s="26" t="s">
        <v>1401</v>
      </c>
      <c r="C298" s="26" t="s">
        <v>50</v>
      </c>
      <c r="D298" s="26" t="s">
        <v>1402</v>
      </c>
      <c r="E298" s="26" t="s">
        <v>87</v>
      </c>
      <c r="G298" s="26" t="s">
        <v>1388</v>
      </c>
      <c r="H298" s="26" t="s">
        <v>39</v>
      </c>
      <c r="I298" s="26" t="s">
        <v>1117</v>
      </c>
      <c r="J298" s="11" t="str">
        <f>VLOOKUP(K298,'PN Dictionary'!A:B,2,FALSE)</f>
        <v>GB300 L10</v>
      </c>
      <c r="K298" s="26" t="s">
        <v>36</v>
      </c>
      <c r="L298" s="44" t="s">
        <v>1528</v>
      </c>
      <c r="M298" s="26" t="s">
        <v>1403</v>
      </c>
      <c r="N298" s="26" t="s">
        <v>53</v>
      </c>
      <c r="O298" s="26" t="s">
        <v>728</v>
      </c>
      <c r="P298" s="26">
        <v>90131</v>
      </c>
      <c r="Q298" s="26" t="s">
        <v>55</v>
      </c>
    </row>
    <row r="299" spans="1:18" hidden="1" x14ac:dyDescent="0.3">
      <c r="A299" s="26" t="s">
        <v>3210</v>
      </c>
      <c r="B299" s="26" t="s">
        <v>3211</v>
      </c>
      <c r="C299" s="26" t="s">
        <v>1309</v>
      </c>
      <c r="D299" s="26" t="s">
        <v>1607</v>
      </c>
      <c r="E299" s="26" t="s">
        <v>87</v>
      </c>
      <c r="G299" s="26" t="s">
        <v>1404</v>
      </c>
      <c r="H299" s="26" t="s">
        <v>39</v>
      </c>
      <c r="I299" s="26" t="s">
        <v>3212</v>
      </c>
      <c r="J299" s="11" t="str">
        <f>VLOOKUP(K299,'PN Dictionary'!A:B,2,FALSE)</f>
        <v>GB300 L10</v>
      </c>
      <c r="K299" s="26" t="s">
        <v>1340</v>
      </c>
      <c r="L299" s="26" t="s">
        <v>3117</v>
      </c>
      <c r="M299" s="44" t="s">
        <v>3213</v>
      </c>
      <c r="N299" s="26" t="s">
        <v>53</v>
      </c>
      <c r="O299" s="26" t="s">
        <v>728</v>
      </c>
      <c r="P299" s="26">
        <v>924</v>
      </c>
      <c r="Q299" s="26" t="s">
        <v>55</v>
      </c>
      <c r="R299" s="30"/>
    </row>
    <row r="300" spans="1:18" hidden="1" x14ac:dyDescent="0.3">
      <c r="A300" s="26" t="s">
        <v>1405</v>
      </c>
      <c r="B300" s="26" t="s">
        <v>1406</v>
      </c>
      <c r="C300" s="26" t="s">
        <v>1309</v>
      </c>
      <c r="D300" s="26" t="s">
        <v>1407</v>
      </c>
      <c r="E300" s="26" t="s">
        <v>52</v>
      </c>
      <c r="G300" s="26" t="s">
        <v>1404</v>
      </c>
      <c r="H300" s="26" t="s">
        <v>39</v>
      </c>
      <c r="I300" s="26" t="s">
        <v>1199</v>
      </c>
      <c r="J300" s="11" t="str">
        <f>VLOOKUP(K300,'PN Dictionary'!A:B,2,FALSE)</f>
        <v>GB300 L10</v>
      </c>
      <c r="K300" s="26" t="s">
        <v>1340</v>
      </c>
      <c r="L300" s="44" t="s">
        <v>1529</v>
      </c>
      <c r="M300" s="26" t="s">
        <v>1408</v>
      </c>
      <c r="N300" s="26" t="s">
        <v>53</v>
      </c>
      <c r="O300" s="26" t="s">
        <v>728</v>
      </c>
      <c r="P300" s="26">
        <v>718</v>
      </c>
      <c r="Q300" s="26" t="s">
        <v>55</v>
      </c>
    </row>
    <row r="301" spans="1:18" hidden="1" x14ac:dyDescent="0.3">
      <c r="A301" s="26" t="s">
        <v>1530</v>
      </c>
      <c r="B301" s="26" t="s">
        <v>1531</v>
      </c>
      <c r="C301" s="26" t="s">
        <v>1309</v>
      </c>
      <c r="D301" s="26" t="s">
        <v>1532</v>
      </c>
      <c r="E301" s="26" t="s">
        <v>52</v>
      </c>
      <c r="G301" s="26" t="s">
        <v>1404</v>
      </c>
      <c r="H301" s="26" t="s">
        <v>39</v>
      </c>
      <c r="I301" s="26" t="s">
        <v>1533</v>
      </c>
      <c r="J301" s="11" t="str">
        <f>VLOOKUP(K301,'PN Dictionary'!A:B,2,FALSE)</f>
        <v>GB300 L10</v>
      </c>
      <c r="K301" s="26" t="s">
        <v>1340</v>
      </c>
      <c r="L301" s="44" t="s">
        <v>1534</v>
      </c>
      <c r="M301" s="26" t="s">
        <v>1535</v>
      </c>
      <c r="N301" s="26" t="s">
        <v>53</v>
      </c>
      <c r="O301" s="26" t="s">
        <v>728</v>
      </c>
      <c r="P301" s="26">
        <v>718</v>
      </c>
      <c r="Q301" s="26" t="s">
        <v>55</v>
      </c>
    </row>
    <row r="302" spans="1:18" hidden="1" x14ac:dyDescent="0.3">
      <c r="A302" s="26" t="s">
        <v>1536</v>
      </c>
      <c r="B302" s="26" t="s">
        <v>1537</v>
      </c>
      <c r="C302" s="26" t="s">
        <v>50</v>
      </c>
      <c r="D302" s="26" t="s">
        <v>1538</v>
      </c>
      <c r="E302" s="26" t="s">
        <v>242</v>
      </c>
      <c r="G302" s="26" t="s">
        <v>1404</v>
      </c>
      <c r="H302" s="26" t="s">
        <v>39</v>
      </c>
      <c r="I302" s="26" t="s">
        <v>1145</v>
      </c>
      <c r="J302" s="11" t="str">
        <f>VLOOKUP(K302,'PN Dictionary'!A:B,2,FALSE)</f>
        <v>Delta Power Shelf Left Input</v>
      </c>
      <c r="K302" s="11" t="s">
        <v>10</v>
      </c>
      <c r="L302" s="44" t="s">
        <v>1539</v>
      </c>
      <c r="M302" s="26" t="s">
        <v>1540</v>
      </c>
      <c r="N302" s="26" t="s">
        <v>53</v>
      </c>
      <c r="O302" s="26" t="s">
        <v>728</v>
      </c>
      <c r="P302" s="26">
        <v>640</v>
      </c>
      <c r="Q302" s="26" t="s">
        <v>55</v>
      </c>
    </row>
    <row r="303" spans="1:18" hidden="1" x14ac:dyDescent="0.3">
      <c r="A303" s="26" t="s">
        <v>1557</v>
      </c>
      <c r="B303" s="26" t="s">
        <v>1558</v>
      </c>
      <c r="C303" s="26" t="s">
        <v>1309</v>
      </c>
      <c r="D303" s="26" t="s">
        <v>1407</v>
      </c>
      <c r="E303" s="26" t="s">
        <v>87</v>
      </c>
      <c r="G303" s="26" t="s">
        <v>1404</v>
      </c>
      <c r="H303" s="26" t="s">
        <v>39</v>
      </c>
      <c r="I303" s="26" t="s">
        <v>1559</v>
      </c>
      <c r="J303" s="11" t="str">
        <f>VLOOKUP(K303,'PN Dictionary'!A:B,2,FALSE)</f>
        <v>GB300 L10</v>
      </c>
      <c r="K303" s="26" t="s">
        <v>1340</v>
      </c>
      <c r="L303" s="44" t="s">
        <v>1408</v>
      </c>
      <c r="M303" s="26" t="s">
        <v>1560</v>
      </c>
      <c r="N303" s="26" t="s">
        <v>53</v>
      </c>
      <c r="O303" s="26" t="s">
        <v>728</v>
      </c>
      <c r="P303" s="26">
        <v>924</v>
      </c>
      <c r="Q303" s="26" t="s">
        <v>55</v>
      </c>
    </row>
    <row r="304" spans="1:18" hidden="1" x14ac:dyDescent="0.3">
      <c r="A304" s="26" t="s">
        <v>1561</v>
      </c>
      <c r="B304" s="26" t="s">
        <v>1562</v>
      </c>
      <c r="C304" s="26" t="s">
        <v>50</v>
      </c>
      <c r="D304" s="26" t="s">
        <v>1563</v>
      </c>
      <c r="E304" s="26" t="s">
        <v>128</v>
      </c>
      <c r="G304" s="26" t="s">
        <v>1564</v>
      </c>
      <c r="H304" s="26" t="s">
        <v>39</v>
      </c>
      <c r="I304" s="26" t="s">
        <v>1565</v>
      </c>
      <c r="J304" s="11" t="str">
        <f>VLOOKUP(K304,'PN Dictionary'!A:B,2,FALSE)</f>
        <v>Cable Cartridge</v>
      </c>
      <c r="K304" s="26" t="s">
        <v>6</v>
      </c>
      <c r="L304" s="44">
        <v>1823325354909</v>
      </c>
      <c r="M304" s="26">
        <v>2023625350557</v>
      </c>
      <c r="N304" s="26" t="s">
        <v>53</v>
      </c>
      <c r="O304" s="26" t="s">
        <v>728</v>
      </c>
      <c r="P304" s="26">
        <v>718</v>
      </c>
      <c r="Q304" s="26" t="s">
        <v>55</v>
      </c>
    </row>
    <row r="305" spans="1:17" hidden="1" x14ac:dyDescent="0.3">
      <c r="A305" s="26" t="s">
        <v>1566</v>
      </c>
      <c r="B305" s="26" t="s">
        <v>1567</v>
      </c>
      <c r="C305" s="26" t="s">
        <v>1309</v>
      </c>
      <c r="D305" s="26" t="s">
        <v>1532</v>
      </c>
      <c r="E305" s="26" t="s">
        <v>128</v>
      </c>
      <c r="G305" s="26" t="s">
        <v>1564</v>
      </c>
      <c r="H305" s="26" t="s">
        <v>39</v>
      </c>
      <c r="I305" s="26" t="s">
        <v>1568</v>
      </c>
      <c r="J305" s="11" t="str">
        <f>VLOOKUP(K305,'PN Dictionary'!A:B,2,FALSE)</f>
        <v>Cable Cartridge</v>
      </c>
      <c r="K305" s="26" t="s">
        <v>6</v>
      </c>
      <c r="L305" s="44">
        <v>2024325880566</v>
      </c>
      <c r="M305" s="26">
        <v>2023625350909</v>
      </c>
      <c r="N305" s="26" t="s">
        <v>53</v>
      </c>
      <c r="O305" s="26" t="s">
        <v>728</v>
      </c>
      <c r="P305" s="26">
        <v>718</v>
      </c>
      <c r="Q305" s="26" t="s">
        <v>55</v>
      </c>
    </row>
    <row r="306" spans="1:17" hidden="1" x14ac:dyDescent="0.3">
      <c r="A306" s="26" t="s">
        <v>1569</v>
      </c>
      <c r="B306" s="26" t="s">
        <v>1570</v>
      </c>
      <c r="C306" s="26" t="s">
        <v>1309</v>
      </c>
      <c r="D306" s="26" t="s">
        <v>1571</v>
      </c>
      <c r="E306" s="26" t="s">
        <v>52</v>
      </c>
      <c r="G306" s="26" t="s">
        <v>1564</v>
      </c>
      <c r="H306" s="26" t="s">
        <v>39</v>
      </c>
      <c r="I306" s="26" t="s">
        <v>1572</v>
      </c>
      <c r="J306" s="11" t="str">
        <f>VLOOKUP(K306,'PN Dictionary'!A:B,2,FALSE)</f>
        <v>GB300 L10</v>
      </c>
      <c r="K306" s="26" t="s">
        <v>1340</v>
      </c>
      <c r="L306" s="44" t="s">
        <v>1573</v>
      </c>
      <c r="M306" s="26" t="s">
        <v>1574</v>
      </c>
      <c r="N306" s="26" t="s">
        <v>53</v>
      </c>
      <c r="O306" s="26" t="s">
        <v>728</v>
      </c>
      <c r="P306" s="26">
        <v>718</v>
      </c>
      <c r="Q306" s="26" t="s">
        <v>55</v>
      </c>
    </row>
    <row r="307" spans="1:17" hidden="1" x14ac:dyDescent="0.3">
      <c r="A307" s="26" t="s">
        <v>1575</v>
      </c>
      <c r="B307" s="26" t="s">
        <v>1576</v>
      </c>
      <c r="C307" s="26" t="s">
        <v>1309</v>
      </c>
      <c r="D307" s="26" t="s">
        <v>1577</v>
      </c>
      <c r="E307" s="26" t="s">
        <v>52</v>
      </c>
      <c r="G307" s="26" t="s">
        <v>1564</v>
      </c>
      <c r="H307" s="26" t="s">
        <v>39</v>
      </c>
      <c r="I307" s="26" t="s">
        <v>1578</v>
      </c>
      <c r="J307" s="11" t="str">
        <f>VLOOKUP(K307,'PN Dictionary'!A:B,2,FALSE)</f>
        <v>GB300 L10</v>
      </c>
      <c r="K307" s="26" t="s">
        <v>1340</v>
      </c>
      <c r="L307" s="44" t="s">
        <v>1579</v>
      </c>
      <c r="M307" s="26" t="s">
        <v>1408</v>
      </c>
      <c r="N307" s="26" t="s">
        <v>53</v>
      </c>
      <c r="O307" s="26" t="s">
        <v>728</v>
      </c>
      <c r="P307" s="26">
        <v>718</v>
      </c>
      <c r="Q307" s="26" t="s">
        <v>55</v>
      </c>
    </row>
    <row r="308" spans="1:17" hidden="1" x14ac:dyDescent="0.3">
      <c r="A308" s="26" t="s">
        <v>1580</v>
      </c>
      <c r="B308" s="26" t="s">
        <v>1581</v>
      </c>
      <c r="C308" s="26" t="s">
        <v>1309</v>
      </c>
      <c r="D308" s="26" t="s">
        <v>1407</v>
      </c>
      <c r="E308" s="26" t="s">
        <v>52</v>
      </c>
      <c r="G308" s="26" t="s">
        <v>1564</v>
      </c>
      <c r="H308" s="26" t="s">
        <v>39</v>
      </c>
      <c r="I308" s="26" t="s">
        <v>1572</v>
      </c>
      <c r="J308" s="11" t="str">
        <f>VLOOKUP(K308,'PN Dictionary'!A:B,2,FALSE)</f>
        <v>GB300 L10</v>
      </c>
      <c r="K308" s="26" t="s">
        <v>1340</v>
      </c>
      <c r="L308" s="44" t="s">
        <v>1582</v>
      </c>
      <c r="M308" s="26" t="s">
        <v>1583</v>
      </c>
      <c r="N308" s="26" t="s">
        <v>53</v>
      </c>
      <c r="O308" s="26" t="s">
        <v>728</v>
      </c>
      <c r="P308" s="26">
        <v>718</v>
      </c>
      <c r="Q308" s="26" t="s">
        <v>55</v>
      </c>
    </row>
    <row r="309" spans="1:17" hidden="1" x14ac:dyDescent="0.3">
      <c r="A309" s="39" t="s">
        <v>1584</v>
      </c>
      <c r="B309" s="26" t="s">
        <v>1585</v>
      </c>
      <c r="C309" s="26" t="s">
        <v>50</v>
      </c>
      <c r="D309" s="26" t="s">
        <v>1586</v>
      </c>
      <c r="E309" s="26" t="s">
        <v>1587</v>
      </c>
      <c r="G309" s="26" t="s">
        <v>1564</v>
      </c>
      <c r="H309" s="26" t="s">
        <v>39</v>
      </c>
      <c r="I309" s="26" t="s">
        <v>1588</v>
      </c>
      <c r="J309" s="11" t="str">
        <f>VLOOKUP(K309,'PN Dictionary'!A:B,2,FALSE)</f>
        <v>GB300 L10</v>
      </c>
      <c r="K309" s="11" t="s">
        <v>36</v>
      </c>
      <c r="L309" s="44" t="s">
        <v>1589</v>
      </c>
      <c r="M309" s="26" t="s">
        <v>1590</v>
      </c>
      <c r="N309" s="26" t="s">
        <v>53</v>
      </c>
      <c r="O309" s="26" t="s">
        <v>728</v>
      </c>
      <c r="P309" s="26">
        <v>90066</v>
      </c>
      <c r="Q309" s="26" t="s">
        <v>55</v>
      </c>
    </row>
    <row r="310" spans="1:17" hidden="1" x14ac:dyDescent="0.3">
      <c r="A310" s="39" t="s">
        <v>3214</v>
      </c>
      <c r="B310" s="26" t="s">
        <v>3215</v>
      </c>
      <c r="C310" s="26" t="s">
        <v>1309</v>
      </c>
      <c r="D310" s="26" t="s">
        <v>1591</v>
      </c>
      <c r="E310" s="26" t="s">
        <v>81</v>
      </c>
      <c r="G310" s="26" t="s">
        <v>1564</v>
      </c>
      <c r="H310" s="26" t="s">
        <v>39</v>
      </c>
      <c r="I310" s="26" t="s">
        <v>489</v>
      </c>
      <c r="J310" s="11" t="str">
        <f>VLOOKUP(K310,'PN Dictionary'!A:B,2,FALSE)</f>
        <v>GB300 L10</v>
      </c>
      <c r="K310" s="11" t="s">
        <v>1340</v>
      </c>
      <c r="L310" s="11" t="s">
        <v>3216</v>
      </c>
      <c r="M310" s="44" t="s">
        <v>3217</v>
      </c>
      <c r="N310" s="26" t="s">
        <v>53</v>
      </c>
      <c r="O310" s="26" t="s">
        <v>728</v>
      </c>
      <c r="P310" s="26">
        <v>924</v>
      </c>
      <c r="Q310" s="26" t="s">
        <v>55</v>
      </c>
    </row>
    <row r="311" spans="1:17" hidden="1" x14ac:dyDescent="0.3">
      <c r="A311" s="26" t="s">
        <v>1592</v>
      </c>
      <c r="B311" s="26" t="s">
        <v>1593</v>
      </c>
      <c r="C311" s="26" t="s">
        <v>1309</v>
      </c>
      <c r="D311" s="26" t="s">
        <v>1594</v>
      </c>
      <c r="E311" s="26" t="s">
        <v>761</v>
      </c>
      <c r="G311" s="26" t="s">
        <v>1564</v>
      </c>
      <c r="H311" s="26" t="s">
        <v>39</v>
      </c>
      <c r="I311" s="26" t="s">
        <v>1190</v>
      </c>
      <c r="J311" s="11" t="str">
        <f>VLOOKUP(K311,'PN Dictionary'!A:B,2,FALSE)</f>
        <v>GB300 L10</v>
      </c>
      <c r="K311" s="26" t="s">
        <v>1340</v>
      </c>
      <c r="L311" s="44" t="s">
        <v>1646</v>
      </c>
      <c r="M311" s="26" t="s">
        <v>1595</v>
      </c>
      <c r="N311" s="26" t="s">
        <v>53</v>
      </c>
      <c r="O311" s="26" t="s">
        <v>728</v>
      </c>
      <c r="P311" s="26">
        <v>90066</v>
      </c>
      <c r="Q311" s="26" t="s">
        <v>55</v>
      </c>
    </row>
    <row r="312" spans="1:17" hidden="1" x14ac:dyDescent="0.3">
      <c r="A312" s="26" t="s">
        <v>1596</v>
      </c>
      <c r="B312" s="26" t="s">
        <v>1597</v>
      </c>
      <c r="C312" s="26" t="s">
        <v>1309</v>
      </c>
      <c r="D312" s="26" t="s">
        <v>1598</v>
      </c>
      <c r="E312" s="26" t="s">
        <v>761</v>
      </c>
      <c r="G312" s="26" t="s">
        <v>1564</v>
      </c>
      <c r="H312" s="26" t="s">
        <v>39</v>
      </c>
      <c r="I312" s="26" t="s">
        <v>1190</v>
      </c>
      <c r="J312" s="11" t="str">
        <f>VLOOKUP(K312,'PN Dictionary'!A:B,2,FALSE)</f>
        <v>GB300 L10</v>
      </c>
      <c r="K312" s="26" t="s">
        <v>1340</v>
      </c>
      <c r="L312" s="44" t="s">
        <v>1647</v>
      </c>
      <c r="M312" s="26" t="s">
        <v>1599</v>
      </c>
      <c r="N312" s="26" t="s">
        <v>53</v>
      </c>
      <c r="O312" s="26" t="s">
        <v>728</v>
      </c>
      <c r="P312" s="26">
        <v>90066</v>
      </c>
      <c r="Q312" s="26" t="s">
        <v>55</v>
      </c>
    </row>
    <row r="313" spans="1:17" hidden="1" x14ac:dyDescent="0.3">
      <c r="A313" s="26" t="s">
        <v>1600</v>
      </c>
      <c r="B313" s="26" t="s">
        <v>1601</v>
      </c>
      <c r="C313" s="26" t="s">
        <v>1309</v>
      </c>
      <c r="D313" s="26" t="s">
        <v>1602</v>
      </c>
      <c r="E313" s="26" t="s">
        <v>81</v>
      </c>
      <c r="G313" s="26" t="s">
        <v>1564</v>
      </c>
      <c r="H313" s="26" t="s">
        <v>39</v>
      </c>
      <c r="I313" s="26" t="s">
        <v>1603</v>
      </c>
      <c r="J313" s="11" t="str">
        <f>VLOOKUP(K313,'PN Dictionary'!A:B,2,FALSE)</f>
        <v>GB300 L10</v>
      </c>
      <c r="K313" s="26" t="s">
        <v>1340</v>
      </c>
      <c r="L313" s="44" t="s">
        <v>1648</v>
      </c>
      <c r="M313" s="26" t="s">
        <v>1604</v>
      </c>
      <c r="N313" s="26" t="s">
        <v>53</v>
      </c>
      <c r="O313" s="26" t="s">
        <v>728</v>
      </c>
      <c r="P313" s="26">
        <v>924</v>
      </c>
      <c r="Q313" s="26" t="s">
        <v>55</v>
      </c>
    </row>
    <row r="314" spans="1:17" hidden="1" x14ac:dyDescent="0.3">
      <c r="A314" s="26" t="s">
        <v>1605</v>
      </c>
      <c r="B314" s="26" t="s">
        <v>1606</v>
      </c>
      <c r="C314" s="26" t="s">
        <v>1309</v>
      </c>
      <c r="D314" s="26" t="s">
        <v>1607</v>
      </c>
      <c r="E314" s="26" t="s">
        <v>128</v>
      </c>
      <c r="G314" s="26" t="s">
        <v>1608</v>
      </c>
      <c r="H314" s="26" t="s">
        <v>39</v>
      </c>
      <c r="I314" s="26" t="s">
        <v>1609</v>
      </c>
      <c r="J314" s="11" t="str">
        <f>VLOOKUP(K314,'PN Dictionary'!A:B,2,FALSE)</f>
        <v>Cable Cartridge</v>
      </c>
      <c r="K314" s="26" t="s">
        <v>6</v>
      </c>
      <c r="L314" s="44">
        <v>2024325880257</v>
      </c>
      <c r="M314" s="26">
        <v>1824125354658</v>
      </c>
      <c r="N314" s="26" t="s">
        <v>53</v>
      </c>
      <c r="O314" s="26" t="s">
        <v>728</v>
      </c>
      <c r="P314" s="26">
        <v>90066</v>
      </c>
      <c r="Q314" s="26" t="s">
        <v>55</v>
      </c>
    </row>
    <row r="315" spans="1:17" hidden="1" x14ac:dyDescent="0.3">
      <c r="A315" s="26" t="s">
        <v>1612</v>
      </c>
      <c r="B315" s="26" t="s">
        <v>1613</v>
      </c>
      <c r="C315" s="26" t="s">
        <v>1309</v>
      </c>
      <c r="D315" s="26" t="s">
        <v>1407</v>
      </c>
      <c r="E315" s="26" t="s">
        <v>81</v>
      </c>
      <c r="G315" s="26" t="s">
        <v>1608</v>
      </c>
      <c r="H315" s="26" t="s">
        <v>39</v>
      </c>
      <c r="I315" s="26" t="s">
        <v>1610</v>
      </c>
      <c r="J315" s="11" t="str">
        <f>VLOOKUP(K315,'PN Dictionary'!A:B,2,FALSE)</f>
        <v>GB300 L10</v>
      </c>
      <c r="K315" s="26" t="s">
        <v>1340</v>
      </c>
      <c r="L315" s="44" t="s">
        <v>1649</v>
      </c>
      <c r="M315" s="26" t="s">
        <v>1611</v>
      </c>
      <c r="N315" s="26" t="s">
        <v>53</v>
      </c>
      <c r="O315" s="26" t="s">
        <v>728</v>
      </c>
      <c r="P315" s="26">
        <v>924</v>
      </c>
      <c r="Q315" s="26" t="s">
        <v>55</v>
      </c>
    </row>
    <row r="316" spans="1:17" hidden="1" x14ac:dyDescent="0.3">
      <c r="A316" s="26" t="s">
        <v>1614</v>
      </c>
      <c r="B316" s="26" t="s">
        <v>1615</v>
      </c>
      <c r="C316" s="26" t="s">
        <v>1309</v>
      </c>
      <c r="D316" s="26" t="s">
        <v>1616</v>
      </c>
      <c r="E316" s="26" t="s">
        <v>374</v>
      </c>
      <c r="G316" s="26" t="s">
        <v>1608</v>
      </c>
      <c r="H316" s="26" t="s">
        <v>619</v>
      </c>
      <c r="I316" s="26" t="s">
        <v>1617</v>
      </c>
      <c r="J316" s="11" t="str">
        <f>VLOOKUP(K316,'PN Dictionary'!A:B,2,FALSE)</f>
        <v>NVSwitch</v>
      </c>
      <c r="K316" s="26" t="s">
        <v>7</v>
      </c>
      <c r="L316" s="44" t="s">
        <v>1618</v>
      </c>
      <c r="M316" s="26"/>
      <c r="N316" s="26" t="s">
        <v>53</v>
      </c>
      <c r="O316" s="26" t="s">
        <v>728</v>
      </c>
      <c r="P316" s="26">
        <v>924</v>
      </c>
      <c r="Q316" s="26" t="s">
        <v>55</v>
      </c>
    </row>
    <row r="317" spans="1:17" hidden="1" x14ac:dyDescent="0.3">
      <c r="A317" s="26" t="s">
        <v>1619</v>
      </c>
      <c r="B317" s="26" t="s">
        <v>1620</v>
      </c>
      <c r="C317" s="26" t="s">
        <v>50</v>
      </c>
      <c r="D317" s="26" t="s">
        <v>1563</v>
      </c>
      <c r="E317" s="26" t="s">
        <v>52</v>
      </c>
      <c r="G317" s="26" t="s">
        <v>1608</v>
      </c>
      <c r="H317" s="26" t="s">
        <v>39</v>
      </c>
      <c r="I317" s="26" t="s">
        <v>1621</v>
      </c>
      <c r="J317" s="11" t="str">
        <f>VLOOKUP(K317,'PN Dictionary'!A:B,2,FALSE)</f>
        <v>GB300 L10</v>
      </c>
      <c r="K317" s="26" t="s">
        <v>36</v>
      </c>
      <c r="L317" s="44" t="s">
        <v>1650</v>
      </c>
      <c r="M317" s="26" t="s">
        <v>1622</v>
      </c>
      <c r="N317" s="26" t="s">
        <v>53</v>
      </c>
      <c r="O317" s="26" t="s">
        <v>728</v>
      </c>
      <c r="P317" s="26">
        <v>718</v>
      </c>
      <c r="Q317" s="26" t="s">
        <v>55</v>
      </c>
    </row>
    <row r="318" spans="1:17" hidden="1" x14ac:dyDescent="0.3">
      <c r="A318" s="26" t="s">
        <v>1623</v>
      </c>
      <c r="B318" s="26" t="s">
        <v>1624</v>
      </c>
      <c r="C318" s="26" t="s">
        <v>1309</v>
      </c>
      <c r="D318" s="26" t="s">
        <v>1571</v>
      </c>
      <c r="E318" s="26" t="s">
        <v>52</v>
      </c>
      <c r="G318" s="26" t="s">
        <v>1608</v>
      </c>
      <c r="H318" s="26" t="s">
        <v>39</v>
      </c>
      <c r="I318" s="26" t="s">
        <v>1625</v>
      </c>
      <c r="J318" s="11" t="str">
        <f>VLOOKUP(K318,'PN Dictionary'!A:B,2,FALSE)</f>
        <v>GB300 L10</v>
      </c>
      <c r="K318" s="26" t="s">
        <v>1340</v>
      </c>
      <c r="L318" s="44" t="s">
        <v>1651</v>
      </c>
      <c r="M318" s="26" t="s">
        <v>1626</v>
      </c>
      <c r="N318" s="26" t="s">
        <v>53</v>
      </c>
      <c r="O318" s="26" t="s">
        <v>728</v>
      </c>
      <c r="P318" s="26">
        <v>718</v>
      </c>
      <c r="Q318" s="26" t="s">
        <v>55</v>
      </c>
    </row>
    <row r="319" spans="1:17" hidden="1" x14ac:dyDescent="0.3">
      <c r="A319" s="26" t="s">
        <v>1627</v>
      </c>
      <c r="B319" s="26" t="s">
        <v>1628</v>
      </c>
      <c r="C319" s="26" t="s">
        <v>50</v>
      </c>
      <c r="D319" s="26" t="s">
        <v>1194</v>
      </c>
      <c r="E319" s="26" t="s">
        <v>52</v>
      </c>
      <c r="G319" s="26" t="s">
        <v>1608</v>
      </c>
      <c r="H319" s="26" t="s">
        <v>39</v>
      </c>
      <c r="I319" s="26" t="s">
        <v>1629</v>
      </c>
      <c r="J319" s="11" t="str">
        <f>VLOOKUP(K319,'PN Dictionary'!A:B,2,FALSE)</f>
        <v>NVSwitch</v>
      </c>
      <c r="K319" s="26" t="s">
        <v>7</v>
      </c>
      <c r="L319" s="44" t="s">
        <v>1630</v>
      </c>
      <c r="M319" s="26" t="s">
        <v>1631</v>
      </c>
      <c r="N319" s="26" t="s">
        <v>53</v>
      </c>
      <c r="O319" s="26" t="s">
        <v>728</v>
      </c>
      <c r="P319" s="26">
        <v>718</v>
      </c>
      <c r="Q319" s="26" t="s">
        <v>55</v>
      </c>
    </row>
    <row r="320" spans="1:17" hidden="1" x14ac:dyDescent="0.3">
      <c r="A320" s="26" t="s">
        <v>1632</v>
      </c>
      <c r="B320" s="26" t="s">
        <v>1633</v>
      </c>
      <c r="C320" s="26" t="s">
        <v>1309</v>
      </c>
      <c r="D320" s="26" t="s">
        <v>1591</v>
      </c>
      <c r="E320" s="26" t="s">
        <v>128</v>
      </c>
      <c r="G320" s="26" t="s">
        <v>1608</v>
      </c>
      <c r="H320" s="26" t="s">
        <v>39</v>
      </c>
      <c r="I320" s="26" t="s">
        <v>1634</v>
      </c>
      <c r="J320" s="11" t="str">
        <f>VLOOKUP(K320,'PN Dictionary'!A:B,2,FALSE)</f>
        <v>Cable Cartridge</v>
      </c>
      <c r="K320" s="26" t="s">
        <v>6</v>
      </c>
      <c r="L320" s="44">
        <v>1823325350842</v>
      </c>
      <c r="M320" s="26">
        <v>1823425355596</v>
      </c>
      <c r="N320" s="26" t="s">
        <v>53</v>
      </c>
      <c r="O320" s="26" t="s">
        <v>728</v>
      </c>
      <c r="P320" s="26">
        <v>640</v>
      </c>
      <c r="Q320" s="26" t="s">
        <v>55</v>
      </c>
    </row>
    <row r="321" spans="1:17" hidden="1" x14ac:dyDescent="0.3">
      <c r="A321" s="26" t="s">
        <v>1635</v>
      </c>
      <c r="B321" s="26" t="s">
        <v>1636</v>
      </c>
      <c r="C321" s="26" t="s">
        <v>1309</v>
      </c>
      <c r="D321" s="26" t="s">
        <v>1598</v>
      </c>
      <c r="E321" s="26" t="s">
        <v>128</v>
      </c>
      <c r="G321" s="26" t="s">
        <v>1608</v>
      </c>
      <c r="H321" s="26" t="s">
        <v>39</v>
      </c>
      <c r="I321" s="26" t="s">
        <v>205</v>
      </c>
      <c r="J321" s="11" t="str">
        <f>VLOOKUP(K321,'PN Dictionary'!A:B,2,FALSE)</f>
        <v>Cable Cartridge</v>
      </c>
      <c r="K321" s="26" t="s">
        <v>6</v>
      </c>
      <c r="L321" s="44">
        <v>2024425880514</v>
      </c>
      <c r="M321" s="26">
        <v>2024025351394</v>
      </c>
      <c r="N321" s="26" t="s">
        <v>53</v>
      </c>
      <c r="O321" s="26" t="s">
        <v>728</v>
      </c>
      <c r="P321" s="26">
        <v>1348</v>
      </c>
      <c r="Q321" s="26" t="s">
        <v>55</v>
      </c>
    </row>
    <row r="322" spans="1:17" hidden="1" x14ac:dyDescent="0.3">
      <c r="A322" s="26" t="s">
        <v>1637</v>
      </c>
      <c r="B322" s="26" t="s">
        <v>1725</v>
      </c>
      <c r="C322" s="26" t="s">
        <v>1309</v>
      </c>
      <c r="D322" s="26" t="s">
        <v>1638</v>
      </c>
      <c r="E322" s="26" t="s">
        <v>128</v>
      </c>
      <c r="G322" s="26" t="s">
        <v>1608</v>
      </c>
      <c r="H322" s="26" t="s">
        <v>39</v>
      </c>
      <c r="I322" s="26" t="s">
        <v>1639</v>
      </c>
      <c r="J322" s="11" t="str">
        <f>VLOOKUP(K322,'PN Dictionary'!A:B,2,FALSE)</f>
        <v>Cable Cartridge</v>
      </c>
      <c r="K322" s="26" t="s">
        <v>6</v>
      </c>
      <c r="L322" s="44">
        <v>2024425880579</v>
      </c>
      <c r="M322" s="26"/>
      <c r="N322" s="26" t="s">
        <v>53</v>
      </c>
      <c r="O322" s="26" t="s">
        <v>728</v>
      </c>
      <c r="P322" s="26">
        <v>1348</v>
      </c>
      <c r="Q322" s="26" t="s">
        <v>55</v>
      </c>
    </row>
    <row r="323" spans="1:17" hidden="1" x14ac:dyDescent="0.3">
      <c r="A323" s="26" t="s">
        <v>1640</v>
      </c>
      <c r="B323" s="26" t="s">
        <v>1641</v>
      </c>
      <c r="C323" s="26" t="s">
        <v>50</v>
      </c>
      <c r="D323" s="26" t="s">
        <v>1642</v>
      </c>
      <c r="E323" s="26" t="s">
        <v>270</v>
      </c>
      <c r="G323" s="26" t="s">
        <v>1608</v>
      </c>
      <c r="H323" s="26" t="s">
        <v>39</v>
      </c>
      <c r="I323" s="26" t="s">
        <v>1643</v>
      </c>
      <c r="J323" s="11" t="str">
        <f>VLOOKUP(K323,'PN Dictionary'!A:B,2,FALSE)</f>
        <v>Delta Power Shelf Left Input</v>
      </c>
      <c r="K323" s="26" t="s">
        <v>10</v>
      </c>
      <c r="L323" s="44" t="s">
        <v>1644</v>
      </c>
      <c r="M323" s="26" t="s">
        <v>1645</v>
      </c>
      <c r="N323" s="26" t="s">
        <v>53</v>
      </c>
      <c r="O323" s="26" t="s">
        <v>728</v>
      </c>
      <c r="P323" s="26">
        <v>924</v>
      </c>
      <c r="Q323" s="26" t="s">
        <v>55</v>
      </c>
    </row>
    <row r="324" spans="1:17" hidden="1" x14ac:dyDescent="0.3">
      <c r="A324" s="26" t="s">
        <v>1652</v>
      </c>
      <c r="B324" s="26" t="s">
        <v>1653</v>
      </c>
      <c r="C324" s="26" t="s">
        <v>50</v>
      </c>
      <c r="D324" s="26" t="s">
        <v>1654</v>
      </c>
      <c r="E324" s="26" t="s">
        <v>761</v>
      </c>
      <c r="G324" s="26" t="s">
        <v>1608</v>
      </c>
      <c r="H324" s="26" t="s">
        <v>39</v>
      </c>
      <c r="I324" s="26" t="s">
        <v>1190</v>
      </c>
      <c r="J324" s="11" t="str">
        <f>VLOOKUP(K324,'PN Dictionary'!A:B,2,FALSE)</f>
        <v>GB300 L10</v>
      </c>
      <c r="K324" s="26" t="s">
        <v>36</v>
      </c>
      <c r="L324" s="44" t="s">
        <v>1726</v>
      </c>
      <c r="M324" s="26" t="s">
        <v>1655</v>
      </c>
      <c r="N324" s="26" t="s">
        <v>53</v>
      </c>
      <c r="O324" s="26" t="s">
        <v>728</v>
      </c>
      <c r="P324" s="26">
        <v>90066</v>
      </c>
      <c r="Q324" s="26" t="s">
        <v>55</v>
      </c>
    </row>
    <row r="325" spans="1:17" hidden="1" x14ac:dyDescent="0.3">
      <c r="A325" s="26" t="s">
        <v>1656</v>
      </c>
      <c r="B325" s="26" t="s">
        <v>1657</v>
      </c>
      <c r="C325" s="26" t="s">
        <v>1309</v>
      </c>
      <c r="D325" s="26" t="s">
        <v>1658</v>
      </c>
      <c r="E325" s="26" t="s">
        <v>52</v>
      </c>
      <c r="G325" s="26" t="s">
        <v>1608</v>
      </c>
      <c r="H325" s="26" t="s">
        <v>39</v>
      </c>
      <c r="I325" s="26" t="s">
        <v>1659</v>
      </c>
      <c r="J325" s="11" t="str">
        <f>VLOOKUP(K325,'PN Dictionary'!A:B,2,FALSE)</f>
        <v>GB300 L10</v>
      </c>
      <c r="K325" s="26" t="s">
        <v>1340</v>
      </c>
      <c r="L325" s="44" t="s">
        <v>1727</v>
      </c>
      <c r="M325" s="26" t="s">
        <v>1660</v>
      </c>
      <c r="N325" s="26" t="s">
        <v>53</v>
      </c>
      <c r="O325" s="26" t="s">
        <v>728</v>
      </c>
      <c r="P325" s="26">
        <v>924</v>
      </c>
      <c r="Q325" s="26" t="s">
        <v>55</v>
      </c>
    </row>
    <row r="326" spans="1:17" hidden="1" x14ac:dyDescent="0.3">
      <c r="A326" s="26" t="s">
        <v>1661</v>
      </c>
      <c r="B326" s="26" t="s">
        <v>1662</v>
      </c>
      <c r="C326" s="26" t="s">
        <v>1309</v>
      </c>
      <c r="D326" s="26" t="s">
        <v>1663</v>
      </c>
      <c r="E326" s="26" t="s">
        <v>230</v>
      </c>
      <c r="G326" s="26" t="s">
        <v>1608</v>
      </c>
      <c r="H326" s="26" t="s">
        <v>39</v>
      </c>
      <c r="I326" s="26" t="s">
        <v>940</v>
      </c>
      <c r="J326" s="11" t="str">
        <f>VLOOKUP(K326,'PN Dictionary'!A:B,2,FALSE)</f>
        <v>NVSwitch</v>
      </c>
      <c r="K326" s="26" t="s">
        <v>7</v>
      </c>
      <c r="L326" s="44" t="s">
        <v>1664</v>
      </c>
      <c r="M326" s="26" t="s">
        <v>1665</v>
      </c>
      <c r="N326" s="26" t="s">
        <v>53</v>
      </c>
      <c r="O326" s="26" t="s">
        <v>728</v>
      </c>
      <c r="P326" s="26">
        <v>924</v>
      </c>
      <c r="Q326" s="26" t="s">
        <v>55</v>
      </c>
    </row>
    <row r="327" spans="1:17" hidden="1" x14ac:dyDescent="0.3">
      <c r="A327" s="26" t="s">
        <v>1666</v>
      </c>
      <c r="B327" s="26" t="s">
        <v>1667</v>
      </c>
      <c r="C327" s="26" t="s">
        <v>1309</v>
      </c>
      <c r="D327" s="26" t="s">
        <v>1668</v>
      </c>
      <c r="E327" s="26" t="s">
        <v>761</v>
      </c>
      <c r="G327" s="26" t="s">
        <v>1608</v>
      </c>
      <c r="H327" s="26" t="s">
        <v>39</v>
      </c>
      <c r="I327" s="26" t="s">
        <v>1190</v>
      </c>
      <c r="J327" s="11" t="str">
        <f>VLOOKUP(K327,'PN Dictionary'!A:B,2,FALSE)</f>
        <v>GB300 L10</v>
      </c>
      <c r="K327" s="26" t="s">
        <v>1340</v>
      </c>
      <c r="L327" s="44" t="s">
        <v>1728</v>
      </c>
      <c r="M327" s="26" t="s">
        <v>1669</v>
      </c>
      <c r="N327" s="26" t="s">
        <v>53</v>
      </c>
      <c r="O327" s="26" t="s">
        <v>728</v>
      </c>
      <c r="P327" s="26">
        <v>90066</v>
      </c>
      <c r="Q327" s="26" t="s">
        <v>55</v>
      </c>
    </row>
    <row r="328" spans="1:17" hidden="1" x14ac:dyDescent="0.3">
      <c r="A328" s="26" t="s">
        <v>3218</v>
      </c>
      <c r="B328" s="26" t="s">
        <v>3219</v>
      </c>
      <c r="C328" s="26" t="s">
        <v>1309</v>
      </c>
      <c r="D328" s="26" t="s">
        <v>1638</v>
      </c>
      <c r="E328" s="26" t="s">
        <v>761</v>
      </c>
      <c r="G328" s="26" t="s">
        <v>1608</v>
      </c>
      <c r="H328" s="26" t="s">
        <v>39</v>
      </c>
      <c r="I328" s="26" t="s">
        <v>1190</v>
      </c>
      <c r="J328" s="11" t="str">
        <f>VLOOKUP(K328,'PN Dictionary'!A:B,2,FALSE)</f>
        <v>GB300 L10</v>
      </c>
      <c r="K328" s="11" t="s">
        <v>1340</v>
      </c>
      <c r="L328" s="26" t="s">
        <v>3220</v>
      </c>
      <c r="M328" s="44" t="s">
        <v>3221</v>
      </c>
      <c r="N328" s="26" t="s">
        <v>53</v>
      </c>
      <c r="O328" s="26" t="s">
        <v>728</v>
      </c>
      <c r="P328" s="26">
        <v>90066</v>
      </c>
      <c r="Q328" s="26" t="s">
        <v>55</v>
      </c>
    </row>
    <row r="329" spans="1:17" hidden="1" x14ac:dyDescent="0.3">
      <c r="A329" s="26" t="s">
        <v>1670</v>
      </c>
      <c r="B329" s="26" t="s">
        <v>1671</v>
      </c>
      <c r="C329" s="26" t="s">
        <v>50</v>
      </c>
      <c r="D329" s="26" t="s">
        <v>1642</v>
      </c>
      <c r="E329" s="26" t="s">
        <v>761</v>
      </c>
      <c r="G329" s="26" t="s">
        <v>1608</v>
      </c>
      <c r="H329" s="26" t="s">
        <v>39</v>
      </c>
      <c r="I329" s="26" t="s">
        <v>1190</v>
      </c>
      <c r="J329" s="11" t="str">
        <f>VLOOKUP(K329,'PN Dictionary'!A:B,2,FALSE)</f>
        <v>GB300 L10</v>
      </c>
      <c r="K329" s="26" t="s">
        <v>36</v>
      </c>
      <c r="L329" s="44" t="s">
        <v>1729</v>
      </c>
      <c r="M329" s="26" t="s">
        <v>1672</v>
      </c>
      <c r="N329" s="26" t="s">
        <v>53</v>
      </c>
      <c r="O329" s="26" t="s">
        <v>728</v>
      </c>
      <c r="P329" s="26">
        <v>90066</v>
      </c>
      <c r="Q329" s="26" t="s">
        <v>55</v>
      </c>
    </row>
    <row r="330" spans="1:17" hidden="1" x14ac:dyDescent="0.3">
      <c r="A330" s="26" t="s">
        <v>3222</v>
      </c>
      <c r="B330" s="26" t="s">
        <v>3223</v>
      </c>
      <c r="C330" s="26" t="s">
        <v>1309</v>
      </c>
      <c r="D330" s="26" t="s">
        <v>3224</v>
      </c>
      <c r="E330" s="26" t="s">
        <v>81</v>
      </c>
      <c r="G330" s="26" t="s">
        <v>1608</v>
      </c>
      <c r="H330" s="26" t="s">
        <v>39</v>
      </c>
      <c r="I330" s="26" t="s">
        <v>3225</v>
      </c>
      <c r="J330" s="11" t="str">
        <f>VLOOKUP(K330,'PN Dictionary'!A:B,2,FALSE)</f>
        <v>GB300 L10</v>
      </c>
      <c r="K330" s="11" t="s">
        <v>1340</v>
      </c>
      <c r="L330" s="26" t="s">
        <v>3226</v>
      </c>
      <c r="M330" s="44" t="s">
        <v>3227</v>
      </c>
      <c r="N330" s="26" t="s">
        <v>53</v>
      </c>
      <c r="O330" s="26" t="s">
        <v>728</v>
      </c>
      <c r="P330" s="26">
        <v>924</v>
      </c>
      <c r="Q330" s="26" t="s">
        <v>55</v>
      </c>
    </row>
    <row r="331" spans="1:17" hidden="1" x14ac:dyDescent="0.3">
      <c r="A331" s="26" t="s">
        <v>3228</v>
      </c>
      <c r="B331" s="26" t="s">
        <v>3229</v>
      </c>
      <c r="C331" s="26" t="s">
        <v>1309</v>
      </c>
      <c r="D331" s="26" t="s">
        <v>1591</v>
      </c>
      <c r="E331" s="26" t="s">
        <v>81</v>
      </c>
      <c r="G331" s="26" t="s">
        <v>1608</v>
      </c>
      <c r="H331" s="26" t="s">
        <v>39</v>
      </c>
      <c r="I331" s="26" t="s">
        <v>522</v>
      </c>
      <c r="J331" s="11" t="str">
        <f>VLOOKUP(K331,'PN Dictionary'!A:B,2,FALSE)</f>
        <v>GB300 L10</v>
      </c>
      <c r="K331" s="11" t="s">
        <v>1340</v>
      </c>
      <c r="L331" s="26" t="s">
        <v>3230</v>
      </c>
      <c r="M331" s="44" t="s">
        <v>3231</v>
      </c>
      <c r="N331" s="26" t="s">
        <v>53</v>
      </c>
      <c r="O331" s="26" t="s">
        <v>728</v>
      </c>
      <c r="P331" s="26">
        <v>924</v>
      </c>
      <c r="Q331" s="26" t="s">
        <v>55</v>
      </c>
    </row>
    <row r="332" spans="1:17" hidden="1" x14ac:dyDescent="0.3">
      <c r="A332" s="26" t="s">
        <v>1673</v>
      </c>
      <c r="B332" s="26" t="s">
        <v>1674</v>
      </c>
      <c r="C332" s="26" t="s">
        <v>50</v>
      </c>
      <c r="D332" s="26" t="s">
        <v>1675</v>
      </c>
      <c r="E332" s="26" t="s">
        <v>242</v>
      </c>
      <c r="G332" s="26" t="s">
        <v>1608</v>
      </c>
      <c r="H332" s="26" t="s">
        <v>39</v>
      </c>
      <c r="I332" s="26" t="s">
        <v>1676</v>
      </c>
      <c r="J332" s="11" t="str">
        <f>VLOOKUP(K332,'PN Dictionary'!A:B,2,FALSE)</f>
        <v>Delta power shelf right input</v>
      </c>
      <c r="K332" s="26" t="s">
        <v>353</v>
      </c>
      <c r="L332" s="44" t="s">
        <v>1677</v>
      </c>
      <c r="M332" s="26" t="s">
        <v>1678</v>
      </c>
      <c r="N332" s="26" t="s">
        <v>53</v>
      </c>
      <c r="O332" s="26" t="s">
        <v>728</v>
      </c>
      <c r="P332" s="26">
        <v>924</v>
      </c>
      <c r="Q332" s="26" t="s">
        <v>55</v>
      </c>
    </row>
    <row r="333" spans="1:17" hidden="1" x14ac:dyDescent="0.3">
      <c r="A333" s="26" t="s">
        <v>3232</v>
      </c>
      <c r="B333" s="26" t="s">
        <v>3233</v>
      </c>
      <c r="C333" s="26" t="s">
        <v>50</v>
      </c>
      <c r="D333" s="26" t="s">
        <v>1586</v>
      </c>
      <c r="E333" s="26" t="s">
        <v>761</v>
      </c>
      <c r="G333" s="26" t="s">
        <v>1679</v>
      </c>
      <c r="H333" s="26" t="s">
        <v>39</v>
      </c>
      <c r="I333" s="26" t="s">
        <v>1190</v>
      </c>
      <c r="J333" s="11" t="str">
        <f>VLOOKUP(K333,'PN Dictionary'!A:B,2,FALSE)</f>
        <v>GB300 L10</v>
      </c>
      <c r="K333" s="11" t="s">
        <v>36</v>
      </c>
      <c r="L333" s="26" t="s">
        <v>3234</v>
      </c>
      <c r="M333" s="44" t="s">
        <v>3235</v>
      </c>
      <c r="N333" s="26" t="s">
        <v>53</v>
      </c>
      <c r="O333" s="26" t="s">
        <v>728</v>
      </c>
      <c r="P333" s="26">
        <v>90066</v>
      </c>
      <c r="Q333" s="26" t="s">
        <v>55</v>
      </c>
    </row>
    <row r="334" spans="1:17" hidden="1" x14ac:dyDescent="0.3">
      <c r="A334" s="26" t="s">
        <v>1680</v>
      </c>
      <c r="B334" s="26" t="s">
        <v>1681</v>
      </c>
      <c r="C334" s="26" t="s">
        <v>50</v>
      </c>
      <c r="D334" s="26" t="s">
        <v>1642</v>
      </c>
      <c r="E334" s="26" t="s">
        <v>761</v>
      </c>
      <c r="G334" s="26" t="s">
        <v>1679</v>
      </c>
      <c r="H334" s="26" t="s">
        <v>39</v>
      </c>
      <c r="I334" s="26" t="s">
        <v>1190</v>
      </c>
      <c r="J334" s="11" t="str">
        <f>VLOOKUP(K334,'PN Dictionary'!A:B,2,FALSE)</f>
        <v>GB300 L10</v>
      </c>
      <c r="K334" s="26" t="s">
        <v>36</v>
      </c>
      <c r="L334" s="44" t="s">
        <v>1730</v>
      </c>
      <c r="M334" s="26" t="s">
        <v>1682</v>
      </c>
      <c r="N334" s="26" t="s">
        <v>53</v>
      </c>
      <c r="O334" s="26" t="s">
        <v>728</v>
      </c>
      <c r="P334" s="26">
        <v>90066</v>
      </c>
      <c r="Q334" s="26" t="s">
        <v>55</v>
      </c>
    </row>
    <row r="335" spans="1:17" hidden="1" x14ac:dyDescent="0.3">
      <c r="A335" s="26" t="s">
        <v>3236</v>
      </c>
      <c r="B335" s="26" t="s">
        <v>3237</v>
      </c>
      <c r="C335" s="26" t="s">
        <v>1309</v>
      </c>
      <c r="D335" s="26" t="s">
        <v>1663</v>
      </c>
      <c r="E335" s="26" t="s">
        <v>81</v>
      </c>
      <c r="G335" s="26" t="s">
        <v>1679</v>
      </c>
      <c r="H335" s="26" t="s">
        <v>39</v>
      </c>
      <c r="I335" s="26" t="s">
        <v>375</v>
      </c>
      <c r="J335" s="11" t="str">
        <f>VLOOKUP(K335,'PN Dictionary'!A:B,2,FALSE)</f>
        <v>GB300 L10</v>
      </c>
      <c r="K335" s="11" t="s">
        <v>1340</v>
      </c>
      <c r="L335" s="26" t="s">
        <v>3238</v>
      </c>
      <c r="M335" s="44" t="s">
        <v>3239</v>
      </c>
      <c r="N335" s="26" t="s">
        <v>53</v>
      </c>
      <c r="O335" s="26" t="s">
        <v>728</v>
      </c>
      <c r="P335" s="26">
        <v>924</v>
      </c>
      <c r="Q335" s="26" t="s">
        <v>55</v>
      </c>
    </row>
    <row r="336" spans="1:17" hidden="1" x14ac:dyDescent="0.3">
      <c r="A336" s="26" t="s">
        <v>1683</v>
      </c>
      <c r="B336" s="26" t="s">
        <v>1684</v>
      </c>
      <c r="C336" s="26" t="s">
        <v>1309</v>
      </c>
      <c r="D336" s="26" t="s">
        <v>1685</v>
      </c>
      <c r="E336" s="26" t="s">
        <v>761</v>
      </c>
      <c r="G336" s="26" t="s">
        <v>1679</v>
      </c>
      <c r="H336" s="26" t="s">
        <v>39</v>
      </c>
      <c r="I336" s="26" t="s">
        <v>1190</v>
      </c>
      <c r="J336" s="11" t="str">
        <f>VLOOKUP(K336,'PN Dictionary'!A:B,2,FALSE)</f>
        <v>GB300 L10</v>
      </c>
      <c r="K336" s="26" t="s">
        <v>1340</v>
      </c>
      <c r="L336" s="44" t="s">
        <v>1731</v>
      </c>
      <c r="M336" s="26" t="s">
        <v>1686</v>
      </c>
      <c r="N336" s="26" t="s">
        <v>53</v>
      </c>
      <c r="O336" s="26" t="s">
        <v>728</v>
      </c>
      <c r="P336" s="26">
        <v>90066</v>
      </c>
      <c r="Q336" s="26" t="s">
        <v>55</v>
      </c>
    </row>
    <row r="337" spans="1:17" hidden="1" x14ac:dyDescent="0.3">
      <c r="A337" s="26" t="s">
        <v>1687</v>
      </c>
      <c r="B337" s="26" t="s">
        <v>1688</v>
      </c>
      <c r="C337" s="26" t="s">
        <v>1309</v>
      </c>
      <c r="D337" s="26" t="s">
        <v>1689</v>
      </c>
      <c r="E337" s="26" t="s">
        <v>128</v>
      </c>
      <c r="G337" s="26" t="s">
        <v>1679</v>
      </c>
      <c r="H337" s="26" t="s">
        <v>39</v>
      </c>
      <c r="I337" s="26" t="s">
        <v>205</v>
      </c>
      <c r="J337" s="11" t="str">
        <f>VLOOKUP(K337,'PN Dictionary'!A:B,2,FALSE)</f>
        <v>Cable Cartridge</v>
      </c>
      <c r="K337" s="26" t="s">
        <v>6</v>
      </c>
      <c r="L337" s="44">
        <v>1823625350136</v>
      </c>
      <c r="M337" s="26">
        <v>1823325350840</v>
      </c>
      <c r="N337" s="26" t="s">
        <v>53</v>
      </c>
      <c r="O337" s="26" t="s">
        <v>728</v>
      </c>
      <c r="P337" s="26">
        <v>90066</v>
      </c>
      <c r="Q337" s="26" t="s">
        <v>55</v>
      </c>
    </row>
    <row r="338" spans="1:17" hidden="1" x14ac:dyDescent="0.3">
      <c r="A338" s="26" t="s">
        <v>1690</v>
      </c>
      <c r="B338" s="26" t="s">
        <v>1691</v>
      </c>
      <c r="C338" s="26" t="s">
        <v>1309</v>
      </c>
      <c r="D338" s="26" t="s">
        <v>1616</v>
      </c>
      <c r="E338" s="26" t="s">
        <v>230</v>
      </c>
      <c r="G338" s="26" t="s">
        <v>1679</v>
      </c>
      <c r="H338" s="26" t="s">
        <v>39</v>
      </c>
      <c r="I338" s="26" t="s">
        <v>1692</v>
      </c>
      <c r="J338" s="11" t="str">
        <f>VLOOKUP(K338,'PN Dictionary'!A:B,2,FALSE)</f>
        <v>NVSwitch</v>
      </c>
      <c r="K338" s="26" t="s">
        <v>7</v>
      </c>
      <c r="L338" s="44" t="s">
        <v>1618</v>
      </c>
      <c r="M338" s="26" t="s">
        <v>1693</v>
      </c>
      <c r="N338" s="26" t="s">
        <v>53</v>
      </c>
      <c r="O338" s="26" t="s">
        <v>728</v>
      </c>
      <c r="P338" s="26">
        <v>1519</v>
      </c>
      <c r="Q338" s="26" t="s">
        <v>55</v>
      </c>
    </row>
    <row r="339" spans="1:17" hidden="1" x14ac:dyDescent="0.3">
      <c r="A339" s="26" t="s">
        <v>1694</v>
      </c>
      <c r="B339" s="26" t="s">
        <v>1734</v>
      </c>
      <c r="C339" s="26" t="s">
        <v>50</v>
      </c>
      <c r="D339" s="26" t="s">
        <v>1586</v>
      </c>
      <c r="E339" s="26" t="s">
        <v>128</v>
      </c>
      <c r="G339" s="26" t="s">
        <v>1679</v>
      </c>
      <c r="H339" s="26" t="s">
        <v>39</v>
      </c>
      <c r="I339" s="26" t="s">
        <v>1695</v>
      </c>
      <c r="J339" s="11" t="str">
        <f>VLOOKUP(K339,'PN Dictionary'!A:B,2,FALSE)</f>
        <v>Cable Cartridge</v>
      </c>
      <c r="K339" s="26" t="s">
        <v>6</v>
      </c>
      <c r="L339" s="44">
        <v>1823325354319</v>
      </c>
      <c r="M339" s="26"/>
      <c r="N339" s="26" t="s">
        <v>53</v>
      </c>
      <c r="O339" s="26" t="s">
        <v>728</v>
      </c>
      <c r="P339" s="26">
        <v>924</v>
      </c>
      <c r="Q339" s="26" t="s">
        <v>55</v>
      </c>
    </row>
    <row r="340" spans="1:17" hidden="1" x14ac:dyDescent="0.3">
      <c r="A340" s="26" t="s">
        <v>1696</v>
      </c>
      <c r="B340" s="26" t="s">
        <v>1697</v>
      </c>
      <c r="C340" s="26" t="s">
        <v>50</v>
      </c>
      <c r="D340" s="26" t="s">
        <v>1698</v>
      </c>
      <c r="E340" s="26" t="s">
        <v>242</v>
      </c>
      <c r="G340" s="26" t="s">
        <v>1679</v>
      </c>
      <c r="H340" s="26" t="s">
        <v>39</v>
      </c>
      <c r="I340" s="26" t="s">
        <v>1699</v>
      </c>
      <c r="J340" s="11" t="str">
        <f>VLOOKUP(K340,'PN Dictionary'!A:B,2,FALSE)</f>
        <v>Delta power shelf right input</v>
      </c>
      <c r="K340" s="26" t="s">
        <v>353</v>
      </c>
      <c r="L340" s="44" t="s">
        <v>1700</v>
      </c>
      <c r="M340" s="26" t="s">
        <v>1701</v>
      </c>
      <c r="N340" s="26" t="s">
        <v>53</v>
      </c>
      <c r="O340" s="26" t="s">
        <v>728</v>
      </c>
      <c r="P340" s="26">
        <v>718</v>
      </c>
      <c r="Q340" s="26" t="s">
        <v>55</v>
      </c>
    </row>
    <row r="341" spans="1:17" hidden="1" x14ac:dyDescent="0.3">
      <c r="A341" s="26" t="s">
        <v>1702</v>
      </c>
      <c r="B341" s="26" t="s">
        <v>1703</v>
      </c>
      <c r="C341" s="26" t="s">
        <v>1309</v>
      </c>
      <c r="D341" s="26" t="s">
        <v>1704</v>
      </c>
      <c r="E341" s="26" t="s">
        <v>128</v>
      </c>
      <c r="G341" s="26" t="s">
        <v>1679</v>
      </c>
      <c r="H341" s="26" t="s">
        <v>39</v>
      </c>
      <c r="I341" s="26" t="s">
        <v>1705</v>
      </c>
      <c r="J341" s="11" t="str">
        <f>VLOOKUP(K341,'PN Dictionary'!A:B,2,FALSE)</f>
        <v>Cable Cartridge</v>
      </c>
      <c r="K341" s="26" t="s">
        <v>6</v>
      </c>
      <c r="L341" s="44">
        <v>1823625350058</v>
      </c>
      <c r="M341" s="26">
        <v>2023625351033</v>
      </c>
      <c r="N341" s="26" t="s">
        <v>53</v>
      </c>
      <c r="O341" s="26" t="s">
        <v>728</v>
      </c>
      <c r="P341" s="26">
        <v>718</v>
      </c>
      <c r="Q341" s="26" t="s">
        <v>55</v>
      </c>
    </row>
    <row r="342" spans="1:17" hidden="1" x14ac:dyDescent="0.3">
      <c r="A342" s="26" t="s">
        <v>1706</v>
      </c>
      <c r="B342" s="26" t="s">
        <v>1707</v>
      </c>
      <c r="C342" s="26" t="s">
        <v>1309</v>
      </c>
      <c r="D342" s="26" t="s">
        <v>1708</v>
      </c>
      <c r="E342" s="26" t="s">
        <v>242</v>
      </c>
      <c r="G342" s="26" t="s">
        <v>1679</v>
      </c>
      <c r="H342" s="26" t="s">
        <v>39</v>
      </c>
      <c r="I342" s="26" t="s">
        <v>1709</v>
      </c>
      <c r="J342" s="11" t="str">
        <f>VLOOKUP(K342,'PN Dictionary'!A:B,2,FALSE)</f>
        <v>LiteOn power shelf control module</v>
      </c>
      <c r="K342" s="26" t="s">
        <v>1324</v>
      </c>
      <c r="L342" s="44" t="s">
        <v>1710</v>
      </c>
      <c r="M342" s="26" t="s">
        <v>1711</v>
      </c>
      <c r="N342" s="26" t="s">
        <v>53</v>
      </c>
      <c r="O342" s="26" t="s">
        <v>728</v>
      </c>
      <c r="Q342" s="26" t="s">
        <v>1712</v>
      </c>
    </row>
    <row r="343" spans="1:17" hidden="1" x14ac:dyDescent="0.3">
      <c r="A343" s="26" t="s">
        <v>1713</v>
      </c>
      <c r="B343" s="26" t="s">
        <v>1714</v>
      </c>
      <c r="C343" s="26" t="s">
        <v>50</v>
      </c>
      <c r="D343" s="26" t="s">
        <v>1715</v>
      </c>
      <c r="E343" s="26" t="s">
        <v>242</v>
      </c>
      <c r="G343" s="26" t="s">
        <v>1679</v>
      </c>
      <c r="H343" s="26" t="s">
        <v>39</v>
      </c>
      <c r="I343" s="26" t="s">
        <v>1716</v>
      </c>
      <c r="J343" s="11" t="str">
        <f>VLOOKUP(K343,'PN Dictionary'!A:B,2,FALSE)</f>
        <v>Power Shelf Control Module</v>
      </c>
      <c r="K343" s="26" t="s">
        <v>11</v>
      </c>
      <c r="L343" s="44" t="s">
        <v>1717</v>
      </c>
      <c r="M343" s="26" t="s">
        <v>1718</v>
      </c>
      <c r="N343" s="26" t="s">
        <v>53</v>
      </c>
      <c r="O343" s="26" t="s">
        <v>728</v>
      </c>
      <c r="P343" s="26">
        <v>1519</v>
      </c>
      <c r="Q343" s="26" t="s">
        <v>55</v>
      </c>
    </row>
    <row r="344" spans="1:17" hidden="1" x14ac:dyDescent="0.3">
      <c r="A344" s="26" t="s">
        <v>1719</v>
      </c>
      <c r="B344" s="26" t="s">
        <v>1735</v>
      </c>
      <c r="C344" s="26" t="s">
        <v>1309</v>
      </c>
      <c r="D344" s="26" t="s">
        <v>1369</v>
      </c>
      <c r="E344" s="26" t="s">
        <v>128</v>
      </c>
      <c r="G344" s="26" t="s">
        <v>1679</v>
      </c>
      <c r="H344" s="26" t="s">
        <v>39</v>
      </c>
      <c r="I344" s="26" t="s">
        <v>1720</v>
      </c>
      <c r="J344" s="11" t="str">
        <f>VLOOKUP(K344,'PN Dictionary'!A:B,2,FALSE)</f>
        <v>Cable Cartridge</v>
      </c>
      <c r="K344" s="26" t="s">
        <v>6</v>
      </c>
      <c r="L344" s="44">
        <v>2024425880562</v>
      </c>
      <c r="M344" s="26"/>
      <c r="N344" s="26" t="s">
        <v>53</v>
      </c>
      <c r="O344" s="26" t="s">
        <v>728</v>
      </c>
      <c r="P344" s="26">
        <v>1519</v>
      </c>
      <c r="Q344" s="26" t="s">
        <v>55</v>
      </c>
    </row>
    <row r="345" spans="1:17" hidden="1" x14ac:dyDescent="0.3">
      <c r="A345" s="26" t="s">
        <v>3240</v>
      </c>
      <c r="B345" s="26" t="s">
        <v>3241</v>
      </c>
      <c r="C345" s="26" t="s">
        <v>50</v>
      </c>
      <c r="D345" s="26" t="s">
        <v>1563</v>
      </c>
      <c r="E345" s="26" t="s">
        <v>117</v>
      </c>
      <c r="G345" s="26" t="s">
        <v>1679</v>
      </c>
      <c r="H345" s="26" t="s">
        <v>39</v>
      </c>
      <c r="I345" s="26" t="s">
        <v>3242</v>
      </c>
      <c r="J345" s="11" t="str">
        <f>VLOOKUP(K345,'PN Dictionary'!A:B,2,FALSE)</f>
        <v>GB300 L10</v>
      </c>
      <c r="K345" s="11" t="s">
        <v>36</v>
      </c>
      <c r="L345" s="26" t="s">
        <v>3243</v>
      </c>
      <c r="M345" s="44" t="s">
        <v>3175</v>
      </c>
      <c r="N345" s="26" t="s">
        <v>53</v>
      </c>
      <c r="O345" s="26" t="s">
        <v>728</v>
      </c>
      <c r="P345" s="26">
        <v>718</v>
      </c>
      <c r="Q345" s="26" t="s">
        <v>55</v>
      </c>
    </row>
    <row r="346" spans="1:17" hidden="1" x14ac:dyDescent="0.3">
      <c r="A346" s="26" t="s">
        <v>3244</v>
      </c>
      <c r="B346" s="26" t="s">
        <v>3241</v>
      </c>
      <c r="C346" s="26" t="s">
        <v>50</v>
      </c>
      <c r="D346" s="26" t="s">
        <v>1563</v>
      </c>
      <c r="E346" s="26" t="s">
        <v>117</v>
      </c>
      <c r="G346" s="26" t="s">
        <v>1679</v>
      </c>
      <c r="H346" s="26" t="s">
        <v>39</v>
      </c>
      <c r="I346" s="26" t="s">
        <v>3242</v>
      </c>
      <c r="J346" s="11" t="str">
        <f>VLOOKUP(K346,'PN Dictionary'!A:B,2,FALSE)</f>
        <v>GB300 L10</v>
      </c>
      <c r="K346" s="11" t="s">
        <v>36</v>
      </c>
      <c r="L346" s="26" t="s">
        <v>3245</v>
      </c>
      <c r="M346" s="44" t="s">
        <v>3246</v>
      </c>
      <c r="N346" s="26" t="s">
        <v>53</v>
      </c>
      <c r="O346" s="26" t="s">
        <v>728</v>
      </c>
      <c r="P346" s="26">
        <v>718</v>
      </c>
      <c r="Q346" s="26" t="s">
        <v>55</v>
      </c>
    </row>
    <row r="347" spans="1:17" hidden="1" x14ac:dyDescent="0.3">
      <c r="A347" s="26" t="s">
        <v>1721</v>
      </c>
      <c r="B347" s="26" t="s">
        <v>1736</v>
      </c>
      <c r="C347" s="26" t="s">
        <v>50</v>
      </c>
      <c r="D347" s="26" t="s">
        <v>1654</v>
      </c>
      <c r="E347" s="26" t="s">
        <v>128</v>
      </c>
      <c r="G347" s="26" t="s">
        <v>1679</v>
      </c>
      <c r="H347" s="26" t="s">
        <v>39</v>
      </c>
      <c r="I347" s="26" t="s">
        <v>1737</v>
      </c>
      <c r="J347" s="11" t="str">
        <f>VLOOKUP(K347,'PN Dictionary'!A:B,2,FALSE)</f>
        <v>Cable Cartridge</v>
      </c>
      <c r="K347" s="26" t="s">
        <v>6</v>
      </c>
      <c r="L347" s="44">
        <v>2023625351208</v>
      </c>
      <c r="M347" s="26"/>
      <c r="N347" s="26" t="s">
        <v>53</v>
      </c>
      <c r="O347" s="26" t="s">
        <v>728</v>
      </c>
      <c r="P347" s="26">
        <v>90066</v>
      </c>
      <c r="Q347" s="26" t="s">
        <v>55</v>
      </c>
    </row>
    <row r="348" spans="1:17" hidden="1" x14ac:dyDescent="0.3">
      <c r="A348" s="26" t="s">
        <v>1722</v>
      </c>
      <c r="B348" s="26" t="s">
        <v>1723</v>
      </c>
      <c r="C348" s="26" t="s">
        <v>50</v>
      </c>
      <c r="D348" s="26" t="s">
        <v>1563</v>
      </c>
      <c r="E348" s="26" t="s">
        <v>52</v>
      </c>
      <c r="G348" s="26" t="s">
        <v>1679</v>
      </c>
      <c r="H348" s="26" t="s">
        <v>39</v>
      </c>
      <c r="I348" s="26" t="s">
        <v>1733</v>
      </c>
      <c r="J348" s="11" t="str">
        <f>VLOOKUP(K348,'PN Dictionary'!A:B,2,FALSE)</f>
        <v>GB300 L10</v>
      </c>
      <c r="K348" s="26" t="s">
        <v>36</v>
      </c>
      <c r="L348" s="44" t="s">
        <v>1732</v>
      </c>
      <c r="M348" s="26" t="s">
        <v>1724</v>
      </c>
      <c r="N348" s="26" t="s">
        <v>53</v>
      </c>
      <c r="O348" s="26" t="s">
        <v>728</v>
      </c>
      <c r="P348" s="26">
        <v>718</v>
      </c>
      <c r="Q348" s="26" t="s">
        <v>55</v>
      </c>
    </row>
    <row r="349" spans="1:17" hidden="1" x14ac:dyDescent="0.3">
      <c r="A349" s="26" t="s">
        <v>1738</v>
      </c>
      <c r="B349" s="26" t="s">
        <v>1739</v>
      </c>
      <c r="C349" s="26" t="s">
        <v>50</v>
      </c>
      <c r="D349" s="26" t="s">
        <v>1740</v>
      </c>
      <c r="E349" s="26" t="s">
        <v>322</v>
      </c>
      <c r="G349" s="26" t="s">
        <v>1679</v>
      </c>
      <c r="H349" s="26" t="s">
        <v>39</v>
      </c>
      <c r="I349" s="26" t="s">
        <v>1741</v>
      </c>
      <c r="J349" s="11" t="str">
        <f>VLOOKUP(K349,'PN Dictionary'!A:B,2,FALSE)</f>
        <v>GB300 L10</v>
      </c>
      <c r="K349" s="26" t="s">
        <v>36</v>
      </c>
      <c r="L349" s="44" t="s">
        <v>1778</v>
      </c>
      <c r="M349" s="26" t="s">
        <v>1742</v>
      </c>
      <c r="N349" s="26" t="s">
        <v>53</v>
      </c>
      <c r="O349" s="26" t="s">
        <v>728</v>
      </c>
      <c r="P349" s="26">
        <v>924</v>
      </c>
      <c r="Q349" s="26" t="s">
        <v>55</v>
      </c>
    </row>
    <row r="350" spans="1:17" hidden="1" x14ac:dyDescent="0.3">
      <c r="A350" s="26" t="s">
        <v>1743</v>
      </c>
      <c r="B350" s="26" t="s">
        <v>1744</v>
      </c>
      <c r="C350" s="26" t="s">
        <v>50</v>
      </c>
      <c r="D350" s="26" t="s">
        <v>1745</v>
      </c>
      <c r="E350" s="26" t="s">
        <v>52</v>
      </c>
      <c r="G350" s="26" t="s">
        <v>1679</v>
      </c>
      <c r="H350" s="26" t="s">
        <v>39</v>
      </c>
      <c r="I350" s="26" t="s">
        <v>1746</v>
      </c>
      <c r="J350" s="11" t="str">
        <f>VLOOKUP(K350,'PN Dictionary'!A:B,2,FALSE)</f>
        <v>GB300 L10</v>
      </c>
      <c r="K350" s="26" t="s">
        <v>36</v>
      </c>
      <c r="L350" s="44" t="s">
        <v>1779</v>
      </c>
      <c r="M350" s="26" t="s">
        <v>1747</v>
      </c>
      <c r="N350" s="26" t="s">
        <v>53</v>
      </c>
      <c r="O350" s="26" t="s">
        <v>728</v>
      </c>
      <c r="P350" s="26">
        <v>924</v>
      </c>
      <c r="Q350" s="26" t="s">
        <v>55</v>
      </c>
    </row>
    <row r="351" spans="1:17" hidden="1" x14ac:dyDescent="0.3">
      <c r="A351" s="26" t="s">
        <v>1748</v>
      </c>
      <c r="B351" s="26" t="s">
        <v>1749</v>
      </c>
      <c r="C351" s="26" t="s">
        <v>50</v>
      </c>
      <c r="D351" s="26" t="s">
        <v>1750</v>
      </c>
      <c r="E351" s="26" t="s">
        <v>270</v>
      </c>
      <c r="G351" s="26" t="s">
        <v>1679</v>
      </c>
      <c r="H351" s="26" t="s">
        <v>39</v>
      </c>
      <c r="I351" s="26" t="s">
        <v>1751</v>
      </c>
      <c r="J351" s="11" t="str">
        <f>VLOOKUP(K351,'PN Dictionary'!A:B,2,FALSE)</f>
        <v>Delta Power Shelf Left Input</v>
      </c>
      <c r="K351" s="26" t="s">
        <v>10</v>
      </c>
      <c r="L351" s="44" t="s">
        <v>1752</v>
      </c>
      <c r="M351" s="26" t="s">
        <v>1073</v>
      </c>
      <c r="N351" s="26" t="s">
        <v>53</v>
      </c>
      <c r="O351" s="26" t="s">
        <v>728</v>
      </c>
      <c r="P351" s="26">
        <v>90066</v>
      </c>
      <c r="Q351" s="26" t="s">
        <v>55</v>
      </c>
    </row>
    <row r="352" spans="1:17" hidden="1" x14ac:dyDescent="0.3">
      <c r="A352" s="26" t="s">
        <v>1753</v>
      </c>
      <c r="B352" s="26" t="s">
        <v>1754</v>
      </c>
      <c r="C352" s="26" t="s">
        <v>50</v>
      </c>
      <c r="D352" s="26" t="s">
        <v>1745</v>
      </c>
      <c r="E352" s="26" t="s">
        <v>81</v>
      </c>
      <c r="G352" s="26" t="s">
        <v>1679</v>
      </c>
      <c r="H352" s="26" t="s">
        <v>39</v>
      </c>
      <c r="I352" s="26" t="s">
        <v>1755</v>
      </c>
      <c r="J352" s="11" t="str">
        <f>VLOOKUP(K352,'PN Dictionary'!A:B,2,FALSE)</f>
        <v>GB300 L10</v>
      </c>
      <c r="K352" s="26" t="s">
        <v>36</v>
      </c>
      <c r="L352" s="44" t="s">
        <v>1780</v>
      </c>
      <c r="M352" s="26" t="s">
        <v>1756</v>
      </c>
      <c r="N352" s="26" t="s">
        <v>53</v>
      </c>
      <c r="O352" s="26" t="s">
        <v>728</v>
      </c>
      <c r="P352" s="26">
        <v>924</v>
      </c>
      <c r="Q352" s="26" t="s">
        <v>55</v>
      </c>
    </row>
    <row r="353" spans="1:17" hidden="1" x14ac:dyDescent="0.3">
      <c r="A353" s="26" t="s">
        <v>1757</v>
      </c>
      <c r="B353" s="26" t="s">
        <v>1758</v>
      </c>
      <c r="C353" s="26" t="s">
        <v>50</v>
      </c>
      <c r="D353" s="26" t="s">
        <v>1563</v>
      </c>
      <c r="E353" s="26" t="s">
        <v>52</v>
      </c>
      <c r="G353" s="26" t="s">
        <v>1759</v>
      </c>
      <c r="H353" s="26" t="s">
        <v>39</v>
      </c>
      <c r="I353" s="26" t="s">
        <v>1572</v>
      </c>
      <c r="J353" s="11" t="str">
        <f>VLOOKUP(K353,'PN Dictionary'!A:B,2,FALSE)</f>
        <v>GB300 L10</v>
      </c>
      <c r="K353" s="26" t="s">
        <v>36</v>
      </c>
      <c r="L353" s="44" t="s">
        <v>1781</v>
      </c>
      <c r="M353" s="26" t="s">
        <v>1760</v>
      </c>
      <c r="N353" s="26" t="s">
        <v>53</v>
      </c>
      <c r="O353" s="26" t="s">
        <v>728</v>
      </c>
      <c r="P353" s="26">
        <v>718</v>
      </c>
      <c r="Q353" s="26" t="s">
        <v>55</v>
      </c>
    </row>
    <row r="354" spans="1:17" hidden="1" x14ac:dyDescent="0.3">
      <c r="A354" s="26" t="s">
        <v>1857</v>
      </c>
      <c r="B354" s="26" t="s">
        <v>1937</v>
      </c>
      <c r="C354" s="26" t="s">
        <v>1309</v>
      </c>
      <c r="D354" s="26" t="s">
        <v>1761</v>
      </c>
      <c r="E354" s="26" t="s">
        <v>128</v>
      </c>
      <c r="G354" s="26" t="s">
        <v>1759</v>
      </c>
      <c r="H354" s="26" t="s">
        <v>39</v>
      </c>
      <c r="I354" s="26" t="s">
        <v>1762</v>
      </c>
      <c r="J354" s="11" t="str">
        <f>VLOOKUP(K354,'PN Dictionary'!A:B,2,FALSE)</f>
        <v>Cable Cartridge</v>
      </c>
      <c r="K354" s="26" t="s">
        <v>6</v>
      </c>
      <c r="L354" s="44">
        <v>1823325350931</v>
      </c>
      <c r="M354" s="26"/>
      <c r="N354" s="26" t="s">
        <v>53</v>
      </c>
      <c r="O354" s="26" t="s">
        <v>728</v>
      </c>
      <c r="P354" s="26">
        <v>1237</v>
      </c>
      <c r="Q354" s="26" t="s">
        <v>55</v>
      </c>
    </row>
    <row r="355" spans="1:17" hidden="1" x14ac:dyDescent="0.3">
      <c r="A355" s="26" t="s">
        <v>1763</v>
      </c>
      <c r="B355" s="26" t="s">
        <v>1764</v>
      </c>
      <c r="C355" s="26" t="s">
        <v>50</v>
      </c>
      <c r="D355" s="26" t="s">
        <v>1765</v>
      </c>
      <c r="E355" s="26" t="s">
        <v>52</v>
      </c>
      <c r="G355" s="26" t="s">
        <v>1759</v>
      </c>
      <c r="H355" s="26" t="s">
        <v>39</v>
      </c>
      <c r="I355" s="26" t="s">
        <v>1766</v>
      </c>
      <c r="J355" s="11" t="str">
        <f>VLOOKUP(K355,'PN Dictionary'!A:B,2,FALSE)</f>
        <v>GB300 L10</v>
      </c>
      <c r="K355" s="26" t="s">
        <v>36</v>
      </c>
      <c r="L355" s="44" t="s">
        <v>1782</v>
      </c>
      <c r="M355" s="26" t="s">
        <v>1767</v>
      </c>
      <c r="N355" s="26" t="s">
        <v>53</v>
      </c>
      <c r="O355" s="26" t="s">
        <v>728</v>
      </c>
      <c r="P355" s="26">
        <v>718</v>
      </c>
      <c r="Q355" s="26" t="s">
        <v>55</v>
      </c>
    </row>
    <row r="356" spans="1:17" hidden="1" x14ac:dyDescent="0.3">
      <c r="A356" s="26" t="s">
        <v>1768</v>
      </c>
      <c r="B356" s="26" t="s">
        <v>1769</v>
      </c>
      <c r="C356" s="26" t="s">
        <v>50</v>
      </c>
      <c r="D356" s="26" t="s">
        <v>1563</v>
      </c>
      <c r="E356" s="26" t="s">
        <v>52</v>
      </c>
      <c r="G356" s="26" t="s">
        <v>1759</v>
      </c>
      <c r="H356" s="26" t="s">
        <v>39</v>
      </c>
      <c r="I356" s="26" t="s">
        <v>1766</v>
      </c>
      <c r="J356" s="11" t="str">
        <f>VLOOKUP(K356,'PN Dictionary'!A:B,2,FALSE)</f>
        <v>GB300 L10</v>
      </c>
      <c r="K356" s="26" t="s">
        <v>36</v>
      </c>
      <c r="L356" s="44" t="s">
        <v>1783</v>
      </c>
      <c r="M356" s="26" t="s">
        <v>1770</v>
      </c>
      <c r="N356" s="26" t="s">
        <v>53</v>
      </c>
      <c r="O356" s="26" t="s">
        <v>728</v>
      </c>
      <c r="P356" s="26">
        <v>718</v>
      </c>
      <c r="Q356" s="26" t="s">
        <v>55</v>
      </c>
    </row>
    <row r="357" spans="1:17" hidden="1" x14ac:dyDescent="0.3">
      <c r="A357" s="26" t="s">
        <v>1771</v>
      </c>
      <c r="B357" s="26" t="s">
        <v>1772</v>
      </c>
      <c r="C357" s="26" t="s">
        <v>50</v>
      </c>
      <c r="D357" s="26" t="s">
        <v>1563</v>
      </c>
      <c r="E357" s="26" t="s">
        <v>230</v>
      </c>
      <c r="G357" s="26" t="s">
        <v>1759</v>
      </c>
      <c r="H357" s="26" t="s">
        <v>39</v>
      </c>
      <c r="I357" s="26" t="s">
        <v>1709</v>
      </c>
      <c r="J357" s="11" t="str">
        <f>VLOOKUP(K357,'PN Dictionary'!A:B,2,FALSE)</f>
        <v>NVSwitch</v>
      </c>
      <c r="K357" s="26" t="s">
        <v>7</v>
      </c>
      <c r="L357" s="44" t="s">
        <v>1773</v>
      </c>
      <c r="M357" s="26" t="s">
        <v>1774</v>
      </c>
      <c r="N357" s="26" t="s">
        <v>53</v>
      </c>
      <c r="O357" s="26" t="s">
        <v>728</v>
      </c>
      <c r="P357" s="26">
        <v>718</v>
      </c>
      <c r="Q357" s="26" t="s">
        <v>55</v>
      </c>
    </row>
    <row r="358" spans="1:17" hidden="1" x14ac:dyDescent="0.3">
      <c r="A358" s="26" t="s">
        <v>1775</v>
      </c>
      <c r="B358" s="26" t="s">
        <v>1776</v>
      </c>
      <c r="C358" s="26" t="s">
        <v>50</v>
      </c>
      <c r="D358" s="26" t="s">
        <v>1765</v>
      </c>
      <c r="E358" s="26" t="s">
        <v>52</v>
      </c>
      <c r="G358" s="26" t="s">
        <v>1759</v>
      </c>
      <c r="H358" s="26" t="s">
        <v>39</v>
      </c>
      <c r="I358" s="26" t="s">
        <v>1766</v>
      </c>
      <c r="J358" s="11" t="str">
        <f>VLOOKUP(K358,'PN Dictionary'!A:B,2,FALSE)</f>
        <v>GB300 L10</v>
      </c>
      <c r="K358" s="26" t="s">
        <v>36</v>
      </c>
      <c r="L358" s="44" t="s">
        <v>1784</v>
      </c>
      <c r="M358" s="26" t="s">
        <v>1777</v>
      </c>
      <c r="N358" s="26" t="s">
        <v>53</v>
      </c>
      <c r="O358" s="26" t="s">
        <v>728</v>
      </c>
      <c r="P358" s="26">
        <v>718</v>
      </c>
      <c r="Q358" s="26" t="s">
        <v>55</v>
      </c>
    </row>
    <row r="359" spans="1:17" hidden="1" x14ac:dyDescent="0.3">
      <c r="A359" s="26" t="s">
        <v>1785</v>
      </c>
      <c r="B359" s="26" t="s">
        <v>1786</v>
      </c>
      <c r="C359" s="26" t="s">
        <v>50</v>
      </c>
      <c r="D359" s="26" t="s">
        <v>1787</v>
      </c>
      <c r="E359" s="26" t="s">
        <v>411</v>
      </c>
      <c r="G359" s="26" t="s">
        <v>1759</v>
      </c>
      <c r="H359" s="26" t="s">
        <v>39</v>
      </c>
      <c r="I359" s="26" t="s">
        <v>1788</v>
      </c>
      <c r="J359" s="11" t="str">
        <f>VLOOKUP(K359,'PN Dictionary'!A:B,2,FALSE)</f>
        <v>NVSwitch</v>
      </c>
      <c r="K359" s="26" t="s">
        <v>7</v>
      </c>
      <c r="L359" s="44" t="s">
        <v>1789</v>
      </c>
      <c r="M359" s="26" t="s">
        <v>1790</v>
      </c>
      <c r="N359" s="26" t="s">
        <v>53</v>
      </c>
      <c r="O359" s="26" t="s">
        <v>728</v>
      </c>
      <c r="P359" s="26">
        <v>90066</v>
      </c>
      <c r="Q359" s="26" t="s">
        <v>55</v>
      </c>
    </row>
    <row r="360" spans="1:17" hidden="1" x14ac:dyDescent="0.3">
      <c r="A360" s="26" t="s">
        <v>1791</v>
      </c>
      <c r="B360" s="26" t="s">
        <v>1792</v>
      </c>
      <c r="C360" s="26" t="s">
        <v>50</v>
      </c>
      <c r="D360" s="26" t="s">
        <v>1793</v>
      </c>
      <c r="E360" s="26" t="s">
        <v>322</v>
      </c>
      <c r="G360" s="26" t="s">
        <v>1759</v>
      </c>
      <c r="H360" s="26" t="s">
        <v>39</v>
      </c>
      <c r="I360" s="26" t="s">
        <v>1794</v>
      </c>
      <c r="J360" s="11" t="str">
        <f>VLOOKUP(K360,'PN Dictionary'!A:B,2,FALSE)</f>
        <v>GB300 L10</v>
      </c>
      <c r="K360" s="26" t="s">
        <v>36</v>
      </c>
      <c r="L360" s="44" t="s">
        <v>1854</v>
      </c>
      <c r="M360" s="26" t="s">
        <v>1795</v>
      </c>
      <c r="N360" s="26" t="s">
        <v>53</v>
      </c>
      <c r="O360" s="26" t="s">
        <v>728</v>
      </c>
      <c r="P360" s="26">
        <v>924</v>
      </c>
      <c r="Q360" s="26" t="s">
        <v>55</v>
      </c>
    </row>
    <row r="361" spans="1:17" hidden="1" x14ac:dyDescent="0.3">
      <c r="A361" s="26" t="s">
        <v>1797</v>
      </c>
      <c r="B361" s="26" t="s">
        <v>1798</v>
      </c>
      <c r="C361" s="26" t="s">
        <v>50</v>
      </c>
      <c r="D361" s="26" t="s">
        <v>1799</v>
      </c>
      <c r="E361" s="26" t="s">
        <v>128</v>
      </c>
      <c r="G361" s="26" t="s">
        <v>1759</v>
      </c>
      <c r="H361" s="26" t="s">
        <v>39</v>
      </c>
      <c r="I361" s="26" t="s">
        <v>1800</v>
      </c>
      <c r="J361" s="11" t="str">
        <f>VLOOKUP(K361,'PN Dictionary'!A:B,2,FALSE)</f>
        <v>Cable Cartridge</v>
      </c>
      <c r="K361" s="26" t="s">
        <v>6</v>
      </c>
      <c r="L361" s="44">
        <v>1824025354212</v>
      </c>
      <c r="M361" s="26">
        <v>1822825356742</v>
      </c>
      <c r="N361" s="26" t="s">
        <v>53</v>
      </c>
      <c r="O361" s="26" t="s">
        <v>728</v>
      </c>
      <c r="P361" s="26">
        <v>90066</v>
      </c>
      <c r="Q361" s="26" t="s">
        <v>55</v>
      </c>
    </row>
    <row r="362" spans="1:17" hidden="1" x14ac:dyDescent="0.3">
      <c r="A362" s="26" t="s">
        <v>1801</v>
      </c>
      <c r="B362" s="26" t="s">
        <v>1802</v>
      </c>
      <c r="C362" s="26" t="s">
        <v>50</v>
      </c>
      <c r="D362" s="26" t="s">
        <v>1803</v>
      </c>
      <c r="E362" s="26" t="s">
        <v>128</v>
      </c>
      <c r="G362" s="26" t="s">
        <v>1759</v>
      </c>
      <c r="H362" s="26" t="s">
        <v>39</v>
      </c>
      <c r="I362" s="26" t="s">
        <v>205</v>
      </c>
      <c r="J362" s="11" t="str">
        <f>VLOOKUP(K362,'PN Dictionary'!A:B,2,FALSE)</f>
        <v>Cable Cartridge</v>
      </c>
      <c r="K362" s="26" t="s">
        <v>6</v>
      </c>
      <c r="L362" s="44">
        <v>1824025354687</v>
      </c>
      <c r="M362" s="26">
        <v>1823425355725</v>
      </c>
      <c r="N362" s="26" t="s">
        <v>53</v>
      </c>
      <c r="O362" s="26" t="s">
        <v>728</v>
      </c>
      <c r="P362" s="26">
        <v>3908</v>
      </c>
      <c r="Q362" s="26" t="s">
        <v>55</v>
      </c>
    </row>
    <row r="363" spans="1:17" hidden="1" x14ac:dyDescent="0.3">
      <c r="A363" s="26" t="s">
        <v>1804</v>
      </c>
      <c r="B363" s="26" t="s">
        <v>1805</v>
      </c>
      <c r="C363" s="26" t="s">
        <v>50</v>
      </c>
      <c r="D363" s="26" t="s">
        <v>1194</v>
      </c>
      <c r="E363" s="26" t="s">
        <v>128</v>
      </c>
      <c r="G363" s="26" t="s">
        <v>1759</v>
      </c>
      <c r="H363" s="26" t="s">
        <v>39</v>
      </c>
      <c r="I363" s="26" t="s">
        <v>205</v>
      </c>
      <c r="J363" s="11" t="str">
        <f>VLOOKUP(K363,'PN Dictionary'!A:B,2,FALSE)</f>
        <v>Cable Cartridge</v>
      </c>
      <c r="K363" s="26" t="s">
        <v>6</v>
      </c>
      <c r="L363" s="44">
        <v>2024125351477</v>
      </c>
      <c r="M363" s="26">
        <v>2023825882555</v>
      </c>
      <c r="N363" s="26" t="s">
        <v>53</v>
      </c>
      <c r="O363" s="26" t="s">
        <v>728</v>
      </c>
      <c r="P363" s="26">
        <v>3908</v>
      </c>
      <c r="Q363" s="26" t="s">
        <v>55</v>
      </c>
    </row>
    <row r="364" spans="1:17" hidden="1" x14ac:dyDescent="0.3">
      <c r="A364" s="26" t="s">
        <v>1806</v>
      </c>
      <c r="B364" s="26" t="s">
        <v>1807</v>
      </c>
      <c r="C364" s="26" t="s">
        <v>50</v>
      </c>
      <c r="D364" s="26" t="s">
        <v>1808</v>
      </c>
      <c r="E364" s="26" t="s">
        <v>242</v>
      </c>
      <c r="G364" s="26" t="s">
        <v>1759</v>
      </c>
      <c r="H364" s="26" t="s">
        <v>39</v>
      </c>
      <c r="I364" s="26" t="s">
        <v>1809</v>
      </c>
      <c r="J364" s="11" t="str">
        <f>VLOOKUP(K364,'PN Dictionary'!A:B,2,FALSE)</f>
        <v>Delta power shelf right input</v>
      </c>
      <c r="K364" s="26" t="s">
        <v>353</v>
      </c>
      <c r="L364" s="44" t="s">
        <v>1810</v>
      </c>
      <c r="M364" s="26" t="s">
        <v>1811</v>
      </c>
      <c r="N364" s="26" t="s">
        <v>53</v>
      </c>
      <c r="O364" s="26" t="s">
        <v>728</v>
      </c>
      <c r="P364" s="26">
        <v>90066</v>
      </c>
      <c r="Q364" s="26" t="s">
        <v>55</v>
      </c>
    </row>
    <row r="365" spans="1:17" hidden="1" x14ac:dyDescent="0.3">
      <c r="A365" s="26" t="s">
        <v>1812</v>
      </c>
      <c r="B365" s="26" t="s">
        <v>1813</v>
      </c>
      <c r="C365" s="26" t="s">
        <v>50</v>
      </c>
      <c r="D365" s="26" t="s">
        <v>1799</v>
      </c>
      <c r="E365" s="26" t="s">
        <v>633</v>
      </c>
      <c r="G365" s="26" t="s">
        <v>1759</v>
      </c>
      <c r="H365" s="26" t="s">
        <v>39</v>
      </c>
      <c r="I365" s="26" t="s">
        <v>1814</v>
      </c>
      <c r="J365" s="11" t="str">
        <f>VLOOKUP(K365,'PN Dictionary'!A:B,2,FALSE)</f>
        <v>GB300 L10</v>
      </c>
      <c r="K365" s="26" t="s">
        <v>36</v>
      </c>
      <c r="L365" s="44" t="s">
        <v>1815</v>
      </c>
      <c r="M365" s="26" t="s">
        <v>1816</v>
      </c>
      <c r="N365" s="26" t="s">
        <v>53</v>
      </c>
      <c r="O365" s="26" t="s">
        <v>728</v>
      </c>
      <c r="P365" s="26">
        <v>90066</v>
      </c>
      <c r="Q365" s="26" t="s">
        <v>55</v>
      </c>
    </row>
    <row r="366" spans="1:17" hidden="1" x14ac:dyDescent="0.3">
      <c r="A366" s="26" t="s">
        <v>1817</v>
      </c>
      <c r="B366" s="26" t="s">
        <v>1818</v>
      </c>
      <c r="C366" s="26" t="s">
        <v>1309</v>
      </c>
      <c r="D366" s="26" t="s">
        <v>1819</v>
      </c>
      <c r="E366" s="26" t="s">
        <v>128</v>
      </c>
      <c r="G366" s="26" t="s">
        <v>1820</v>
      </c>
      <c r="H366" s="26" t="s">
        <v>39</v>
      </c>
      <c r="I366" s="26" t="s">
        <v>1821</v>
      </c>
      <c r="J366" s="11" t="str">
        <f>VLOOKUP(K366,'PN Dictionary'!A:B,2,FALSE)</f>
        <v>Cable Cartridge</v>
      </c>
      <c r="K366" s="26" t="s">
        <v>6</v>
      </c>
      <c r="L366" s="44">
        <v>1824025354260</v>
      </c>
      <c r="M366" s="26">
        <v>1822825356651</v>
      </c>
      <c r="N366" s="26" t="s">
        <v>53</v>
      </c>
      <c r="O366" s="26" t="s">
        <v>728</v>
      </c>
      <c r="P366" s="26">
        <v>90066</v>
      </c>
      <c r="Q366" s="26" t="s">
        <v>55</v>
      </c>
    </row>
    <row r="367" spans="1:17" hidden="1" x14ac:dyDescent="0.3">
      <c r="A367" s="26" t="s">
        <v>1822</v>
      </c>
      <c r="B367" s="26" t="s">
        <v>1823</v>
      </c>
      <c r="C367" s="26" t="s">
        <v>1309</v>
      </c>
      <c r="D367" s="26" t="s">
        <v>1824</v>
      </c>
      <c r="E367" s="26" t="s">
        <v>230</v>
      </c>
      <c r="G367" s="26" t="s">
        <v>1820</v>
      </c>
      <c r="H367" s="26" t="s">
        <v>39</v>
      </c>
      <c r="I367" s="26" t="s">
        <v>1825</v>
      </c>
      <c r="J367" s="11" t="str">
        <f>VLOOKUP(K367,'PN Dictionary'!A:B,2,FALSE)</f>
        <v>NVSwitch</v>
      </c>
      <c r="K367" s="26" t="s">
        <v>7</v>
      </c>
      <c r="L367" s="44" t="s">
        <v>1826</v>
      </c>
      <c r="M367" s="26" t="s">
        <v>1827</v>
      </c>
      <c r="N367" s="26" t="s">
        <v>53</v>
      </c>
      <c r="O367" s="26" t="s">
        <v>728</v>
      </c>
      <c r="P367" s="26">
        <v>718</v>
      </c>
      <c r="Q367" s="26" t="s">
        <v>55</v>
      </c>
    </row>
    <row r="368" spans="1:17" hidden="1" x14ac:dyDescent="0.3">
      <c r="A368" s="26" t="s">
        <v>1828</v>
      </c>
      <c r="B368" s="26" t="s">
        <v>1829</v>
      </c>
      <c r="C368" s="26" t="s">
        <v>50</v>
      </c>
      <c r="D368" s="26" t="s">
        <v>1830</v>
      </c>
      <c r="E368" s="26" t="s">
        <v>242</v>
      </c>
      <c r="G368" s="26" t="s">
        <v>1820</v>
      </c>
      <c r="H368" s="26" t="s">
        <v>39</v>
      </c>
      <c r="I368" s="26" t="s">
        <v>1831</v>
      </c>
      <c r="J368" s="11" t="str">
        <f>VLOOKUP(K368,'PN Dictionary'!A:B,2,FALSE)</f>
        <v>Delta power shelf right input</v>
      </c>
      <c r="K368" s="26" t="s">
        <v>353</v>
      </c>
      <c r="L368" s="44" t="s">
        <v>1832</v>
      </c>
      <c r="M368" s="26" t="s">
        <v>1833</v>
      </c>
      <c r="N368" s="26" t="s">
        <v>53</v>
      </c>
      <c r="O368" s="26" t="s">
        <v>728</v>
      </c>
      <c r="P368" s="26">
        <v>640</v>
      </c>
      <c r="Q368" s="26" t="s">
        <v>55</v>
      </c>
    </row>
    <row r="369" spans="1:17" hidden="1" x14ac:dyDescent="0.3">
      <c r="A369" s="26" t="s">
        <v>1834</v>
      </c>
      <c r="B369" s="26" t="s">
        <v>1835</v>
      </c>
      <c r="C369" s="26" t="s">
        <v>50</v>
      </c>
      <c r="D369" s="26" t="s">
        <v>1803</v>
      </c>
      <c r="E369" s="26" t="s">
        <v>230</v>
      </c>
      <c r="G369" s="26" t="s">
        <v>1820</v>
      </c>
      <c r="H369" s="26" t="s">
        <v>39</v>
      </c>
      <c r="I369" s="26" t="s">
        <v>1836</v>
      </c>
      <c r="J369" s="11" t="str">
        <f>VLOOKUP(K369,'PN Dictionary'!A:B,2,FALSE)</f>
        <v>NVSwitch</v>
      </c>
      <c r="K369" s="26" t="s">
        <v>7</v>
      </c>
      <c r="L369" s="44" t="s">
        <v>1837</v>
      </c>
      <c r="M369" s="26" t="s">
        <v>1838</v>
      </c>
      <c r="N369" s="26" t="s">
        <v>53</v>
      </c>
      <c r="O369" s="26" t="s">
        <v>728</v>
      </c>
      <c r="P369" s="26">
        <v>718</v>
      </c>
      <c r="Q369" s="26" t="s">
        <v>55</v>
      </c>
    </row>
    <row r="370" spans="1:17" hidden="1" x14ac:dyDescent="0.3">
      <c r="A370" s="26" t="s">
        <v>1839</v>
      </c>
      <c r="B370" s="26" t="s">
        <v>1840</v>
      </c>
      <c r="C370" s="26" t="s">
        <v>50</v>
      </c>
      <c r="D370" s="26" t="s">
        <v>1841</v>
      </c>
      <c r="E370" s="26" t="s">
        <v>242</v>
      </c>
      <c r="G370" s="26" t="s">
        <v>1820</v>
      </c>
      <c r="H370" s="26" t="s">
        <v>39</v>
      </c>
      <c r="I370" s="26" t="s">
        <v>1831</v>
      </c>
      <c r="J370" s="11" t="str">
        <f>VLOOKUP(K370,'PN Dictionary'!A:B,2,FALSE)</f>
        <v>Delta power shelf right input</v>
      </c>
      <c r="K370" s="26" t="s">
        <v>353</v>
      </c>
      <c r="L370" s="44" t="s">
        <v>1842</v>
      </c>
      <c r="M370" s="26" t="s">
        <v>1843</v>
      </c>
      <c r="N370" s="26" t="s">
        <v>53</v>
      </c>
      <c r="O370" s="26" t="s">
        <v>728</v>
      </c>
      <c r="P370" s="26">
        <v>640</v>
      </c>
      <c r="Q370" s="26" t="s">
        <v>55</v>
      </c>
    </row>
    <row r="371" spans="1:17" hidden="1" x14ac:dyDescent="0.3">
      <c r="A371" s="26" t="s">
        <v>1844</v>
      </c>
      <c r="B371" s="26" t="s">
        <v>1845</v>
      </c>
      <c r="C371" s="26" t="s">
        <v>50</v>
      </c>
      <c r="D371" s="26" t="s">
        <v>1675</v>
      </c>
      <c r="E371" s="26" t="s">
        <v>128</v>
      </c>
      <c r="G371" s="26" t="s">
        <v>1820</v>
      </c>
      <c r="H371" s="26" t="s">
        <v>39</v>
      </c>
      <c r="I371" s="26" t="s">
        <v>205</v>
      </c>
      <c r="J371" s="11" t="str">
        <f>VLOOKUP(K371,'PN Dictionary'!A:B,2,FALSE)</f>
        <v>Cable Cartridge</v>
      </c>
      <c r="K371" s="26" t="s">
        <v>6</v>
      </c>
      <c r="L371" s="44">
        <v>1823325354736</v>
      </c>
      <c r="M371" s="26">
        <v>2023625351048</v>
      </c>
      <c r="N371" s="26" t="s">
        <v>53</v>
      </c>
      <c r="O371" s="26" t="s">
        <v>728</v>
      </c>
      <c r="P371" s="26">
        <v>640</v>
      </c>
      <c r="Q371" s="26" t="s">
        <v>55</v>
      </c>
    </row>
    <row r="372" spans="1:17" hidden="1" x14ac:dyDescent="0.3">
      <c r="A372" s="26" t="s">
        <v>1846</v>
      </c>
      <c r="B372" s="26" t="s">
        <v>1847</v>
      </c>
      <c r="C372" s="26" t="s">
        <v>50</v>
      </c>
      <c r="D372" s="26" t="s">
        <v>1848</v>
      </c>
      <c r="E372" s="26" t="s">
        <v>322</v>
      </c>
      <c r="G372" s="26" t="s">
        <v>1849</v>
      </c>
      <c r="H372" s="26" t="s">
        <v>39</v>
      </c>
      <c r="I372" s="26" t="s">
        <v>323</v>
      </c>
      <c r="J372" s="11" t="str">
        <f>VLOOKUP(K372,'PN Dictionary'!A:B,2,FALSE)</f>
        <v>GB300 L10</v>
      </c>
      <c r="K372" s="26" t="s">
        <v>36</v>
      </c>
      <c r="L372" s="44" t="s">
        <v>1855</v>
      </c>
      <c r="M372" s="26" t="s">
        <v>1850</v>
      </c>
      <c r="N372" s="26" t="s">
        <v>53</v>
      </c>
      <c r="O372" s="26" t="s">
        <v>728</v>
      </c>
      <c r="P372" s="26">
        <v>924</v>
      </c>
      <c r="Q372" s="26" t="s">
        <v>55</v>
      </c>
    </row>
    <row r="373" spans="1:17" hidden="1" x14ac:dyDescent="0.3">
      <c r="A373" s="26" t="s">
        <v>1851</v>
      </c>
      <c r="B373" s="26" t="s">
        <v>1852</v>
      </c>
      <c r="C373" s="26" t="s">
        <v>50</v>
      </c>
      <c r="D373" s="26" t="s">
        <v>1853</v>
      </c>
      <c r="E373" s="26" t="s">
        <v>633</v>
      </c>
      <c r="G373" s="26" t="s">
        <v>1849</v>
      </c>
      <c r="H373" s="26" t="s">
        <v>39</v>
      </c>
      <c r="I373" s="26" t="s">
        <v>1796</v>
      </c>
      <c r="J373" s="11" t="str">
        <f>VLOOKUP(K373,'PN Dictionary'!A:B,2,FALSE)</f>
        <v>GB300 L10</v>
      </c>
      <c r="K373" s="26" t="s">
        <v>36</v>
      </c>
      <c r="L373" s="44" t="s">
        <v>1856</v>
      </c>
      <c r="M373" s="26" t="s">
        <v>828</v>
      </c>
      <c r="N373" s="26" t="s">
        <v>53</v>
      </c>
      <c r="O373" s="26" t="s">
        <v>54</v>
      </c>
      <c r="P373" s="26">
        <v>924</v>
      </c>
      <c r="Q373" s="26" t="s">
        <v>55</v>
      </c>
    </row>
    <row r="374" spans="1:17" hidden="1" x14ac:dyDescent="0.3">
      <c r="A374" s="26" t="s">
        <v>1858</v>
      </c>
      <c r="B374" s="26" t="s">
        <v>1859</v>
      </c>
      <c r="C374" s="26" t="s">
        <v>50</v>
      </c>
      <c r="D374" s="26" t="s">
        <v>1860</v>
      </c>
      <c r="E374" s="26" t="s">
        <v>52</v>
      </c>
      <c r="G374" s="26" t="s">
        <v>1849</v>
      </c>
      <c r="H374" s="26" t="s">
        <v>39</v>
      </c>
      <c r="I374" s="26" t="s">
        <v>336</v>
      </c>
      <c r="J374" s="11" t="str">
        <f>VLOOKUP(K374,'PN Dictionary'!A:B,2,FALSE)</f>
        <v>GB300 L10</v>
      </c>
      <c r="K374" s="26" t="s">
        <v>36</v>
      </c>
      <c r="L374" s="44" t="s">
        <v>1923</v>
      </c>
      <c r="M374" s="26" t="s">
        <v>1861</v>
      </c>
      <c r="N374" s="26" t="s">
        <v>53</v>
      </c>
      <c r="O374" s="26" t="s">
        <v>54</v>
      </c>
      <c r="P374" s="26">
        <v>924</v>
      </c>
      <c r="Q374" s="26" t="s">
        <v>55</v>
      </c>
    </row>
    <row r="375" spans="1:17" hidden="1" x14ac:dyDescent="0.3">
      <c r="A375" s="26" t="s">
        <v>1863</v>
      </c>
      <c r="B375" s="26" t="s">
        <v>1864</v>
      </c>
      <c r="C375" s="26" t="s">
        <v>50</v>
      </c>
      <c r="D375" s="26" t="s">
        <v>1803</v>
      </c>
      <c r="E375" s="26" t="s">
        <v>81</v>
      </c>
      <c r="G375" s="26" t="s">
        <v>1849</v>
      </c>
      <c r="H375" s="26" t="s">
        <v>39</v>
      </c>
      <c r="I375" s="26" t="s">
        <v>1865</v>
      </c>
      <c r="J375" s="11" t="str">
        <f>VLOOKUP(K375,'PN Dictionary'!A:B,2,FALSE)</f>
        <v>GB300 L10</v>
      </c>
      <c r="K375" s="26" t="s">
        <v>36</v>
      </c>
      <c r="L375" s="44" t="s">
        <v>1924</v>
      </c>
      <c r="M375" s="26" t="s">
        <v>1866</v>
      </c>
      <c r="N375" s="26" t="s">
        <v>53</v>
      </c>
      <c r="O375" s="26" t="s">
        <v>728</v>
      </c>
      <c r="P375" s="26">
        <v>3908</v>
      </c>
      <c r="Q375" s="26" t="s">
        <v>55</v>
      </c>
    </row>
    <row r="376" spans="1:17" hidden="1" x14ac:dyDescent="0.3">
      <c r="A376" s="26" t="s">
        <v>1867</v>
      </c>
      <c r="B376" s="26" t="s">
        <v>1868</v>
      </c>
      <c r="C376" s="26" t="s">
        <v>50</v>
      </c>
      <c r="D376" s="26" t="s">
        <v>1654</v>
      </c>
      <c r="E376" s="26" t="s">
        <v>1869</v>
      </c>
      <c r="G376" s="26" t="s">
        <v>1849</v>
      </c>
      <c r="H376" s="26" t="s">
        <v>39</v>
      </c>
      <c r="I376" s="26" t="s">
        <v>1870</v>
      </c>
      <c r="J376" s="11" t="str">
        <f>VLOOKUP(K376,'PN Dictionary'!A:B,2,FALSE)</f>
        <v>GB300 L10</v>
      </c>
      <c r="K376" s="26" t="s">
        <v>36</v>
      </c>
      <c r="L376" s="44" t="s">
        <v>1925</v>
      </c>
      <c r="M376" s="26" t="s">
        <v>1871</v>
      </c>
      <c r="N376" s="26" t="s">
        <v>53</v>
      </c>
      <c r="O376" s="26" t="s">
        <v>728</v>
      </c>
      <c r="P376" s="26">
        <v>2131</v>
      </c>
      <c r="Q376" s="26" t="s">
        <v>55</v>
      </c>
    </row>
    <row r="377" spans="1:17" hidden="1" x14ac:dyDescent="0.3">
      <c r="A377" s="26" t="s">
        <v>1872</v>
      </c>
      <c r="B377" s="26" t="s">
        <v>1873</v>
      </c>
      <c r="C377" s="26" t="s">
        <v>50</v>
      </c>
      <c r="D377" s="26" t="s">
        <v>1874</v>
      </c>
      <c r="E377" s="26" t="s">
        <v>1355</v>
      </c>
      <c r="G377" s="26" t="s">
        <v>1849</v>
      </c>
      <c r="H377" s="26" t="s">
        <v>39</v>
      </c>
      <c r="I377" s="26" t="s">
        <v>1875</v>
      </c>
      <c r="J377" s="11" t="str">
        <f>VLOOKUP(K377,'PN Dictionary'!A:B,2,FALSE)</f>
        <v>GB300 L10</v>
      </c>
      <c r="K377" s="26" t="s">
        <v>36</v>
      </c>
      <c r="L377" s="44" t="s">
        <v>1926</v>
      </c>
      <c r="M377" s="26" t="s">
        <v>1876</v>
      </c>
      <c r="N377" s="26" t="s">
        <v>53</v>
      </c>
      <c r="O377" s="26" t="s">
        <v>728</v>
      </c>
      <c r="P377" s="26">
        <v>2131</v>
      </c>
      <c r="Q377" s="26" t="s">
        <v>55</v>
      </c>
    </row>
    <row r="378" spans="1:17" hidden="1" x14ac:dyDescent="0.3">
      <c r="A378" s="26" t="s">
        <v>1877</v>
      </c>
      <c r="B378" s="26" t="s">
        <v>1878</v>
      </c>
      <c r="C378" s="26" t="s">
        <v>50</v>
      </c>
      <c r="D378" s="26" t="s">
        <v>1879</v>
      </c>
      <c r="E378" s="26" t="s">
        <v>270</v>
      </c>
      <c r="G378" s="26" t="s">
        <v>1849</v>
      </c>
      <c r="H378" s="26" t="s">
        <v>39</v>
      </c>
      <c r="I378" s="26" t="s">
        <v>952</v>
      </c>
      <c r="J378" s="11" t="str">
        <f>VLOOKUP(K378,'PN Dictionary'!A:B,2,FALSE)</f>
        <v>Delta Power Shelf Left Input</v>
      </c>
      <c r="K378" s="26" t="s">
        <v>10</v>
      </c>
      <c r="L378" s="44" t="s">
        <v>1880</v>
      </c>
      <c r="M378" s="26" t="s">
        <v>1881</v>
      </c>
      <c r="N378" s="26" t="s">
        <v>53</v>
      </c>
      <c r="O378" s="26" t="s">
        <v>728</v>
      </c>
      <c r="P378" s="26">
        <v>90066</v>
      </c>
      <c r="Q378" s="26" t="s">
        <v>55</v>
      </c>
    </row>
    <row r="379" spans="1:17" hidden="1" x14ac:dyDescent="0.3">
      <c r="A379" s="26" t="s">
        <v>1882</v>
      </c>
      <c r="B379" s="26" t="s">
        <v>1883</v>
      </c>
      <c r="C379" s="26" t="s">
        <v>50</v>
      </c>
      <c r="D379" s="26" t="s">
        <v>1884</v>
      </c>
      <c r="E379" s="26" t="s">
        <v>128</v>
      </c>
      <c r="G379" s="26" t="s">
        <v>1849</v>
      </c>
      <c r="H379" s="26" t="s">
        <v>39</v>
      </c>
      <c r="I379" s="26" t="s">
        <v>486</v>
      </c>
      <c r="J379" s="11" t="str">
        <f>VLOOKUP(K379,'PN Dictionary'!A:B,2,FALSE)</f>
        <v>Cable Cartridge</v>
      </c>
      <c r="K379" s="26" t="s">
        <v>6</v>
      </c>
      <c r="L379" s="44">
        <v>1822825355184</v>
      </c>
      <c r="M379" s="26">
        <v>2023825882569</v>
      </c>
      <c r="N379" s="26" t="s">
        <v>53</v>
      </c>
      <c r="O379" s="26" t="s">
        <v>728</v>
      </c>
      <c r="P379" s="26">
        <v>3908</v>
      </c>
      <c r="Q379" s="26" t="s">
        <v>55</v>
      </c>
    </row>
    <row r="380" spans="1:17" hidden="1" x14ac:dyDescent="0.3">
      <c r="A380" s="26" t="s">
        <v>1885</v>
      </c>
      <c r="B380" s="26" t="s">
        <v>1886</v>
      </c>
      <c r="C380" s="26" t="s">
        <v>50</v>
      </c>
      <c r="D380" s="26" t="s">
        <v>1848</v>
      </c>
      <c r="E380" s="26" t="s">
        <v>87</v>
      </c>
      <c r="G380" s="26" t="s">
        <v>1849</v>
      </c>
      <c r="H380" s="26" t="s">
        <v>39</v>
      </c>
      <c r="I380" s="26" t="s">
        <v>1887</v>
      </c>
      <c r="J380" s="11" t="str">
        <f>VLOOKUP(K380,'PN Dictionary'!A:B,2,FALSE)</f>
        <v>GB300 L10</v>
      </c>
      <c r="K380" s="26" t="s">
        <v>36</v>
      </c>
      <c r="L380" s="44" t="s">
        <v>1927</v>
      </c>
      <c r="M380" s="26" t="s">
        <v>1888</v>
      </c>
      <c r="N380" s="26" t="s">
        <v>53</v>
      </c>
      <c r="O380" s="26" t="s">
        <v>728</v>
      </c>
      <c r="P380" s="26">
        <v>90131</v>
      </c>
      <c r="Q380" s="26" t="s">
        <v>55</v>
      </c>
    </row>
    <row r="381" spans="1:17" hidden="1" x14ac:dyDescent="0.3">
      <c r="A381" s="26" t="s">
        <v>1889</v>
      </c>
      <c r="B381" s="26" t="s">
        <v>1890</v>
      </c>
      <c r="C381" s="26" t="s">
        <v>50</v>
      </c>
      <c r="D381" s="26" t="s">
        <v>1848</v>
      </c>
      <c r="E381" s="26" t="s">
        <v>81</v>
      </c>
      <c r="G381" s="26" t="s">
        <v>1849</v>
      </c>
      <c r="H381" s="26" t="s">
        <v>39</v>
      </c>
      <c r="I381" s="26" t="s">
        <v>1891</v>
      </c>
      <c r="J381" s="11" t="str">
        <f>VLOOKUP(K381,'PN Dictionary'!A:B,2,FALSE)</f>
        <v>GB300 L10</v>
      </c>
      <c r="K381" s="26" t="s">
        <v>36</v>
      </c>
      <c r="L381" s="44" t="s">
        <v>1928</v>
      </c>
      <c r="M381" s="26" t="s">
        <v>1892</v>
      </c>
      <c r="N381" s="26" t="s">
        <v>53</v>
      </c>
      <c r="O381" s="26" t="s">
        <v>728</v>
      </c>
      <c r="P381" s="26">
        <v>90131</v>
      </c>
      <c r="Q381" s="26" t="s">
        <v>55</v>
      </c>
    </row>
    <row r="382" spans="1:17" hidden="1" x14ac:dyDescent="0.3">
      <c r="A382" s="26" t="s">
        <v>1893</v>
      </c>
      <c r="B382" s="26" t="s">
        <v>1894</v>
      </c>
      <c r="C382" s="26" t="s">
        <v>50</v>
      </c>
      <c r="D382" s="26" t="s">
        <v>1862</v>
      </c>
      <c r="E382" s="26" t="s">
        <v>87</v>
      </c>
      <c r="G382" s="26" t="s">
        <v>1849</v>
      </c>
      <c r="H382" s="26" t="s">
        <v>39</v>
      </c>
      <c r="I382" s="26" t="s">
        <v>1895</v>
      </c>
      <c r="J382" s="11" t="str">
        <f>VLOOKUP(K382,'PN Dictionary'!A:B,2,FALSE)</f>
        <v>GB300 L10</v>
      </c>
      <c r="K382" s="26" t="s">
        <v>36</v>
      </c>
      <c r="L382" s="44" t="s">
        <v>1929</v>
      </c>
      <c r="M382" s="26" t="s">
        <v>1896</v>
      </c>
      <c r="N382" s="26" t="s">
        <v>53</v>
      </c>
      <c r="O382" s="26" t="s">
        <v>728</v>
      </c>
      <c r="P382" s="26">
        <v>3908</v>
      </c>
      <c r="Q382" s="26" t="s">
        <v>55</v>
      </c>
    </row>
    <row r="383" spans="1:17" hidden="1" x14ac:dyDescent="0.3">
      <c r="A383" s="26" t="s">
        <v>1897</v>
      </c>
      <c r="B383" s="26" t="s">
        <v>1898</v>
      </c>
      <c r="C383" s="26" t="s">
        <v>50</v>
      </c>
      <c r="D383" s="26" t="s">
        <v>1899</v>
      </c>
      <c r="E383" s="26" t="s">
        <v>81</v>
      </c>
      <c r="G383" s="26" t="s">
        <v>1849</v>
      </c>
      <c r="H383" s="26" t="s">
        <v>39</v>
      </c>
      <c r="I383" s="26" t="s">
        <v>1900</v>
      </c>
      <c r="J383" s="11" t="str">
        <f>VLOOKUP(K383,'PN Dictionary'!A:B,2,FALSE)</f>
        <v>GB300 L10</v>
      </c>
      <c r="K383" s="26" t="s">
        <v>36</v>
      </c>
      <c r="L383" s="44" t="s">
        <v>1930</v>
      </c>
      <c r="M383" s="26" t="s">
        <v>1901</v>
      </c>
      <c r="N383" s="26" t="s">
        <v>53</v>
      </c>
      <c r="O383" s="26" t="s">
        <v>728</v>
      </c>
      <c r="P383" s="26">
        <v>3908</v>
      </c>
      <c r="Q383" s="26" t="s">
        <v>55</v>
      </c>
    </row>
    <row r="384" spans="1:17" hidden="1" x14ac:dyDescent="0.3">
      <c r="A384" s="26" t="s">
        <v>1902</v>
      </c>
      <c r="B384" s="26" t="s">
        <v>1903</v>
      </c>
      <c r="C384" s="26" t="s">
        <v>50</v>
      </c>
      <c r="D384" s="26" t="s">
        <v>1904</v>
      </c>
      <c r="E384" s="26" t="s">
        <v>633</v>
      </c>
      <c r="G384" s="26" t="s">
        <v>1849</v>
      </c>
      <c r="H384" s="26" t="s">
        <v>39</v>
      </c>
      <c r="I384" s="26" t="s">
        <v>1796</v>
      </c>
      <c r="J384" s="11" t="str">
        <f>VLOOKUP(K384,'PN Dictionary'!A:B,2,FALSE)</f>
        <v>GB300 L10</v>
      </c>
      <c r="K384" s="26" t="s">
        <v>36</v>
      </c>
      <c r="L384" s="44" t="s">
        <v>1931</v>
      </c>
      <c r="M384" s="26" t="s">
        <v>1905</v>
      </c>
      <c r="N384" s="26" t="s">
        <v>53</v>
      </c>
      <c r="O384" s="26" t="s">
        <v>54</v>
      </c>
      <c r="P384" s="26">
        <v>90131</v>
      </c>
      <c r="Q384" s="26" t="s">
        <v>55</v>
      </c>
    </row>
    <row r="385" spans="1:17" hidden="1" x14ac:dyDescent="0.3">
      <c r="A385" s="26" t="s">
        <v>1906</v>
      </c>
      <c r="B385" s="26" t="s">
        <v>1907</v>
      </c>
      <c r="C385" s="26" t="s">
        <v>50</v>
      </c>
      <c r="D385" s="26" t="s">
        <v>1765</v>
      </c>
      <c r="E385" s="26" t="s">
        <v>52</v>
      </c>
      <c r="G385" s="26" t="s">
        <v>1908</v>
      </c>
      <c r="H385" s="26" t="s">
        <v>39</v>
      </c>
      <c r="I385" s="26" t="s">
        <v>1933</v>
      </c>
      <c r="J385" s="11" t="str">
        <f>VLOOKUP(K385,'PN Dictionary'!A:B,2,FALSE)</f>
        <v>GB300 L10</v>
      </c>
      <c r="K385" s="26" t="s">
        <v>36</v>
      </c>
      <c r="L385" s="44" t="s">
        <v>1932</v>
      </c>
      <c r="M385" s="26" t="s">
        <v>1909</v>
      </c>
      <c r="N385" s="26" t="s">
        <v>53</v>
      </c>
      <c r="O385" s="26" t="s">
        <v>728</v>
      </c>
      <c r="P385" s="26">
        <v>718</v>
      </c>
      <c r="Q385" s="26" t="s">
        <v>55</v>
      </c>
    </row>
    <row r="386" spans="1:17" hidden="1" x14ac:dyDescent="0.3">
      <c r="A386" s="26" t="s">
        <v>1910</v>
      </c>
      <c r="B386" s="26" t="s">
        <v>1911</v>
      </c>
      <c r="C386" s="26" t="s">
        <v>1309</v>
      </c>
      <c r="D386" s="26" t="s">
        <v>1824</v>
      </c>
      <c r="E386" s="26" t="s">
        <v>52</v>
      </c>
      <c r="G386" s="26" t="s">
        <v>1908</v>
      </c>
      <c r="H386" s="26" t="s">
        <v>39</v>
      </c>
      <c r="I386" s="26" t="s">
        <v>1912</v>
      </c>
      <c r="J386" s="11" t="str">
        <f>VLOOKUP(K386,'PN Dictionary'!A:B,2,FALSE)</f>
        <v>GB300 L10</v>
      </c>
      <c r="K386" s="26" t="s">
        <v>1340</v>
      </c>
      <c r="L386" s="44" t="s">
        <v>1934</v>
      </c>
      <c r="M386" s="26" t="s">
        <v>1913</v>
      </c>
      <c r="N386" s="26" t="s">
        <v>53</v>
      </c>
      <c r="O386" s="26" t="s">
        <v>728</v>
      </c>
      <c r="P386" s="26">
        <v>718</v>
      </c>
      <c r="Q386" s="26" t="s">
        <v>55</v>
      </c>
    </row>
    <row r="387" spans="1:17" hidden="1" x14ac:dyDescent="0.3">
      <c r="A387" s="26" t="s">
        <v>1914</v>
      </c>
      <c r="B387" s="26" t="s">
        <v>1915</v>
      </c>
      <c r="C387" s="26" t="s">
        <v>50</v>
      </c>
      <c r="D387" s="26" t="s">
        <v>1860</v>
      </c>
      <c r="E387" s="26" t="s">
        <v>81</v>
      </c>
      <c r="G387" s="26" t="s">
        <v>1908</v>
      </c>
      <c r="H387" s="26" t="s">
        <v>39</v>
      </c>
      <c r="I387" s="26" t="s">
        <v>1936</v>
      </c>
      <c r="J387" s="11" t="str">
        <f>VLOOKUP(K387,'PN Dictionary'!A:B,2,FALSE)</f>
        <v>GB300 L10</v>
      </c>
      <c r="K387" s="26" t="s">
        <v>36</v>
      </c>
      <c r="L387" s="44" t="s">
        <v>1935</v>
      </c>
      <c r="M387" s="26" t="s">
        <v>1916</v>
      </c>
      <c r="N387" s="26" t="s">
        <v>53</v>
      </c>
      <c r="O387" s="26" t="s">
        <v>54</v>
      </c>
      <c r="P387" s="26">
        <v>640</v>
      </c>
      <c r="Q387" s="26" t="s">
        <v>55</v>
      </c>
    </row>
    <row r="388" spans="1:17" hidden="1" x14ac:dyDescent="0.3">
      <c r="A388" s="26" t="s">
        <v>1917</v>
      </c>
      <c r="B388" s="26" t="s">
        <v>1918</v>
      </c>
      <c r="C388" s="26" t="s">
        <v>50</v>
      </c>
      <c r="D388" s="26" t="s">
        <v>1860</v>
      </c>
      <c r="E388" s="26" t="s">
        <v>128</v>
      </c>
      <c r="G388" s="26" t="s">
        <v>1908</v>
      </c>
      <c r="H388" s="26" t="s">
        <v>39</v>
      </c>
      <c r="I388" s="26" t="s">
        <v>1919</v>
      </c>
      <c r="J388" s="11" t="str">
        <f>VLOOKUP(K388,'PN Dictionary'!A:B,2,FALSE)</f>
        <v>Cable Cartridge</v>
      </c>
      <c r="K388" s="26" t="s">
        <v>6</v>
      </c>
      <c r="L388" s="44">
        <v>2024025350542</v>
      </c>
      <c r="M388" s="26">
        <v>2023625350898</v>
      </c>
      <c r="N388" s="26" t="s">
        <v>53</v>
      </c>
      <c r="O388" s="26" t="s">
        <v>54</v>
      </c>
      <c r="P388" s="26">
        <v>640</v>
      </c>
      <c r="Q388" s="26" t="s">
        <v>55</v>
      </c>
    </row>
    <row r="389" spans="1:17" hidden="1" x14ac:dyDescent="0.3">
      <c r="A389" s="26" t="s">
        <v>1920</v>
      </c>
      <c r="B389" s="26" t="s">
        <v>1921</v>
      </c>
      <c r="C389" s="26" t="s">
        <v>1309</v>
      </c>
      <c r="D389" s="26" t="s">
        <v>1824</v>
      </c>
      <c r="E389" s="26" t="s">
        <v>128</v>
      </c>
      <c r="G389" s="26" t="s">
        <v>1908</v>
      </c>
      <c r="H389" s="26" t="s">
        <v>39</v>
      </c>
      <c r="I389" s="26" t="s">
        <v>1922</v>
      </c>
      <c r="J389" s="11" t="str">
        <f>VLOOKUP(K389,'PN Dictionary'!A:B,2,FALSE)</f>
        <v>Cable Cartridge</v>
      </c>
      <c r="K389" s="26" t="s">
        <v>6</v>
      </c>
      <c r="L389" s="44">
        <v>2024325881113</v>
      </c>
      <c r="M389" s="26">
        <v>2023825882405</v>
      </c>
      <c r="N389" s="26" t="s">
        <v>53</v>
      </c>
      <c r="O389" s="26" t="s">
        <v>728</v>
      </c>
      <c r="P389" s="26">
        <v>718</v>
      </c>
      <c r="Q389" s="26" t="s">
        <v>55</v>
      </c>
    </row>
    <row r="390" spans="1:17" hidden="1" x14ac:dyDescent="0.3">
      <c r="A390" s="26" t="s">
        <v>1938</v>
      </c>
      <c r="B390" s="26" t="s">
        <v>1939</v>
      </c>
      <c r="C390" s="26" t="s">
        <v>50</v>
      </c>
      <c r="D390" s="26" t="s">
        <v>1874</v>
      </c>
      <c r="E390" s="26" t="s">
        <v>128</v>
      </c>
      <c r="G390" s="26" t="s">
        <v>1908</v>
      </c>
      <c r="H390" s="26" t="s">
        <v>39</v>
      </c>
      <c r="I390" s="26" t="s">
        <v>1940</v>
      </c>
      <c r="J390" s="11" t="str">
        <f>VLOOKUP(K390,'PN Dictionary'!A:B,2,FALSE)</f>
        <v>Cable Cartridge</v>
      </c>
      <c r="K390" s="26" t="s">
        <v>6</v>
      </c>
      <c r="L390" s="44">
        <v>1822825354447</v>
      </c>
      <c r="M390" s="26">
        <v>2024025350462</v>
      </c>
      <c r="N390" s="26" t="s">
        <v>53</v>
      </c>
      <c r="O390" s="26" t="s">
        <v>728</v>
      </c>
      <c r="P390" s="26">
        <v>90066</v>
      </c>
      <c r="Q390" s="26" t="s">
        <v>55</v>
      </c>
    </row>
    <row r="391" spans="1:17" hidden="1" x14ac:dyDescent="0.3">
      <c r="A391" s="26" t="s">
        <v>1941</v>
      </c>
      <c r="B391" s="26" t="s">
        <v>1942</v>
      </c>
      <c r="C391" s="26" t="s">
        <v>50</v>
      </c>
      <c r="D391" s="26" t="s">
        <v>1848</v>
      </c>
      <c r="E391" s="26" t="s">
        <v>81</v>
      </c>
      <c r="G391" s="26" t="s">
        <v>1908</v>
      </c>
      <c r="H391" s="26" t="s">
        <v>39</v>
      </c>
      <c r="I391" s="26" t="s">
        <v>93</v>
      </c>
      <c r="J391" s="11" t="str">
        <f>VLOOKUP(K391,'PN Dictionary'!A:B,2,FALSE)</f>
        <v>GB300 L10</v>
      </c>
      <c r="K391" s="26" t="s">
        <v>36</v>
      </c>
      <c r="L391" s="44" t="s">
        <v>2043</v>
      </c>
      <c r="M391" s="26" t="s">
        <v>1943</v>
      </c>
      <c r="N391" s="26" t="s">
        <v>53</v>
      </c>
      <c r="O391" s="26" t="s">
        <v>728</v>
      </c>
      <c r="P391" s="26">
        <v>90131</v>
      </c>
      <c r="Q391" s="26" t="s">
        <v>55</v>
      </c>
    </row>
    <row r="392" spans="1:17" hidden="1" x14ac:dyDescent="0.3">
      <c r="A392" s="26" t="s">
        <v>1944</v>
      </c>
      <c r="B392" s="26" t="s">
        <v>1945</v>
      </c>
      <c r="C392" s="26" t="s">
        <v>50</v>
      </c>
      <c r="D392" s="26" t="s">
        <v>1946</v>
      </c>
      <c r="E392" s="26" t="s">
        <v>322</v>
      </c>
      <c r="G392" s="26" t="s">
        <v>1908</v>
      </c>
      <c r="H392" s="26" t="s">
        <v>39</v>
      </c>
      <c r="I392" s="26" t="s">
        <v>1947</v>
      </c>
      <c r="J392" s="11" t="str">
        <f>VLOOKUP(K392,'PN Dictionary'!A:B,2,FALSE)</f>
        <v>GB300 L10</v>
      </c>
      <c r="K392" s="26" t="s">
        <v>36</v>
      </c>
      <c r="L392" s="44" t="s">
        <v>2044</v>
      </c>
      <c r="M392" s="26" t="s">
        <v>1948</v>
      </c>
      <c r="N392" s="26" t="s">
        <v>53</v>
      </c>
      <c r="O392" s="26" t="s">
        <v>728</v>
      </c>
      <c r="P392" s="26">
        <v>1348</v>
      </c>
      <c r="Q392" s="26" t="s">
        <v>55</v>
      </c>
    </row>
    <row r="393" spans="1:17" hidden="1" x14ac:dyDescent="0.3">
      <c r="A393" s="26" t="s">
        <v>1949</v>
      </c>
      <c r="B393" s="26" t="s">
        <v>1950</v>
      </c>
      <c r="C393" s="26" t="s">
        <v>50</v>
      </c>
      <c r="D393" s="26" t="s">
        <v>1951</v>
      </c>
      <c r="E393" s="26" t="s">
        <v>230</v>
      </c>
      <c r="G393" s="26" t="s">
        <v>1908</v>
      </c>
      <c r="H393" s="26" t="s">
        <v>39</v>
      </c>
      <c r="I393" s="26" t="s">
        <v>1952</v>
      </c>
      <c r="J393" s="11" t="str">
        <f>VLOOKUP(K393,'PN Dictionary'!A:B,2,FALSE)</f>
        <v>NVSwitch</v>
      </c>
      <c r="K393" s="26" t="s">
        <v>7</v>
      </c>
      <c r="L393" s="44" t="s">
        <v>1953</v>
      </c>
      <c r="M393" s="26" t="s">
        <v>1954</v>
      </c>
      <c r="N393" s="26" t="s">
        <v>53</v>
      </c>
      <c r="O393" s="26" t="s">
        <v>728</v>
      </c>
      <c r="P393" s="26">
        <v>90066</v>
      </c>
      <c r="Q393" s="26" t="s">
        <v>55</v>
      </c>
    </row>
    <row r="394" spans="1:17" hidden="1" x14ac:dyDescent="0.3">
      <c r="A394" s="26" t="s">
        <v>1955</v>
      </c>
      <c r="B394" s="26" t="s">
        <v>1956</v>
      </c>
      <c r="C394" s="26" t="s">
        <v>50</v>
      </c>
      <c r="D394" s="26" t="s">
        <v>1946</v>
      </c>
      <c r="E394" s="26" t="s">
        <v>81</v>
      </c>
      <c r="G394" s="26" t="s">
        <v>1908</v>
      </c>
      <c r="H394" s="26" t="s">
        <v>39</v>
      </c>
      <c r="I394" s="26" t="s">
        <v>1957</v>
      </c>
      <c r="J394" s="11" t="str">
        <f>VLOOKUP(K394,'PN Dictionary'!A:B,2,FALSE)</f>
        <v>GB300 L10</v>
      </c>
      <c r="K394" s="26" t="s">
        <v>36</v>
      </c>
      <c r="L394" s="44" t="s">
        <v>2045</v>
      </c>
      <c r="M394" s="26" t="s">
        <v>1958</v>
      </c>
      <c r="N394" s="26" t="s">
        <v>53</v>
      </c>
      <c r="O394" s="26" t="s">
        <v>728</v>
      </c>
      <c r="P394" s="26">
        <v>1348</v>
      </c>
      <c r="Q394" s="26" t="s">
        <v>55</v>
      </c>
    </row>
    <row r="395" spans="1:17" hidden="1" x14ac:dyDescent="0.3">
      <c r="A395" s="26" t="s">
        <v>1959</v>
      </c>
      <c r="B395" s="26" t="s">
        <v>1960</v>
      </c>
      <c r="C395" s="26" t="s">
        <v>50</v>
      </c>
      <c r="D395" s="26" t="s">
        <v>1899</v>
      </c>
      <c r="E395" s="26" t="s">
        <v>81</v>
      </c>
      <c r="G395" s="26" t="s">
        <v>1908</v>
      </c>
      <c r="H395" s="26" t="s">
        <v>39</v>
      </c>
      <c r="I395" s="26" t="s">
        <v>93</v>
      </c>
      <c r="J395" s="11" t="str">
        <f>VLOOKUP(K395,'PN Dictionary'!A:B,2,FALSE)</f>
        <v>GB300 L10</v>
      </c>
      <c r="K395" s="26" t="s">
        <v>36</v>
      </c>
      <c r="L395" s="44" t="s">
        <v>2046</v>
      </c>
      <c r="M395" s="26" t="s">
        <v>1961</v>
      </c>
      <c r="N395" s="26" t="s">
        <v>53</v>
      </c>
      <c r="O395" s="26" t="s">
        <v>728</v>
      </c>
      <c r="P395" s="26">
        <v>90131</v>
      </c>
      <c r="Q395" s="26" t="s">
        <v>55</v>
      </c>
    </row>
    <row r="396" spans="1:17" hidden="1" x14ac:dyDescent="0.3">
      <c r="A396" s="26" t="s">
        <v>1962</v>
      </c>
      <c r="B396" s="26" t="s">
        <v>1963</v>
      </c>
      <c r="C396" s="26" t="s">
        <v>50</v>
      </c>
      <c r="D396" s="26" t="s">
        <v>1862</v>
      </c>
      <c r="E396" s="26" t="s">
        <v>81</v>
      </c>
      <c r="G396" s="26" t="s">
        <v>1908</v>
      </c>
      <c r="H396" s="26" t="s">
        <v>39</v>
      </c>
      <c r="I396" s="26" t="s">
        <v>1964</v>
      </c>
      <c r="J396" s="11" t="str">
        <f>VLOOKUP(K396,'PN Dictionary'!A:B,2,FALSE)</f>
        <v>GB300 L10</v>
      </c>
      <c r="K396" s="26" t="s">
        <v>36</v>
      </c>
      <c r="L396" s="44" t="s">
        <v>2047</v>
      </c>
      <c r="M396" s="26" t="s">
        <v>1965</v>
      </c>
      <c r="N396" s="26" t="s">
        <v>53</v>
      </c>
      <c r="O396" s="26" t="s">
        <v>728</v>
      </c>
      <c r="P396" s="26">
        <v>90131</v>
      </c>
      <c r="Q396" s="26" t="s">
        <v>55</v>
      </c>
    </row>
    <row r="397" spans="1:17" hidden="1" x14ac:dyDescent="0.3">
      <c r="A397" s="26" t="s">
        <v>1966</v>
      </c>
      <c r="B397" s="26" t="s">
        <v>1967</v>
      </c>
      <c r="C397" s="26" t="s">
        <v>50</v>
      </c>
      <c r="D397" s="26" t="s">
        <v>1968</v>
      </c>
      <c r="E397" s="26" t="s">
        <v>128</v>
      </c>
      <c r="G397" s="26" t="s">
        <v>1908</v>
      </c>
      <c r="H397" s="26" t="s">
        <v>39</v>
      </c>
      <c r="I397" s="26" t="s">
        <v>1969</v>
      </c>
      <c r="J397" s="11" t="str">
        <f>VLOOKUP(K397,'PN Dictionary'!A:B,2,FALSE)</f>
        <v>Cable Cartridge</v>
      </c>
      <c r="K397" s="26" t="s">
        <v>6</v>
      </c>
      <c r="L397" s="44">
        <v>1823425356285</v>
      </c>
      <c r="M397" s="26">
        <v>1823525354740</v>
      </c>
      <c r="N397" s="26" t="s">
        <v>53</v>
      </c>
      <c r="O397" s="26" t="s">
        <v>728</v>
      </c>
      <c r="P397" s="26">
        <v>1348</v>
      </c>
      <c r="Q397" s="26" t="s">
        <v>55</v>
      </c>
    </row>
    <row r="398" spans="1:17" hidden="1" x14ac:dyDescent="0.3">
      <c r="A398" s="26" t="s">
        <v>1970</v>
      </c>
      <c r="B398" s="26" t="s">
        <v>1971</v>
      </c>
      <c r="C398" s="26" t="s">
        <v>50</v>
      </c>
      <c r="D398" s="26" t="s">
        <v>1972</v>
      </c>
      <c r="E398" s="26" t="s">
        <v>128</v>
      </c>
      <c r="G398" s="26" t="s">
        <v>1908</v>
      </c>
      <c r="H398" s="26" t="s">
        <v>39</v>
      </c>
      <c r="I398" s="26" t="s">
        <v>205</v>
      </c>
      <c r="J398" s="11" t="str">
        <f>VLOOKUP(K398,'PN Dictionary'!A:B,2,FALSE)</f>
        <v>Cable Cartridge</v>
      </c>
      <c r="K398" s="26" t="s">
        <v>6</v>
      </c>
      <c r="L398" s="44">
        <v>2024025350503</v>
      </c>
      <c r="M398" s="26">
        <v>1824025185363</v>
      </c>
      <c r="N398" s="26" t="s">
        <v>53</v>
      </c>
      <c r="O398" s="26" t="s">
        <v>54</v>
      </c>
      <c r="P398" s="26">
        <v>1348</v>
      </c>
      <c r="Q398" s="26" t="s">
        <v>55</v>
      </c>
    </row>
    <row r="399" spans="1:17" hidden="1" x14ac:dyDescent="0.3">
      <c r="A399" s="26" t="s">
        <v>1973</v>
      </c>
      <c r="B399" s="26" t="s">
        <v>1974</v>
      </c>
      <c r="C399" s="26" t="s">
        <v>1309</v>
      </c>
      <c r="D399" s="26" t="s">
        <v>1824</v>
      </c>
      <c r="E399" s="26" t="s">
        <v>128</v>
      </c>
      <c r="G399" s="26" t="s">
        <v>1908</v>
      </c>
      <c r="H399" s="26" t="s">
        <v>39</v>
      </c>
      <c r="I399" s="26" t="s">
        <v>205</v>
      </c>
      <c r="J399" s="11" t="str">
        <f>VLOOKUP(K399,'PN Dictionary'!A:B,2,FALSE)</f>
        <v>Cable Cartridge</v>
      </c>
      <c r="K399" s="26" t="s">
        <v>6</v>
      </c>
      <c r="L399" s="44">
        <v>1823625350137</v>
      </c>
      <c r="M399" s="26">
        <v>2024025350542</v>
      </c>
      <c r="N399" s="26" t="s">
        <v>53</v>
      </c>
      <c r="O399" s="26" t="s">
        <v>728</v>
      </c>
      <c r="P399" s="26">
        <v>1348</v>
      </c>
      <c r="Q399" s="26" t="s">
        <v>55</v>
      </c>
    </row>
    <row r="400" spans="1:17" hidden="1" x14ac:dyDescent="0.3">
      <c r="A400" s="26" t="s">
        <v>1975</v>
      </c>
      <c r="B400" s="26" t="s">
        <v>1976</v>
      </c>
      <c r="C400" s="26" t="s">
        <v>50</v>
      </c>
      <c r="D400" s="26" t="s">
        <v>1862</v>
      </c>
      <c r="E400" s="26" t="s">
        <v>81</v>
      </c>
      <c r="G400" s="26" t="s">
        <v>1908</v>
      </c>
      <c r="H400" s="26" t="s">
        <v>39</v>
      </c>
      <c r="I400" s="26" t="s">
        <v>1895</v>
      </c>
      <c r="J400" s="11" t="str">
        <f>VLOOKUP(K400,'PN Dictionary'!A:B,2,FALSE)</f>
        <v>GB300 L10</v>
      </c>
      <c r="K400" s="26" t="s">
        <v>36</v>
      </c>
      <c r="L400" s="44" t="s">
        <v>2048</v>
      </c>
      <c r="M400" s="26" t="s">
        <v>1977</v>
      </c>
      <c r="N400" s="26" t="s">
        <v>53</v>
      </c>
      <c r="O400" s="26" t="s">
        <v>728</v>
      </c>
      <c r="P400" s="26">
        <v>1348</v>
      </c>
      <c r="Q400" s="26" t="s">
        <v>55</v>
      </c>
    </row>
    <row r="401" spans="1:17" hidden="1" x14ac:dyDescent="0.3">
      <c r="A401" s="26" t="s">
        <v>1980</v>
      </c>
      <c r="B401" s="26" t="s">
        <v>1981</v>
      </c>
      <c r="C401" s="26" t="s">
        <v>50</v>
      </c>
      <c r="D401" s="26" t="s">
        <v>1982</v>
      </c>
      <c r="E401" s="26" t="s">
        <v>87</v>
      </c>
      <c r="G401" s="26" t="s">
        <v>1908</v>
      </c>
      <c r="H401" s="26" t="s">
        <v>39</v>
      </c>
      <c r="I401" s="26" t="s">
        <v>1983</v>
      </c>
      <c r="J401" s="11" t="str">
        <f>VLOOKUP(K401,'PN Dictionary'!A:B,2,FALSE)</f>
        <v>GB300 L10</v>
      </c>
      <c r="K401" s="26" t="s">
        <v>36</v>
      </c>
      <c r="L401" s="44" t="s">
        <v>2049</v>
      </c>
      <c r="M401" s="26" t="s">
        <v>1984</v>
      </c>
      <c r="N401" s="26" t="s">
        <v>53</v>
      </c>
      <c r="O401" s="26" t="s">
        <v>728</v>
      </c>
      <c r="P401" s="26">
        <v>3908</v>
      </c>
      <c r="Q401" s="26" t="s">
        <v>55</v>
      </c>
    </row>
    <row r="402" spans="1:17" hidden="1" x14ac:dyDescent="0.3">
      <c r="A402" s="26" t="s">
        <v>1985</v>
      </c>
      <c r="B402" s="26" t="s">
        <v>1986</v>
      </c>
      <c r="C402" s="26" t="s">
        <v>50</v>
      </c>
      <c r="D402" s="26" t="s">
        <v>1972</v>
      </c>
      <c r="E402" s="26" t="s">
        <v>230</v>
      </c>
      <c r="G402" s="26" t="s">
        <v>1908</v>
      </c>
      <c r="H402" s="26" t="s">
        <v>39</v>
      </c>
      <c r="I402" s="26" t="s">
        <v>238</v>
      </c>
      <c r="J402" s="11" t="str">
        <f>VLOOKUP(K402,'PN Dictionary'!A:B,2,FALSE)</f>
        <v>NVSwitch</v>
      </c>
      <c r="K402" s="26" t="s">
        <v>7</v>
      </c>
      <c r="L402" s="44" t="s">
        <v>1390</v>
      </c>
      <c r="M402" s="26" t="s">
        <v>1987</v>
      </c>
      <c r="N402" s="26" t="s">
        <v>53</v>
      </c>
      <c r="O402" s="26" t="s">
        <v>54</v>
      </c>
      <c r="P402" s="26">
        <v>1348</v>
      </c>
      <c r="Q402" s="26" t="s">
        <v>55</v>
      </c>
    </row>
    <row r="403" spans="1:17" hidden="1" x14ac:dyDescent="0.3">
      <c r="A403" s="26" t="s">
        <v>1989</v>
      </c>
      <c r="B403" s="26" t="s">
        <v>1990</v>
      </c>
      <c r="C403" s="26" t="s">
        <v>50</v>
      </c>
      <c r="D403" s="26" t="s">
        <v>1991</v>
      </c>
      <c r="E403" s="26" t="s">
        <v>761</v>
      </c>
      <c r="G403" s="26" t="s">
        <v>1988</v>
      </c>
      <c r="H403" s="26" t="s">
        <v>39</v>
      </c>
      <c r="I403" s="26" t="s">
        <v>1992</v>
      </c>
      <c r="J403" s="11" t="str">
        <f>VLOOKUP(K403,'PN Dictionary'!A:B,2,FALSE)</f>
        <v>GB300 L10</v>
      </c>
      <c r="K403" s="26" t="s">
        <v>36</v>
      </c>
      <c r="L403" s="44" t="s">
        <v>2050</v>
      </c>
      <c r="M403" s="26" t="s">
        <v>1993</v>
      </c>
      <c r="N403" s="26" t="s">
        <v>53</v>
      </c>
      <c r="O403" s="26" t="s">
        <v>728</v>
      </c>
      <c r="P403" s="26">
        <v>90066</v>
      </c>
      <c r="Q403" s="26" t="s">
        <v>55</v>
      </c>
    </row>
    <row r="404" spans="1:17" hidden="1" x14ac:dyDescent="0.3">
      <c r="A404" s="26" t="s">
        <v>1994</v>
      </c>
      <c r="B404" s="26" t="s">
        <v>1995</v>
      </c>
      <c r="C404" s="26" t="s">
        <v>50</v>
      </c>
      <c r="D404" s="26" t="s">
        <v>1860</v>
      </c>
      <c r="E404" s="26" t="s">
        <v>52</v>
      </c>
      <c r="G404" s="26" t="s">
        <v>1988</v>
      </c>
      <c r="H404" s="26" t="s">
        <v>39</v>
      </c>
      <c r="I404" s="26" t="s">
        <v>1996</v>
      </c>
      <c r="J404" s="11" t="str">
        <f>VLOOKUP(K404,'PN Dictionary'!A:B,2,FALSE)</f>
        <v>GB300 L10</v>
      </c>
      <c r="K404" s="26" t="s">
        <v>36</v>
      </c>
      <c r="L404" s="44" t="s">
        <v>2051</v>
      </c>
      <c r="M404" s="26" t="s">
        <v>1997</v>
      </c>
      <c r="N404" s="26" t="s">
        <v>53</v>
      </c>
      <c r="O404" s="26" t="s">
        <v>54</v>
      </c>
      <c r="P404" s="26">
        <v>718</v>
      </c>
      <c r="Q404" s="26" t="s">
        <v>55</v>
      </c>
    </row>
    <row r="405" spans="1:17" hidden="1" x14ac:dyDescent="0.3">
      <c r="A405" s="26" t="s">
        <v>1998</v>
      </c>
      <c r="B405" s="26" t="s">
        <v>1999</v>
      </c>
      <c r="C405" s="26" t="s">
        <v>50</v>
      </c>
      <c r="D405" s="26" t="s">
        <v>1563</v>
      </c>
      <c r="E405" s="26" t="s">
        <v>52</v>
      </c>
      <c r="G405" s="26" t="s">
        <v>1988</v>
      </c>
      <c r="H405" s="26" t="s">
        <v>39</v>
      </c>
      <c r="I405" s="26" t="s">
        <v>2000</v>
      </c>
      <c r="J405" s="11" t="str">
        <f>VLOOKUP(K405,'PN Dictionary'!A:B,2,FALSE)</f>
        <v>GB300 L10</v>
      </c>
      <c r="K405" s="26" t="s">
        <v>36</v>
      </c>
      <c r="L405" s="44" t="s">
        <v>2052</v>
      </c>
      <c r="M405" s="26" t="s">
        <v>2001</v>
      </c>
      <c r="N405" s="26" t="s">
        <v>53</v>
      </c>
      <c r="O405" s="26" t="s">
        <v>728</v>
      </c>
      <c r="P405" s="26">
        <v>718</v>
      </c>
      <c r="Q405" s="26" t="s">
        <v>55</v>
      </c>
    </row>
    <row r="406" spans="1:17" hidden="1" x14ac:dyDescent="0.3">
      <c r="A406" s="26" t="s">
        <v>2002</v>
      </c>
      <c r="B406" s="26" t="s">
        <v>2003</v>
      </c>
      <c r="C406" s="26" t="s">
        <v>50</v>
      </c>
      <c r="D406" s="26" t="s">
        <v>2004</v>
      </c>
      <c r="E406" s="26" t="s">
        <v>242</v>
      </c>
      <c r="G406" s="26" t="s">
        <v>1988</v>
      </c>
      <c r="H406" s="26" t="s">
        <v>39</v>
      </c>
      <c r="I406" s="26" t="s">
        <v>2005</v>
      </c>
      <c r="J406" s="11" t="str">
        <f>VLOOKUP(K406,'PN Dictionary'!A:B,2,FALSE)</f>
        <v>Power Shelf Control Module</v>
      </c>
      <c r="K406" s="26" t="s">
        <v>11</v>
      </c>
      <c r="L406" s="44" t="s">
        <v>2006</v>
      </c>
      <c r="M406" s="26" t="s">
        <v>2007</v>
      </c>
      <c r="N406" s="26" t="s">
        <v>53</v>
      </c>
      <c r="O406" s="26" t="s">
        <v>728</v>
      </c>
      <c r="P406" s="26">
        <v>924</v>
      </c>
      <c r="Q406" s="26" t="s">
        <v>55</v>
      </c>
    </row>
    <row r="407" spans="1:17" hidden="1" x14ac:dyDescent="0.3">
      <c r="A407" s="26" t="s">
        <v>2008</v>
      </c>
      <c r="B407" s="26" t="s">
        <v>2009</v>
      </c>
      <c r="C407" s="26" t="s">
        <v>50</v>
      </c>
      <c r="D407" s="26" t="s">
        <v>1874</v>
      </c>
      <c r="E407" s="26" t="s">
        <v>128</v>
      </c>
      <c r="G407" s="26" t="s">
        <v>1988</v>
      </c>
      <c r="H407" s="26" t="s">
        <v>39</v>
      </c>
      <c r="I407" s="26" t="s">
        <v>2010</v>
      </c>
      <c r="J407" s="11" t="str">
        <f>VLOOKUP(K407,'PN Dictionary'!A:B,2,FALSE)</f>
        <v>Cable Cartridge</v>
      </c>
      <c r="K407" s="26" t="s">
        <v>6</v>
      </c>
      <c r="L407" s="44">
        <v>1823425356587</v>
      </c>
      <c r="M407" s="26">
        <v>1822825356740</v>
      </c>
      <c r="N407" s="26" t="s">
        <v>53</v>
      </c>
      <c r="O407" s="26" t="s">
        <v>728</v>
      </c>
      <c r="P407" s="26">
        <v>90066</v>
      </c>
      <c r="Q407" s="26" t="s">
        <v>55</v>
      </c>
    </row>
    <row r="408" spans="1:17" hidden="1" x14ac:dyDescent="0.3">
      <c r="A408" s="26" t="s">
        <v>2011</v>
      </c>
      <c r="B408" s="26" t="s">
        <v>2012</v>
      </c>
      <c r="C408" s="26" t="s">
        <v>50</v>
      </c>
      <c r="D408" s="26" t="s">
        <v>2013</v>
      </c>
      <c r="E408" s="26" t="s">
        <v>128</v>
      </c>
      <c r="G408" s="26" t="s">
        <v>1988</v>
      </c>
      <c r="H408" s="26" t="s">
        <v>39</v>
      </c>
      <c r="I408" s="26" t="s">
        <v>1609</v>
      </c>
      <c r="J408" s="11" t="str">
        <f>VLOOKUP(K408,'PN Dictionary'!A:B,2,FALSE)</f>
        <v>Cable Cartridge</v>
      </c>
      <c r="K408" s="26" t="s">
        <v>6</v>
      </c>
      <c r="L408" s="44">
        <v>1823425356587</v>
      </c>
      <c r="M408" s="26">
        <v>1822825356740</v>
      </c>
      <c r="N408" s="26" t="s">
        <v>53</v>
      </c>
      <c r="O408" s="26" t="s">
        <v>728</v>
      </c>
      <c r="P408" s="26">
        <v>90066</v>
      </c>
      <c r="Q408" s="26" t="s">
        <v>55</v>
      </c>
    </row>
    <row r="409" spans="1:17" hidden="1" x14ac:dyDescent="0.3">
      <c r="A409" s="26" t="s">
        <v>2014</v>
      </c>
      <c r="B409" s="26" t="s">
        <v>2015</v>
      </c>
      <c r="C409" s="26" t="s">
        <v>50</v>
      </c>
      <c r="D409" s="26" t="s">
        <v>2016</v>
      </c>
      <c r="E409" s="26" t="s">
        <v>633</v>
      </c>
      <c r="G409" s="26" t="s">
        <v>1988</v>
      </c>
      <c r="H409" s="26" t="s">
        <v>39</v>
      </c>
      <c r="I409" s="26" t="s">
        <v>2017</v>
      </c>
      <c r="J409" s="11" t="str">
        <f>VLOOKUP(K409,'PN Dictionary'!A:B,2,FALSE)</f>
        <v>GB300 L10</v>
      </c>
      <c r="K409" s="26" t="s">
        <v>36</v>
      </c>
      <c r="L409" s="44" t="s">
        <v>2053</v>
      </c>
      <c r="M409" s="26" t="s">
        <v>2018</v>
      </c>
      <c r="N409" s="26" t="s">
        <v>53</v>
      </c>
      <c r="O409" s="26" t="s">
        <v>728</v>
      </c>
      <c r="P409" s="26">
        <v>90131</v>
      </c>
      <c r="Q409" s="26" t="s">
        <v>55</v>
      </c>
    </row>
    <row r="410" spans="1:17" hidden="1" x14ac:dyDescent="0.3">
      <c r="A410" s="26" t="s">
        <v>2019</v>
      </c>
      <c r="B410" s="26" t="s">
        <v>2020</v>
      </c>
      <c r="C410" s="26" t="s">
        <v>50</v>
      </c>
      <c r="D410" s="26" t="s">
        <v>2021</v>
      </c>
      <c r="E410" s="26" t="s">
        <v>633</v>
      </c>
      <c r="G410" s="26" t="s">
        <v>1988</v>
      </c>
      <c r="H410" s="26" t="s">
        <v>39</v>
      </c>
      <c r="I410" s="26" t="s">
        <v>2017</v>
      </c>
      <c r="J410" s="11" t="str">
        <f>VLOOKUP(K410,'PN Dictionary'!A:B,2,FALSE)</f>
        <v>GB300 L10</v>
      </c>
      <c r="K410" s="26" t="s">
        <v>36</v>
      </c>
      <c r="L410" s="44" t="s">
        <v>2054</v>
      </c>
      <c r="M410" s="26" t="s">
        <v>1979</v>
      </c>
      <c r="N410" s="26" t="s">
        <v>53</v>
      </c>
      <c r="O410" s="26" t="s">
        <v>728</v>
      </c>
      <c r="P410" s="26">
        <v>90131</v>
      </c>
      <c r="Q410" s="26" t="s">
        <v>55</v>
      </c>
    </row>
    <row r="411" spans="1:17" hidden="1" x14ac:dyDescent="0.3">
      <c r="A411" s="26" t="s">
        <v>2022</v>
      </c>
      <c r="B411" s="26" t="s">
        <v>2023</v>
      </c>
      <c r="C411" s="26" t="s">
        <v>50</v>
      </c>
      <c r="D411" s="26" t="s">
        <v>2024</v>
      </c>
      <c r="E411" s="26" t="s">
        <v>128</v>
      </c>
      <c r="G411" s="26" t="s">
        <v>1988</v>
      </c>
      <c r="H411" s="26" t="s">
        <v>39</v>
      </c>
      <c r="I411" s="26" t="s">
        <v>2025</v>
      </c>
      <c r="J411" s="11" t="str">
        <f>VLOOKUP(K411,'PN Dictionary'!A:B,2,FALSE)</f>
        <v>Cable Cartridge</v>
      </c>
      <c r="K411" s="26" t="s">
        <v>6</v>
      </c>
      <c r="L411" s="44">
        <v>1824025185410</v>
      </c>
      <c r="M411" s="26">
        <v>1823325355499</v>
      </c>
      <c r="N411" s="26" t="s">
        <v>53</v>
      </c>
      <c r="O411" s="26" t="s">
        <v>728</v>
      </c>
      <c r="P411" s="26">
        <v>90066</v>
      </c>
      <c r="Q411" s="26" t="s">
        <v>55</v>
      </c>
    </row>
    <row r="412" spans="1:17" hidden="1" x14ac:dyDescent="0.3">
      <c r="A412" s="26" t="s">
        <v>2026</v>
      </c>
      <c r="B412" s="26" t="s">
        <v>2027</v>
      </c>
      <c r="C412" s="26" t="s">
        <v>50</v>
      </c>
      <c r="D412" s="26" t="s">
        <v>2024</v>
      </c>
      <c r="E412" s="26" t="s">
        <v>128</v>
      </c>
      <c r="G412" s="26" t="s">
        <v>1988</v>
      </c>
      <c r="H412" s="26" t="s">
        <v>39</v>
      </c>
      <c r="I412" s="26" t="s">
        <v>2025</v>
      </c>
      <c r="J412" s="11" t="str">
        <f>VLOOKUP(K412,'PN Dictionary'!A:B,2,FALSE)</f>
        <v>Cable Cartridge</v>
      </c>
      <c r="K412" s="26" t="s">
        <v>6</v>
      </c>
      <c r="L412" s="44">
        <v>1823325354560</v>
      </c>
      <c r="M412" s="26">
        <v>1823325355575</v>
      </c>
      <c r="N412" s="26" t="s">
        <v>53</v>
      </c>
      <c r="O412" s="26" t="s">
        <v>728</v>
      </c>
      <c r="P412" s="26">
        <v>90066</v>
      </c>
      <c r="Q412" s="26" t="s">
        <v>55</v>
      </c>
    </row>
    <row r="413" spans="1:17" hidden="1" x14ac:dyDescent="0.3">
      <c r="A413" s="26" t="s">
        <v>2028</v>
      </c>
      <c r="B413" s="26" t="s">
        <v>2029</v>
      </c>
      <c r="C413" s="26" t="s">
        <v>50</v>
      </c>
      <c r="D413" s="26" t="s">
        <v>1884</v>
      </c>
      <c r="E413" s="26" t="s">
        <v>374</v>
      </c>
      <c r="G413" s="26" t="s">
        <v>1988</v>
      </c>
      <c r="H413" s="26" t="s">
        <v>39</v>
      </c>
      <c r="I413" s="26" t="s">
        <v>2030</v>
      </c>
      <c r="J413" s="11" t="str">
        <f>VLOOKUP(K413,'PN Dictionary'!A:B,2,FALSE)</f>
        <v>NVSwitch</v>
      </c>
      <c r="K413" s="26" t="s">
        <v>7</v>
      </c>
      <c r="L413" s="44" t="s">
        <v>2031</v>
      </c>
      <c r="M413" s="26" t="s">
        <v>2032</v>
      </c>
      <c r="N413" s="26" t="s">
        <v>53</v>
      </c>
      <c r="O413" s="26" t="s">
        <v>728</v>
      </c>
      <c r="P413" s="26">
        <v>3908</v>
      </c>
      <c r="Q413" s="26" t="s">
        <v>55</v>
      </c>
    </row>
    <row r="414" spans="1:17" hidden="1" x14ac:dyDescent="0.3">
      <c r="A414" s="26" t="s">
        <v>2033</v>
      </c>
      <c r="B414" s="26" t="s">
        <v>2034</v>
      </c>
      <c r="C414" s="26" t="s">
        <v>50</v>
      </c>
      <c r="D414" s="26" t="s">
        <v>1978</v>
      </c>
      <c r="E414" s="26" t="s">
        <v>128</v>
      </c>
      <c r="G414" s="26" t="s">
        <v>1988</v>
      </c>
      <c r="H414" s="26" t="s">
        <v>39</v>
      </c>
      <c r="I414" s="26" t="s">
        <v>205</v>
      </c>
      <c r="J414" s="11" t="str">
        <f>VLOOKUP(K414,'PN Dictionary'!A:B,2,FALSE)</f>
        <v>Cable Cartridge</v>
      </c>
      <c r="K414" s="26" t="s">
        <v>6</v>
      </c>
      <c r="L414" s="44">
        <v>1823425356342</v>
      </c>
      <c r="M414" s="26">
        <v>1823525354908</v>
      </c>
      <c r="N414" s="26" t="s">
        <v>53</v>
      </c>
      <c r="O414" s="26" t="s">
        <v>728</v>
      </c>
      <c r="P414" s="26">
        <v>1348</v>
      </c>
      <c r="Q414" s="26" t="s">
        <v>55</v>
      </c>
    </row>
    <row r="415" spans="1:17" hidden="1" x14ac:dyDescent="0.3">
      <c r="A415" s="26" t="s">
        <v>2035</v>
      </c>
      <c r="B415" s="26" t="s">
        <v>2036</v>
      </c>
      <c r="C415" s="26" t="s">
        <v>50</v>
      </c>
      <c r="D415" s="26" t="s">
        <v>1982</v>
      </c>
      <c r="E415" s="26" t="s">
        <v>81</v>
      </c>
      <c r="G415" s="26" t="s">
        <v>1988</v>
      </c>
      <c r="H415" s="26" t="s">
        <v>39</v>
      </c>
      <c r="I415" s="26" t="s">
        <v>2037</v>
      </c>
      <c r="J415" s="11" t="str">
        <f>VLOOKUP(K415,'PN Dictionary'!A:B,2,FALSE)</f>
        <v>GB300 L10</v>
      </c>
      <c r="K415" s="26" t="s">
        <v>36</v>
      </c>
      <c r="L415" s="44" t="s">
        <v>2055</v>
      </c>
      <c r="M415" s="26" t="s">
        <v>2038</v>
      </c>
      <c r="N415" s="26" t="s">
        <v>53</v>
      </c>
      <c r="O415" s="26" t="s">
        <v>728</v>
      </c>
      <c r="P415" s="26">
        <v>90131</v>
      </c>
      <c r="Q415" s="26" t="s">
        <v>55</v>
      </c>
    </row>
    <row r="416" spans="1:17" hidden="1" x14ac:dyDescent="0.3">
      <c r="A416" s="26" t="s">
        <v>2039</v>
      </c>
      <c r="B416" s="26" t="s">
        <v>2040</v>
      </c>
      <c r="C416" s="26" t="s">
        <v>50</v>
      </c>
      <c r="D416" s="26" t="s">
        <v>1968</v>
      </c>
      <c r="E416" s="26" t="s">
        <v>230</v>
      </c>
      <c r="G416" s="26" t="s">
        <v>1988</v>
      </c>
      <c r="H416" s="26" t="s">
        <v>39</v>
      </c>
      <c r="I416" s="26" t="s">
        <v>2041</v>
      </c>
      <c r="J416" s="11" t="str">
        <f>VLOOKUP(K416,'PN Dictionary'!A:B,2,FALSE)</f>
        <v>NVSwitch</v>
      </c>
      <c r="K416" s="26" t="s">
        <v>7</v>
      </c>
      <c r="L416" s="44" t="s">
        <v>2042</v>
      </c>
      <c r="M416" s="26" t="s">
        <v>1390</v>
      </c>
      <c r="N416" s="26" t="s">
        <v>53</v>
      </c>
      <c r="O416" s="26" t="s">
        <v>728</v>
      </c>
      <c r="P416" s="26">
        <v>1348</v>
      </c>
      <c r="Q416" s="26" t="s">
        <v>55</v>
      </c>
    </row>
    <row r="417" spans="1:17" hidden="1" x14ac:dyDescent="0.3">
      <c r="A417" s="26" t="s">
        <v>2057</v>
      </c>
      <c r="B417" s="26" t="s">
        <v>2058</v>
      </c>
      <c r="C417" s="26" t="s">
        <v>50</v>
      </c>
      <c r="D417" s="26" t="s">
        <v>2059</v>
      </c>
      <c r="E417" s="26" t="s">
        <v>38</v>
      </c>
      <c r="G417" s="26" t="s">
        <v>2060</v>
      </c>
      <c r="H417" s="26" t="s">
        <v>39</v>
      </c>
      <c r="I417" s="26" t="s">
        <v>2117</v>
      </c>
      <c r="J417" s="11" t="str">
        <f>VLOOKUP(K417,'PN Dictionary'!A:B,2,FALSE)</f>
        <v>GB300 L10</v>
      </c>
      <c r="K417" s="26" t="s">
        <v>36</v>
      </c>
      <c r="L417" s="44" t="s">
        <v>2116</v>
      </c>
      <c r="M417" s="26" t="s">
        <v>2061</v>
      </c>
      <c r="N417" s="26" t="s">
        <v>53</v>
      </c>
      <c r="O417" s="26" t="s">
        <v>728</v>
      </c>
      <c r="P417" s="26">
        <v>90066</v>
      </c>
      <c r="Q417" s="26" t="s">
        <v>55</v>
      </c>
    </row>
    <row r="418" spans="1:17" hidden="1" x14ac:dyDescent="0.3">
      <c r="A418" s="26" t="s">
        <v>2062</v>
      </c>
      <c r="B418" s="26" t="s">
        <v>2063</v>
      </c>
      <c r="C418" s="26" t="s">
        <v>50</v>
      </c>
      <c r="D418" s="26" t="s">
        <v>1951</v>
      </c>
      <c r="E418" s="26" t="s">
        <v>128</v>
      </c>
      <c r="G418" s="26" t="s">
        <v>2060</v>
      </c>
      <c r="H418" s="26" t="s">
        <v>536</v>
      </c>
      <c r="I418" s="26" t="s">
        <v>2064</v>
      </c>
      <c r="J418" s="11" t="str">
        <f>VLOOKUP(K418,'PN Dictionary'!A:B,2,FALSE)</f>
        <v>Cable Cartridge</v>
      </c>
      <c r="K418" s="26" t="s">
        <v>6</v>
      </c>
      <c r="L418" s="44">
        <v>1822825356672</v>
      </c>
      <c r="M418" s="26"/>
      <c r="N418" s="26" t="s">
        <v>53</v>
      </c>
      <c r="O418" s="26" t="s">
        <v>728</v>
      </c>
      <c r="P418" s="26">
        <v>924</v>
      </c>
      <c r="Q418" s="26" t="s">
        <v>55</v>
      </c>
    </row>
    <row r="419" spans="1:17" hidden="1" x14ac:dyDescent="0.3">
      <c r="A419" s="26" t="s">
        <v>2065</v>
      </c>
      <c r="B419" s="26" t="s">
        <v>2066</v>
      </c>
      <c r="C419" s="26" t="s">
        <v>50</v>
      </c>
      <c r="D419" s="26" t="s">
        <v>2067</v>
      </c>
      <c r="E419" s="26" t="s">
        <v>128</v>
      </c>
      <c r="G419" s="26" t="s">
        <v>2060</v>
      </c>
      <c r="H419" s="26" t="s">
        <v>39</v>
      </c>
      <c r="I419" s="26" t="s">
        <v>2068</v>
      </c>
      <c r="J419" s="11" t="str">
        <f>VLOOKUP(K419,'PN Dictionary'!A:B,2,FALSE)</f>
        <v>Cable Cartridge</v>
      </c>
      <c r="K419" s="26" t="s">
        <v>6</v>
      </c>
      <c r="L419" s="44">
        <v>1823325354674</v>
      </c>
      <c r="M419" s="26">
        <v>1823325355298</v>
      </c>
      <c r="N419" s="26" t="s">
        <v>53</v>
      </c>
      <c r="O419" s="26" t="s">
        <v>728</v>
      </c>
      <c r="P419" s="26">
        <v>924</v>
      </c>
      <c r="Q419" s="26" t="s">
        <v>55</v>
      </c>
    </row>
    <row r="420" spans="1:17" hidden="1" x14ac:dyDescent="0.3">
      <c r="A420" s="26" t="s">
        <v>2069</v>
      </c>
      <c r="B420" s="26" t="s">
        <v>2070</v>
      </c>
      <c r="C420" s="26" t="s">
        <v>50</v>
      </c>
      <c r="D420" s="26" t="s">
        <v>2013</v>
      </c>
      <c r="E420" s="26" t="s">
        <v>128</v>
      </c>
      <c r="G420" s="26" t="s">
        <v>2060</v>
      </c>
      <c r="H420" s="26" t="s">
        <v>39</v>
      </c>
      <c r="I420" s="26" t="s">
        <v>2071</v>
      </c>
      <c r="J420" s="11" t="str">
        <f>VLOOKUP(K420,'PN Dictionary'!A:B,2,FALSE)</f>
        <v>Cable Cartridge</v>
      </c>
      <c r="K420" s="26" t="s">
        <v>6</v>
      </c>
      <c r="L420" s="44">
        <v>1824025185402</v>
      </c>
      <c r="M420" s="26">
        <v>1823325355189</v>
      </c>
      <c r="N420" s="26" t="s">
        <v>53</v>
      </c>
      <c r="O420" s="26" t="s">
        <v>728</v>
      </c>
      <c r="P420" s="26">
        <v>924</v>
      </c>
      <c r="Q420" s="26" t="s">
        <v>55</v>
      </c>
    </row>
    <row r="421" spans="1:17" hidden="1" x14ac:dyDescent="0.3">
      <c r="A421" s="26" t="s">
        <v>2072</v>
      </c>
      <c r="B421" s="26" t="s">
        <v>2073</v>
      </c>
      <c r="C421" s="26" t="s">
        <v>50</v>
      </c>
      <c r="D421" s="26" t="s">
        <v>2074</v>
      </c>
      <c r="E421" s="26" t="s">
        <v>128</v>
      </c>
      <c r="G421" s="26" t="s">
        <v>2060</v>
      </c>
      <c r="H421" s="26" t="s">
        <v>39</v>
      </c>
      <c r="I421" s="26" t="s">
        <v>2075</v>
      </c>
      <c r="J421" s="11" t="str">
        <f>VLOOKUP(K421,'PN Dictionary'!A:B,2,FALSE)</f>
        <v>Cable Cartridge</v>
      </c>
      <c r="K421" s="26" t="s">
        <v>6</v>
      </c>
      <c r="L421" s="44">
        <v>1823425355237</v>
      </c>
      <c r="M421" s="26">
        <v>2024025350501</v>
      </c>
      <c r="N421" s="26" t="s">
        <v>53</v>
      </c>
      <c r="O421" s="26" t="s">
        <v>728</v>
      </c>
      <c r="P421" s="26">
        <v>924</v>
      </c>
      <c r="Q421" s="26" t="s">
        <v>55</v>
      </c>
    </row>
    <row r="422" spans="1:17" hidden="1" x14ac:dyDescent="0.3">
      <c r="A422" s="26" t="s">
        <v>2076</v>
      </c>
      <c r="B422" s="26" t="s">
        <v>2077</v>
      </c>
      <c r="C422" s="26" t="s">
        <v>50</v>
      </c>
      <c r="D422" s="26" t="s">
        <v>1765</v>
      </c>
      <c r="E422" s="26" t="s">
        <v>52</v>
      </c>
      <c r="G422" s="26" t="s">
        <v>2060</v>
      </c>
      <c r="H422" s="26" t="s">
        <v>39</v>
      </c>
      <c r="I422" s="26" t="s">
        <v>2078</v>
      </c>
      <c r="J422" s="11" t="str">
        <f>VLOOKUP(K422,'PN Dictionary'!A:B,2,FALSE)</f>
        <v>GB300 L10</v>
      </c>
      <c r="K422" s="26" t="s">
        <v>36</v>
      </c>
      <c r="L422" s="44" t="s">
        <v>2118</v>
      </c>
      <c r="M422" s="26" t="s">
        <v>1724</v>
      </c>
      <c r="N422" s="26" t="s">
        <v>53</v>
      </c>
      <c r="O422" s="26" t="s">
        <v>728</v>
      </c>
      <c r="P422" s="26">
        <v>718</v>
      </c>
      <c r="Q422" s="26" t="s">
        <v>55</v>
      </c>
    </row>
    <row r="423" spans="1:17" hidden="1" x14ac:dyDescent="0.3">
      <c r="A423" s="26" t="s">
        <v>2079</v>
      </c>
      <c r="B423" s="26" t="s">
        <v>2080</v>
      </c>
      <c r="C423" s="26" t="s">
        <v>50</v>
      </c>
      <c r="D423" s="26" t="s">
        <v>2016</v>
      </c>
      <c r="E423" s="26" t="s">
        <v>52</v>
      </c>
      <c r="G423" s="26" t="s">
        <v>2060</v>
      </c>
      <c r="H423" s="26" t="s">
        <v>39</v>
      </c>
      <c r="I423" s="26" t="s">
        <v>2081</v>
      </c>
      <c r="J423" s="11" t="str">
        <f>VLOOKUP(K423,'PN Dictionary'!A:B,2,FALSE)</f>
        <v>GB300 L10</v>
      </c>
      <c r="K423" s="26" t="s">
        <v>36</v>
      </c>
      <c r="L423" s="44" t="s">
        <v>2119</v>
      </c>
      <c r="M423" s="26" t="s">
        <v>2082</v>
      </c>
      <c r="N423" s="26" t="s">
        <v>53</v>
      </c>
      <c r="O423" s="26" t="s">
        <v>728</v>
      </c>
      <c r="P423" s="26">
        <v>718</v>
      </c>
      <c r="Q423" s="26" t="s">
        <v>55</v>
      </c>
    </row>
    <row r="424" spans="1:17" hidden="1" x14ac:dyDescent="0.3">
      <c r="A424" s="26" t="s">
        <v>2083</v>
      </c>
      <c r="B424" s="26" t="s">
        <v>2084</v>
      </c>
      <c r="C424" s="26" t="s">
        <v>50</v>
      </c>
      <c r="D424" s="26" t="s">
        <v>2085</v>
      </c>
      <c r="E424" s="26" t="s">
        <v>2086</v>
      </c>
      <c r="G424" s="26" t="s">
        <v>2060</v>
      </c>
      <c r="H424" s="26" t="s">
        <v>39</v>
      </c>
      <c r="I424" s="26" t="s">
        <v>2087</v>
      </c>
      <c r="J424" s="11" t="str">
        <f>VLOOKUP(K424,'PN Dictionary'!A:B,2,FALSE)</f>
        <v>NVSwitch</v>
      </c>
      <c r="K424" s="26" t="s">
        <v>7</v>
      </c>
      <c r="L424" s="44" t="s">
        <v>2088</v>
      </c>
      <c r="M424" s="26" t="s">
        <v>2089</v>
      </c>
      <c r="N424" s="26" t="s">
        <v>53</v>
      </c>
      <c r="O424" s="26" t="s">
        <v>728</v>
      </c>
      <c r="P424" s="26">
        <v>640</v>
      </c>
      <c r="Q424" s="26" t="s">
        <v>55</v>
      </c>
    </row>
    <row r="425" spans="1:17" hidden="1" x14ac:dyDescent="0.3">
      <c r="A425" s="26" t="s">
        <v>2090</v>
      </c>
      <c r="B425" s="26" t="s">
        <v>2091</v>
      </c>
      <c r="C425" s="26" t="s">
        <v>50</v>
      </c>
      <c r="D425" s="26" t="s">
        <v>2016</v>
      </c>
      <c r="E425" s="26" t="s">
        <v>242</v>
      </c>
      <c r="G425" s="26" t="s">
        <v>2060</v>
      </c>
      <c r="H425" s="26" t="s">
        <v>39</v>
      </c>
      <c r="I425" s="26" t="s">
        <v>2092</v>
      </c>
      <c r="J425" s="11" t="str">
        <f>VLOOKUP(K425,'PN Dictionary'!A:B,2,FALSE)</f>
        <v>Delta power shelf right input</v>
      </c>
      <c r="K425" s="26" t="s">
        <v>353</v>
      </c>
      <c r="L425" s="44" t="s">
        <v>2093</v>
      </c>
      <c r="M425" s="26" t="s">
        <v>2094</v>
      </c>
      <c r="N425" s="26" t="s">
        <v>53</v>
      </c>
      <c r="O425" s="26" t="s">
        <v>728</v>
      </c>
      <c r="P425" s="26">
        <v>718</v>
      </c>
      <c r="Q425" s="26" t="s">
        <v>55</v>
      </c>
    </row>
    <row r="426" spans="1:17" hidden="1" x14ac:dyDescent="0.3">
      <c r="A426" s="26" t="s">
        <v>2095</v>
      </c>
      <c r="B426" s="26" t="s">
        <v>2096</v>
      </c>
      <c r="C426" s="26" t="s">
        <v>50</v>
      </c>
      <c r="D426" s="26" t="s">
        <v>2097</v>
      </c>
      <c r="E426" s="26" t="s">
        <v>128</v>
      </c>
      <c r="G426" s="26" t="s">
        <v>2060</v>
      </c>
      <c r="H426" s="26" t="s">
        <v>39</v>
      </c>
      <c r="I426" s="26" t="s">
        <v>2098</v>
      </c>
      <c r="J426" s="11" t="str">
        <f>VLOOKUP(K426,'PN Dictionary'!A:B,2,FALSE)</f>
        <v>Cable Cartridge</v>
      </c>
      <c r="K426" s="26" t="s">
        <v>6</v>
      </c>
      <c r="L426" s="44">
        <v>2024225881153</v>
      </c>
      <c r="M426" s="26">
        <v>1824025185364</v>
      </c>
      <c r="N426" s="26" t="s">
        <v>53</v>
      </c>
      <c r="O426" s="26" t="s">
        <v>728</v>
      </c>
      <c r="P426" s="26">
        <v>640</v>
      </c>
      <c r="Q426" s="26" t="s">
        <v>55</v>
      </c>
    </row>
    <row r="427" spans="1:17" hidden="1" x14ac:dyDescent="0.3">
      <c r="A427" s="26" t="s">
        <v>2099</v>
      </c>
      <c r="B427" s="26" t="s">
        <v>2100</v>
      </c>
      <c r="C427" s="26" t="s">
        <v>50</v>
      </c>
      <c r="D427" s="26" t="s">
        <v>1951</v>
      </c>
      <c r="E427" s="26" t="s">
        <v>374</v>
      </c>
      <c r="G427" s="26" t="s">
        <v>2060</v>
      </c>
      <c r="H427" s="26" t="s">
        <v>39</v>
      </c>
      <c r="I427" s="26" t="s">
        <v>2101</v>
      </c>
      <c r="J427" s="11" t="str">
        <f>VLOOKUP(K427,'PN Dictionary'!A:B,2,FALSE)</f>
        <v>NVSwitch</v>
      </c>
      <c r="K427" s="26" t="s">
        <v>7</v>
      </c>
      <c r="L427" s="44" t="s">
        <v>2102</v>
      </c>
      <c r="M427" s="26" t="s">
        <v>2103</v>
      </c>
      <c r="N427" s="26" t="s">
        <v>53</v>
      </c>
      <c r="O427" s="26" t="s">
        <v>728</v>
      </c>
      <c r="P427" s="26">
        <v>928</v>
      </c>
      <c r="Q427" s="26" t="s">
        <v>55</v>
      </c>
    </row>
    <row r="428" spans="1:17" hidden="1" x14ac:dyDescent="0.3">
      <c r="A428" s="26" t="s">
        <v>2104</v>
      </c>
      <c r="B428" s="26" t="s">
        <v>2105</v>
      </c>
      <c r="C428" s="26" t="s">
        <v>50</v>
      </c>
      <c r="D428" s="26" t="s">
        <v>2056</v>
      </c>
      <c r="E428" s="26" t="s">
        <v>230</v>
      </c>
      <c r="G428" s="26" t="s">
        <v>2060</v>
      </c>
      <c r="H428" s="26" t="s">
        <v>39</v>
      </c>
      <c r="I428" s="26" t="s">
        <v>2106</v>
      </c>
      <c r="J428" s="11" t="str">
        <f>VLOOKUP(K428,'PN Dictionary'!A:B,2,FALSE)</f>
        <v>NVSwitch</v>
      </c>
      <c r="K428" s="26" t="s">
        <v>7</v>
      </c>
      <c r="L428" s="44" t="s">
        <v>2107</v>
      </c>
      <c r="M428" s="26" t="s">
        <v>2108</v>
      </c>
      <c r="N428" s="26" t="s">
        <v>53</v>
      </c>
      <c r="O428" s="26" t="s">
        <v>728</v>
      </c>
      <c r="P428" s="26">
        <v>718</v>
      </c>
      <c r="Q428" s="26" t="s">
        <v>55</v>
      </c>
    </row>
    <row r="429" spans="1:17" hidden="1" x14ac:dyDescent="0.3">
      <c r="A429" s="26" t="s">
        <v>2109</v>
      </c>
      <c r="B429" s="26" t="s">
        <v>2110</v>
      </c>
      <c r="C429" s="26" t="s">
        <v>50</v>
      </c>
      <c r="D429" s="26" t="s">
        <v>2013</v>
      </c>
      <c r="E429" s="26" t="s">
        <v>761</v>
      </c>
      <c r="G429" s="26" t="s">
        <v>2060</v>
      </c>
      <c r="H429" s="26" t="s">
        <v>39</v>
      </c>
      <c r="I429" s="26" t="s">
        <v>1190</v>
      </c>
      <c r="J429" s="11" t="str">
        <f>VLOOKUP(K429,'PN Dictionary'!A:B,2,FALSE)</f>
        <v>GB300 L10</v>
      </c>
      <c r="K429" s="26" t="s">
        <v>36</v>
      </c>
      <c r="L429" s="44" t="s">
        <v>2120</v>
      </c>
      <c r="M429" s="26" t="s">
        <v>2111</v>
      </c>
      <c r="N429" s="26" t="s">
        <v>53</v>
      </c>
      <c r="O429" s="26" t="s">
        <v>728</v>
      </c>
      <c r="P429" s="26">
        <v>90066</v>
      </c>
      <c r="Q429" s="26" t="s">
        <v>55</v>
      </c>
    </row>
    <row r="430" spans="1:17" hidden="1" x14ac:dyDescent="0.3">
      <c r="A430" s="26" t="s">
        <v>2112</v>
      </c>
      <c r="B430" s="26" t="s">
        <v>2113</v>
      </c>
      <c r="C430" s="26" t="s">
        <v>50</v>
      </c>
      <c r="D430" s="26" t="s">
        <v>2114</v>
      </c>
      <c r="E430" s="26" t="s">
        <v>761</v>
      </c>
      <c r="G430" s="26" t="s">
        <v>2060</v>
      </c>
      <c r="H430" s="26" t="s">
        <v>39</v>
      </c>
      <c r="I430" s="26" t="s">
        <v>1190</v>
      </c>
      <c r="J430" s="11" t="str">
        <f>VLOOKUP(K430,'PN Dictionary'!A:B,2,FALSE)</f>
        <v>GB300 L10</v>
      </c>
      <c r="K430" s="26" t="s">
        <v>36</v>
      </c>
      <c r="L430" s="44" t="s">
        <v>2121</v>
      </c>
      <c r="M430" s="26" t="s">
        <v>2115</v>
      </c>
      <c r="N430" s="26" t="s">
        <v>53</v>
      </c>
      <c r="O430" s="26" t="s">
        <v>728</v>
      </c>
      <c r="P430" s="26">
        <v>90066</v>
      </c>
      <c r="Q430" s="26" t="s">
        <v>55</v>
      </c>
    </row>
    <row r="431" spans="1:17" hidden="1" x14ac:dyDescent="0.3">
      <c r="A431" s="26" t="s">
        <v>2123</v>
      </c>
      <c r="B431" s="26" t="s">
        <v>2124</v>
      </c>
      <c r="C431" s="26" t="s">
        <v>50</v>
      </c>
      <c r="D431" s="26" t="s">
        <v>2114</v>
      </c>
      <c r="E431" s="26" t="s">
        <v>761</v>
      </c>
      <c r="G431" s="26" t="s">
        <v>2060</v>
      </c>
      <c r="H431" s="26" t="s">
        <v>39</v>
      </c>
      <c r="I431" s="26" t="s">
        <v>1190</v>
      </c>
      <c r="J431" s="11" t="str">
        <f>VLOOKUP(K431,'PN Dictionary'!A:B,2,FALSE)</f>
        <v>GB300 L10</v>
      </c>
      <c r="K431" s="26" t="s">
        <v>36</v>
      </c>
      <c r="L431" s="44" t="s">
        <v>2209</v>
      </c>
      <c r="M431" s="26" t="s">
        <v>2125</v>
      </c>
      <c r="N431" s="26" t="s">
        <v>53</v>
      </c>
      <c r="O431" s="26" t="s">
        <v>728</v>
      </c>
      <c r="P431" s="26">
        <v>90066</v>
      </c>
      <c r="Q431" s="26" t="s">
        <v>55</v>
      </c>
    </row>
    <row r="432" spans="1:17" hidden="1" x14ac:dyDescent="0.3">
      <c r="A432" s="26" t="s">
        <v>2126</v>
      </c>
      <c r="B432" s="26" t="s">
        <v>2127</v>
      </c>
      <c r="C432" s="26" t="s">
        <v>50</v>
      </c>
      <c r="D432" s="26" t="s">
        <v>2013</v>
      </c>
      <c r="E432" s="26" t="s">
        <v>411</v>
      </c>
      <c r="G432" s="26" t="s">
        <v>2060</v>
      </c>
      <c r="H432" s="26" t="s">
        <v>39</v>
      </c>
      <c r="I432" s="26" t="s">
        <v>2128</v>
      </c>
      <c r="J432" s="11" t="str">
        <f>VLOOKUP(K432,'PN Dictionary'!A:B,2,FALSE)</f>
        <v>NVSwitch</v>
      </c>
      <c r="K432" s="26" t="s">
        <v>7</v>
      </c>
      <c r="L432" s="44" t="s">
        <v>2129</v>
      </c>
      <c r="M432" s="26" t="s">
        <v>2130</v>
      </c>
      <c r="N432" s="26" t="s">
        <v>53</v>
      </c>
      <c r="O432" s="26" t="s">
        <v>728</v>
      </c>
      <c r="P432" s="26">
        <v>90066</v>
      </c>
      <c r="Q432" s="26" t="s">
        <v>55</v>
      </c>
    </row>
    <row r="433" spans="1:17" hidden="1" x14ac:dyDescent="0.3">
      <c r="A433" s="26" t="s">
        <v>2131</v>
      </c>
      <c r="B433" s="26" t="s">
        <v>2132</v>
      </c>
      <c r="C433" s="26" t="s">
        <v>50</v>
      </c>
      <c r="D433" s="26" t="s">
        <v>2074</v>
      </c>
      <c r="E433" s="26" t="s">
        <v>411</v>
      </c>
      <c r="G433" s="26" t="s">
        <v>2060</v>
      </c>
      <c r="H433" s="26" t="s">
        <v>39</v>
      </c>
      <c r="I433" s="26" t="s">
        <v>2133</v>
      </c>
      <c r="J433" s="11" t="str">
        <f>VLOOKUP(K433,'PN Dictionary'!A:B,2,FALSE)</f>
        <v>NVSwitch</v>
      </c>
      <c r="K433" s="26" t="s">
        <v>7</v>
      </c>
      <c r="L433" s="44" t="s">
        <v>2134</v>
      </c>
      <c r="M433" s="26" t="s">
        <v>2135</v>
      </c>
      <c r="N433" s="26" t="s">
        <v>53</v>
      </c>
      <c r="O433" s="26" t="s">
        <v>728</v>
      </c>
      <c r="P433" s="26">
        <v>90066</v>
      </c>
      <c r="Q433" s="26" t="s">
        <v>55</v>
      </c>
    </row>
    <row r="434" spans="1:17" hidden="1" x14ac:dyDescent="0.3">
      <c r="A434" s="26" t="s">
        <v>2137</v>
      </c>
      <c r="B434" s="26" t="s">
        <v>2138</v>
      </c>
      <c r="C434" s="26" t="s">
        <v>1309</v>
      </c>
      <c r="D434" s="26" t="s">
        <v>2136</v>
      </c>
      <c r="E434" s="26" t="s">
        <v>761</v>
      </c>
      <c r="G434" s="26" t="s">
        <v>2060</v>
      </c>
      <c r="H434" s="26" t="s">
        <v>39</v>
      </c>
      <c r="I434" s="26" t="s">
        <v>1190</v>
      </c>
      <c r="J434" s="11" t="str">
        <f>VLOOKUP(K434,'PN Dictionary'!A:B,2,FALSE)</f>
        <v>GB300 L10</v>
      </c>
      <c r="K434" s="26" t="s">
        <v>1340</v>
      </c>
      <c r="L434" s="44" t="s">
        <v>2210</v>
      </c>
      <c r="M434" s="26" t="s">
        <v>2139</v>
      </c>
      <c r="N434" s="26" t="s">
        <v>53</v>
      </c>
      <c r="O434" s="26" t="s">
        <v>728</v>
      </c>
      <c r="P434" s="26">
        <v>90066</v>
      </c>
      <c r="Q434" s="26" t="s">
        <v>55</v>
      </c>
    </row>
    <row r="435" spans="1:17" hidden="1" x14ac:dyDescent="0.3">
      <c r="A435" s="26" t="s">
        <v>2140</v>
      </c>
      <c r="B435" s="26" t="s">
        <v>2141</v>
      </c>
      <c r="C435" s="26" t="s">
        <v>50</v>
      </c>
      <c r="D435" s="26" t="s">
        <v>2142</v>
      </c>
      <c r="E435" s="26" t="s">
        <v>87</v>
      </c>
      <c r="G435" s="26" t="s">
        <v>2060</v>
      </c>
      <c r="H435" s="26" t="s">
        <v>39</v>
      </c>
      <c r="I435" s="26" t="s">
        <v>2143</v>
      </c>
      <c r="J435" s="11" t="str">
        <f>VLOOKUP(K435,'PN Dictionary'!A:B,2,FALSE)</f>
        <v>GB300 L10</v>
      </c>
      <c r="K435" s="26" t="s">
        <v>36</v>
      </c>
      <c r="L435" s="44" t="s">
        <v>2211</v>
      </c>
      <c r="M435" s="26" t="s">
        <v>2145</v>
      </c>
      <c r="N435" s="26" t="s">
        <v>53</v>
      </c>
      <c r="O435" s="26" t="s">
        <v>728</v>
      </c>
      <c r="P435" s="26">
        <v>90168</v>
      </c>
      <c r="Q435" s="26" t="s">
        <v>55</v>
      </c>
    </row>
    <row r="436" spans="1:17" hidden="1" x14ac:dyDescent="0.3">
      <c r="A436" s="26" t="s">
        <v>2146</v>
      </c>
      <c r="B436" s="26" t="s">
        <v>2147</v>
      </c>
      <c r="C436" s="26" t="s">
        <v>50</v>
      </c>
      <c r="D436" s="26" t="s">
        <v>1968</v>
      </c>
      <c r="E436" s="26" t="s">
        <v>128</v>
      </c>
      <c r="G436" s="26" t="s">
        <v>2060</v>
      </c>
      <c r="H436" s="26" t="s">
        <v>39</v>
      </c>
      <c r="I436" s="26" t="s">
        <v>2148</v>
      </c>
      <c r="J436" s="11" t="str">
        <f>VLOOKUP(K436,'PN Dictionary'!A:B,2,FALSE)</f>
        <v>Cable Cartridge</v>
      </c>
      <c r="K436" s="26" t="s">
        <v>6</v>
      </c>
      <c r="L436" s="44">
        <v>1823425356422</v>
      </c>
      <c r="M436" s="26">
        <v>1823525354817</v>
      </c>
      <c r="N436" s="26" t="s">
        <v>53</v>
      </c>
      <c r="O436" s="26" t="s">
        <v>728</v>
      </c>
      <c r="P436" s="26">
        <v>90168</v>
      </c>
      <c r="Q436" s="26" t="s">
        <v>55</v>
      </c>
    </row>
    <row r="437" spans="1:17" hidden="1" x14ac:dyDescent="0.3">
      <c r="A437" s="26" t="s">
        <v>2149</v>
      </c>
      <c r="B437" s="26" t="s">
        <v>2150</v>
      </c>
      <c r="C437" s="26" t="s">
        <v>50</v>
      </c>
      <c r="D437" s="26" t="s">
        <v>1978</v>
      </c>
      <c r="E437" s="26" t="s">
        <v>128</v>
      </c>
      <c r="G437" s="26" t="s">
        <v>2060</v>
      </c>
      <c r="H437" s="26" t="s">
        <v>39</v>
      </c>
      <c r="I437" s="26" t="s">
        <v>2151</v>
      </c>
      <c r="J437" s="11" t="str">
        <f>VLOOKUP(K437,'PN Dictionary'!A:B,2,FALSE)</f>
        <v>Cable Cartridge</v>
      </c>
      <c r="K437" s="26" t="s">
        <v>6</v>
      </c>
      <c r="L437" s="44">
        <v>1823425356381</v>
      </c>
      <c r="M437" s="26">
        <v>1823525354873</v>
      </c>
      <c r="N437" s="26" t="s">
        <v>53</v>
      </c>
      <c r="O437" s="26" t="s">
        <v>728</v>
      </c>
      <c r="P437" s="26">
        <v>90168</v>
      </c>
      <c r="Q437" s="26" t="s">
        <v>55</v>
      </c>
    </row>
    <row r="438" spans="1:17" hidden="1" x14ac:dyDescent="0.3">
      <c r="A438" s="26" t="s">
        <v>2152</v>
      </c>
      <c r="B438" s="26" t="s">
        <v>2153</v>
      </c>
      <c r="C438" s="26" t="s">
        <v>50</v>
      </c>
      <c r="D438" s="26" t="s">
        <v>2085</v>
      </c>
      <c r="E438" s="26" t="s">
        <v>128</v>
      </c>
      <c r="G438" s="26" t="s">
        <v>2060</v>
      </c>
      <c r="H438" s="26" t="s">
        <v>39</v>
      </c>
      <c r="I438" s="26" t="s">
        <v>486</v>
      </c>
      <c r="J438" s="11" t="str">
        <f>VLOOKUP(K438,'PN Dictionary'!A:B,2,FALSE)</f>
        <v>Cable Cartridge</v>
      </c>
      <c r="K438" s="26" t="s">
        <v>6</v>
      </c>
      <c r="L438" s="44">
        <v>1823425356338</v>
      </c>
      <c r="M438" s="26">
        <v>1824025185377</v>
      </c>
      <c r="N438" s="26" t="s">
        <v>53</v>
      </c>
      <c r="O438" s="26" t="s">
        <v>728</v>
      </c>
      <c r="P438" s="26">
        <v>90168</v>
      </c>
      <c r="Q438" s="26" t="s">
        <v>55</v>
      </c>
    </row>
    <row r="439" spans="1:17" hidden="1" x14ac:dyDescent="0.3">
      <c r="A439" s="26" t="s">
        <v>2154</v>
      </c>
      <c r="B439" s="26" t="s">
        <v>2155</v>
      </c>
      <c r="C439" s="26" t="s">
        <v>1309</v>
      </c>
      <c r="D439" s="26" t="s">
        <v>2136</v>
      </c>
      <c r="E439" s="26" t="s">
        <v>761</v>
      </c>
      <c r="G439" s="26" t="s">
        <v>2060</v>
      </c>
      <c r="H439" s="26" t="s">
        <v>39</v>
      </c>
      <c r="I439" s="26" t="s">
        <v>1190</v>
      </c>
      <c r="J439" s="11" t="str">
        <f>VLOOKUP(K439,'PN Dictionary'!A:B,2,FALSE)</f>
        <v>GB300 L10</v>
      </c>
      <c r="K439" s="26" t="s">
        <v>1340</v>
      </c>
      <c r="L439" s="44" t="s">
        <v>2212</v>
      </c>
      <c r="M439" s="26" t="s">
        <v>2156</v>
      </c>
      <c r="N439" s="26" t="s">
        <v>53</v>
      </c>
      <c r="O439" s="26" t="s">
        <v>728</v>
      </c>
      <c r="P439" s="26">
        <v>90066</v>
      </c>
      <c r="Q439" s="26" t="s">
        <v>55</v>
      </c>
    </row>
    <row r="440" spans="1:17" hidden="1" x14ac:dyDescent="0.3">
      <c r="A440" s="26" t="s">
        <v>2157</v>
      </c>
      <c r="B440" s="26" t="s">
        <v>2158</v>
      </c>
      <c r="C440" s="26" t="s">
        <v>1309</v>
      </c>
      <c r="D440" s="26" t="s">
        <v>2136</v>
      </c>
      <c r="E440" s="26" t="s">
        <v>761</v>
      </c>
      <c r="G440" s="26" t="s">
        <v>2060</v>
      </c>
      <c r="H440" s="26" t="s">
        <v>39</v>
      </c>
      <c r="I440" s="26" t="s">
        <v>1190</v>
      </c>
      <c r="J440" s="11" t="str">
        <f>VLOOKUP(K440,'PN Dictionary'!A:B,2,FALSE)</f>
        <v>GB300 L10</v>
      </c>
      <c r="K440" s="26" t="s">
        <v>1340</v>
      </c>
      <c r="L440" s="44" t="s">
        <v>2213</v>
      </c>
      <c r="M440" s="26" t="s">
        <v>2159</v>
      </c>
      <c r="N440" s="26" t="s">
        <v>53</v>
      </c>
      <c r="O440" s="26" t="s">
        <v>728</v>
      </c>
      <c r="P440" s="26">
        <v>90066</v>
      </c>
      <c r="Q440" s="26" t="s">
        <v>55</v>
      </c>
    </row>
    <row r="441" spans="1:17" hidden="1" x14ac:dyDescent="0.3">
      <c r="A441" s="26" t="s">
        <v>2160</v>
      </c>
      <c r="B441" s="26" t="s">
        <v>2161</v>
      </c>
      <c r="C441" s="26" t="s">
        <v>1309</v>
      </c>
      <c r="D441" s="26" t="s">
        <v>2162</v>
      </c>
      <c r="E441" s="26" t="s">
        <v>761</v>
      </c>
      <c r="G441" s="26" t="s">
        <v>2060</v>
      </c>
      <c r="H441" s="26" t="s">
        <v>39</v>
      </c>
      <c r="I441" s="26" t="s">
        <v>1190</v>
      </c>
      <c r="J441" s="11" t="str">
        <f>VLOOKUP(K441,'PN Dictionary'!A:B,2,FALSE)</f>
        <v>GB300 L10</v>
      </c>
      <c r="K441" s="26" t="s">
        <v>1340</v>
      </c>
      <c r="L441" s="44" t="s">
        <v>2214</v>
      </c>
      <c r="M441" s="26" t="s">
        <v>2163</v>
      </c>
      <c r="N441" s="26" t="s">
        <v>53</v>
      </c>
      <c r="O441" s="26" t="s">
        <v>728</v>
      </c>
      <c r="P441" s="26">
        <v>90066</v>
      </c>
      <c r="Q441" s="26" t="s">
        <v>55</v>
      </c>
    </row>
    <row r="442" spans="1:17" hidden="1" x14ac:dyDescent="0.3">
      <c r="A442" s="26" t="s">
        <v>2164</v>
      </c>
      <c r="B442" s="26" t="s">
        <v>2165</v>
      </c>
      <c r="C442" s="26" t="s">
        <v>50</v>
      </c>
      <c r="D442" s="26" t="s">
        <v>2166</v>
      </c>
      <c r="E442" s="26" t="s">
        <v>761</v>
      </c>
      <c r="G442" s="26" t="s">
        <v>2060</v>
      </c>
      <c r="H442" s="26" t="s">
        <v>39</v>
      </c>
      <c r="I442" s="26" t="s">
        <v>1190</v>
      </c>
      <c r="J442" s="11" t="str">
        <f>VLOOKUP(K442,'PN Dictionary'!A:B,2,FALSE)</f>
        <v>GB300 L10</v>
      </c>
      <c r="K442" s="26" t="s">
        <v>36</v>
      </c>
      <c r="L442" s="44" t="s">
        <v>2215</v>
      </c>
      <c r="M442" s="26" t="s">
        <v>2167</v>
      </c>
      <c r="N442" s="26" t="s">
        <v>53</v>
      </c>
      <c r="O442" s="26" t="s">
        <v>728</v>
      </c>
      <c r="P442" s="26">
        <v>90066</v>
      </c>
      <c r="Q442" s="26" t="s">
        <v>55</v>
      </c>
    </row>
    <row r="443" spans="1:17" hidden="1" x14ac:dyDescent="0.3">
      <c r="A443" s="26" t="s">
        <v>2169</v>
      </c>
      <c r="B443" s="26" t="s">
        <v>2170</v>
      </c>
      <c r="C443" s="26" t="s">
        <v>50</v>
      </c>
      <c r="D443" s="26" t="s">
        <v>2171</v>
      </c>
      <c r="E443" s="26" t="s">
        <v>242</v>
      </c>
      <c r="G443" s="26" t="s">
        <v>2168</v>
      </c>
      <c r="H443" s="26" t="s">
        <v>39</v>
      </c>
      <c r="I443" s="26" t="s">
        <v>2172</v>
      </c>
      <c r="J443" s="11" t="str">
        <f>VLOOKUP(K443,'PN Dictionary'!A:B,2,FALSE)</f>
        <v>Power Shelf Control Module</v>
      </c>
      <c r="K443" s="26" t="s">
        <v>11</v>
      </c>
      <c r="L443" s="44" t="s">
        <v>2173</v>
      </c>
      <c r="M443" s="26" t="s">
        <v>2174</v>
      </c>
      <c r="N443" s="26" t="s">
        <v>53</v>
      </c>
      <c r="O443" s="26" t="s">
        <v>728</v>
      </c>
      <c r="P443" s="26">
        <v>1348</v>
      </c>
      <c r="Q443" s="26" t="s">
        <v>55</v>
      </c>
    </row>
    <row r="444" spans="1:17" hidden="1" x14ac:dyDescent="0.3">
      <c r="A444" s="26" t="s">
        <v>2175</v>
      </c>
      <c r="B444" s="26" t="s">
        <v>2176</v>
      </c>
      <c r="C444" s="26" t="s">
        <v>50</v>
      </c>
      <c r="D444" s="26" t="s">
        <v>1765</v>
      </c>
      <c r="E444" s="26" t="s">
        <v>52</v>
      </c>
      <c r="G444" s="26" t="s">
        <v>2168</v>
      </c>
      <c r="H444" s="26" t="s">
        <v>39</v>
      </c>
      <c r="I444" s="26" t="s">
        <v>2177</v>
      </c>
      <c r="J444" s="11" t="str">
        <f>VLOOKUP(K444,'PN Dictionary'!A:B,2,FALSE)</f>
        <v>GB300 L10</v>
      </c>
      <c r="K444" s="26" t="s">
        <v>36</v>
      </c>
      <c r="L444" s="44" t="s">
        <v>2216</v>
      </c>
      <c r="M444" s="26" t="s">
        <v>2178</v>
      </c>
      <c r="N444" s="26" t="s">
        <v>53</v>
      </c>
      <c r="O444" s="26" t="s">
        <v>728</v>
      </c>
      <c r="P444" s="26">
        <v>718</v>
      </c>
      <c r="Q444" s="26" t="s">
        <v>55</v>
      </c>
    </row>
    <row r="445" spans="1:17" hidden="1" x14ac:dyDescent="0.3">
      <c r="A445" s="26" t="s">
        <v>2179</v>
      </c>
      <c r="B445" s="26" t="s">
        <v>2180</v>
      </c>
      <c r="C445" s="26" t="s">
        <v>50</v>
      </c>
      <c r="D445" s="26" t="s">
        <v>1982</v>
      </c>
      <c r="E445" s="26" t="s">
        <v>52</v>
      </c>
      <c r="G445" s="26" t="s">
        <v>2168</v>
      </c>
      <c r="H445" s="26" t="s">
        <v>39</v>
      </c>
      <c r="I445" s="26" t="s">
        <v>2181</v>
      </c>
      <c r="J445" s="11" t="str">
        <f>VLOOKUP(K445,'PN Dictionary'!A:B,2,FALSE)</f>
        <v>GB300 L10</v>
      </c>
      <c r="K445" s="26" t="s">
        <v>36</v>
      </c>
      <c r="L445" s="44" t="s">
        <v>2217</v>
      </c>
      <c r="M445" s="26" t="s">
        <v>2182</v>
      </c>
      <c r="N445" s="26" t="s">
        <v>53</v>
      </c>
      <c r="O445" s="26" t="s">
        <v>728</v>
      </c>
      <c r="P445" s="26">
        <v>718</v>
      </c>
      <c r="Q445" s="26" t="s">
        <v>55</v>
      </c>
    </row>
    <row r="446" spans="1:17" hidden="1" x14ac:dyDescent="0.3">
      <c r="A446" s="26" t="s">
        <v>2183</v>
      </c>
      <c r="B446" s="26" t="s">
        <v>2184</v>
      </c>
      <c r="C446" s="26" t="s">
        <v>50</v>
      </c>
      <c r="D446" s="26" t="s">
        <v>2185</v>
      </c>
      <c r="E446" s="26" t="s">
        <v>52</v>
      </c>
      <c r="G446" s="26" t="s">
        <v>2168</v>
      </c>
      <c r="H446" s="26" t="s">
        <v>39</v>
      </c>
      <c r="I446" s="26" t="s">
        <v>2186</v>
      </c>
      <c r="J446" s="11" t="str">
        <f>VLOOKUP(K446,'PN Dictionary'!A:B,2,FALSE)</f>
        <v>GB300 L10</v>
      </c>
      <c r="K446" s="26" t="s">
        <v>36</v>
      </c>
      <c r="L446" s="44" t="s">
        <v>2218</v>
      </c>
      <c r="M446" s="26" t="s">
        <v>2144</v>
      </c>
      <c r="N446" s="26" t="s">
        <v>53</v>
      </c>
      <c r="O446" s="26" t="s">
        <v>728</v>
      </c>
      <c r="P446" s="26">
        <v>640</v>
      </c>
      <c r="Q446" s="26" t="s">
        <v>55</v>
      </c>
    </row>
    <row r="447" spans="1:17" hidden="1" x14ac:dyDescent="0.3">
      <c r="A447" s="26" t="s">
        <v>2187</v>
      </c>
      <c r="B447" s="26" t="s">
        <v>2184</v>
      </c>
      <c r="C447" s="26" t="s">
        <v>50</v>
      </c>
      <c r="D447" s="26" t="s">
        <v>2185</v>
      </c>
      <c r="E447" s="26" t="s">
        <v>52</v>
      </c>
      <c r="G447" s="26" t="s">
        <v>2168</v>
      </c>
      <c r="H447" s="26" t="s">
        <v>39</v>
      </c>
      <c r="I447" s="26" t="s">
        <v>2186</v>
      </c>
      <c r="J447" s="11" t="str">
        <f>VLOOKUP(K447,'PN Dictionary'!A:B,2,FALSE)</f>
        <v>GB300 L10</v>
      </c>
      <c r="K447" s="26" t="s">
        <v>36</v>
      </c>
      <c r="L447" s="44" t="s">
        <v>2219</v>
      </c>
      <c r="M447" s="26" t="s">
        <v>2188</v>
      </c>
      <c r="N447" s="26" t="s">
        <v>53</v>
      </c>
      <c r="O447" s="26" t="s">
        <v>728</v>
      </c>
      <c r="P447" s="26">
        <v>640</v>
      </c>
      <c r="Q447" s="26" t="s">
        <v>55</v>
      </c>
    </row>
    <row r="448" spans="1:17" hidden="1" x14ac:dyDescent="0.3">
      <c r="A448" s="26" t="s">
        <v>2189</v>
      </c>
      <c r="B448" s="26" t="s">
        <v>2190</v>
      </c>
      <c r="C448" s="26" t="s">
        <v>1309</v>
      </c>
      <c r="D448" s="26" t="s">
        <v>2191</v>
      </c>
      <c r="E448" s="26" t="s">
        <v>81</v>
      </c>
      <c r="G448" s="26" t="s">
        <v>2168</v>
      </c>
      <c r="H448" s="26" t="s">
        <v>39</v>
      </c>
      <c r="I448" s="26" t="s">
        <v>2192</v>
      </c>
      <c r="J448" s="11" t="str">
        <f>VLOOKUP(K448,'PN Dictionary'!A:B,2,FALSE)</f>
        <v>GB300 L10</v>
      </c>
      <c r="K448" s="26" t="s">
        <v>1340</v>
      </c>
      <c r="L448" s="44" t="s">
        <v>2220</v>
      </c>
      <c r="M448" s="26" t="s">
        <v>2193</v>
      </c>
      <c r="N448" s="26" t="s">
        <v>53</v>
      </c>
      <c r="O448" s="26" t="s">
        <v>728</v>
      </c>
      <c r="P448" s="26">
        <v>1237</v>
      </c>
      <c r="Q448" s="26" t="s">
        <v>55</v>
      </c>
    </row>
    <row r="449" spans="1:17" hidden="1" x14ac:dyDescent="0.3">
      <c r="A449" s="26" t="s">
        <v>2194</v>
      </c>
      <c r="B449" s="26" t="s">
        <v>2195</v>
      </c>
      <c r="C449" s="26" t="s">
        <v>50</v>
      </c>
      <c r="D449" s="26" t="s">
        <v>2122</v>
      </c>
      <c r="E449" s="26" t="s">
        <v>52</v>
      </c>
      <c r="G449" s="26" t="s">
        <v>2168</v>
      </c>
      <c r="H449" s="26" t="s">
        <v>39</v>
      </c>
      <c r="I449" s="26" t="s">
        <v>2222</v>
      </c>
      <c r="J449" s="11" t="str">
        <f>VLOOKUP(K449,'PN Dictionary'!A:B,2,FALSE)</f>
        <v>GB300 L10</v>
      </c>
      <c r="K449" s="26" t="s">
        <v>36</v>
      </c>
      <c r="L449" s="44" t="s">
        <v>2221</v>
      </c>
      <c r="M449" s="26" t="s">
        <v>2196</v>
      </c>
      <c r="N449" s="26" t="s">
        <v>53</v>
      </c>
      <c r="O449" s="26" t="s">
        <v>728</v>
      </c>
      <c r="P449" s="26">
        <v>640</v>
      </c>
      <c r="Q449" s="26" t="s">
        <v>55</v>
      </c>
    </row>
    <row r="450" spans="1:17" hidden="1" x14ac:dyDescent="0.3">
      <c r="A450" s="26" t="s">
        <v>2197</v>
      </c>
      <c r="B450" s="26" t="s">
        <v>2198</v>
      </c>
      <c r="C450" s="26" t="s">
        <v>50</v>
      </c>
      <c r="D450" s="26" t="s">
        <v>1982</v>
      </c>
      <c r="E450" s="26" t="s">
        <v>52</v>
      </c>
      <c r="G450" s="26" t="s">
        <v>2168</v>
      </c>
      <c r="H450" s="26" t="s">
        <v>39</v>
      </c>
      <c r="I450" s="26" t="s">
        <v>2199</v>
      </c>
      <c r="J450" s="11" t="str">
        <f>VLOOKUP(K450,'PN Dictionary'!A:B,2,FALSE)</f>
        <v>GB300 L10</v>
      </c>
      <c r="K450" s="26" t="s">
        <v>36</v>
      </c>
      <c r="L450" s="44" t="s">
        <v>2223</v>
      </c>
      <c r="M450" s="26" t="s">
        <v>2200</v>
      </c>
      <c r="N450" s="26" t="s">
        <v>53</v>
      </c>
      <c r="O450" s="26" t="s">
        <v>728</v>
      </c>
      <c r="P450" s="26">
        <v>718</v>
      </c>
      <c r="Q450" s="26" t="s">
        <v>55</v>
      </c>
    </row>
    <row r="451" spans="1:17" hidden="1" x14ac:dyDescent="0.3">
      <c r="A451" s="26" t="s">
        <v>2201</v>
      </c>
      <c r="B451" s="26" t="s">
        <v>2202</v>
      </c>
      <c r="C451" s="26" t="s">
        <v>50</v>
      </c>
      <c r="D451" s="26" t="s">
        <v>2203</v>
      </c>
      <c r="E451" s="26" t="s">
        <v>52</v>
      </c>
      <c r="G451" s="26" t="s">
        <v>2168</v>
      </c>
      <c r="H451" s="26" t="s">
        <v>39</v>
      </c>
      <c r="I451" s="26" t="s">
        <v>1294</v>
      </c>
      <c r="J451" s="11" t="str">
        <f>VLOOKUP(K451,'PN Dictionary'!A:B,2,FALSE)</f>
        <v>GB300 L10</v>
      </c>
      <c r="K451" s="26" t="s">
        <v>36</v>
      </c>
      <c r="L451" s="44" t="s">
        <v>2224</v>
      </c>
      <c r="M451" s="26" t="s">
        <v>2204</v>
      </c>
      <c r="N451" s="26" t="s">
        <v>53</v>
      </c>
      <c r="O451" s="26" t="s">
        <v>728</v>
      </c>
      <c r="P451" s="26">
        <v>718</v>
      </c>
      <c r="Q451" s="26" t="s">
        <v>55</v>
      </c>
    </row>
    <row r="452" spans="1:17" hidden="1" x14ac:dyDescent="0.3">
      <c r="A452" s="26" t="s">
        <v>2205</v>
      </c>
      <c r="B452" s="26" t="s">
        <v>2206</v>
      </c>
      <c r="C452" s="26" t="s">
        <v>50</v>
      </c>
      <c r="D452" s="26" t="s">
        <v>2207</v>
      </c>
      <c r="E452" s="26" t="s">
        <v>128</v>
      </c>
      <c r="G452" s="26" t="s">
        <v>2168</v>
      </c>
      <c r="H452" s="26" t="s">
        <v>39</v>
      </c>
      <c r="I452" s="26" t="s">
        <v>2208</v>
      </c>
      <c r="J452" s="41" t="str">
        <f>VLOOKUP(K452,'PN Dictionary'!A:B,2,FALSE)</f>
        <v>Cable Cartridge</v>
      </c>
      <c r="K452" s="26" t="s">
        <v>6</v>
      </c>
      <c r="L452" s="44">
        <v>1823525354906</v>
      </c>
      <c r="M452" s="26">
        <v>2024325880264</v>
      </c>
      <c r="N452" s="26" t="s">
        <v>53</v>
      </c>
      <c r="O452" s="26" t="s">
        <v>728</v>
      </c>
      <c r="P452" s="26">
        <v>1237</v>
      </c>
      <c r="Q452" s="26" t="s">
        <v>55</v>
      </c>
    </row>
    <row r="453" spans="1:17" hidden="1" x14ac:dyDescent="0.3">
      <c r="A453" s="26" t="s">
        <v>2225</v>
      </c>
      <c r="B453" s="26" t="s">
        <v>2226</v>
      </c>
      <c r="C453" s="26" t="s">
        <v>50</v>
      </c>
      <c r="D453" s="26" t="s">
        <v>2227</v>
      </c>
      <c r="E453" s="26" t="s">
        <v>128</v>
      </c>
      <c r="G453" s="26" t="s">
        <v>2168</v>
      </c>
      <c r="H453" s="26" t="s">
        <v>39</v>
      </c>
      <c r="I453" s="26" t="s">
        <v>2228</v>
      </c>
      <c r="J453" s="11" t="str">
        <f>VLOOKUP(K453,'PN Dictionary'!A:B,2,FALSE)</f>
        <v>Cable Cartridge</v>
      </c>
      <c r="K453" s="26" t="s">
        <v>6</v>
      </c>
      <c r="L453" s="44">
        <v>1823425355983</v>
      </c>
      <c r="M453" s="26">
        <v>1824025185389</v>
      </c>
      <c r="N453" s="26" t="s">
        <v>53</v>
      </c>
      <c r="O453" s="26" t="s">
        <v>728</v>
      </c>
      <c r="P453" s="26">
        <v>90131</v>
      </c>
      <c r="Q453" s="26" t="s">
        <v>55</v>
      </c>
    </row>
    <row r="454" spans="1:17" hidden="1" x14ac:dyDescent="0.3">
      <c r="A454" s="26" t="s">
        <v>2229</v>
      </c>
      <c r="B454" s="26" t="s">
        <v>2230</v>
      </c>
      <c r="C454" s="26" t="s">
        <v>50</v>
      </c>
      <c r="D454" s="26" t="s">
        <v>2171</v>
      </c>
      <c r="E454" s="26" t="s">
        <v>761</v>
      </c>
      <c r="G454" s="26" t="s">
        <v>2168</v>
      </c>
      <c r="H454" s="26" t="s">
        <v>39</v>
      </c>
      <c r="I454" s="26" t="s">
        <v>1190</v>
      </c>
      <c r="J454" s="11" t="str">
        <f>VLOOKUP(K454,'PN Dictionary'!A:B,2,FALSE)</f>
        <v>GB300 L10</v>
      </c>
      <c r="K454" s="26" t="s">
        <v>36</v>
      </c>
      <c r="L454" s="44" t="s">
        <v>2231</v>
      </c>
      <c r="M454" s="26" t="s">
        <v>2232</v>
      </c>
      <c r="N454" s="26" t="s">
        <v>53</v>
      </c>
      <c r="O454" s="26" t="s">
        <v>728</v>
      </c>
      <c r="P454" s="26">
        <v>90066</v>
      </c>
      <c r="Q454" s="26" t="s">
        <v>55</v>
      </c>
    </row>
    <row r="455" spans="1:17" hidden="1" x14ac:dyDescent="0.3">
      <c r="A455" s="26" t="s">
        <v>2234</v>
      </c>
      <c r="B455" s="26" t="s">
        <v>2235</v>
      </c>
      <c r="C455" s="26" t="s">
        <v>1309</v>
      </c>
      <c r="D455" s="26" t="s">
        <v>2136</v>
      </c>
      <c r="E455" s="26" t="s">
        <v>761</v>
      </c>
      <c r="G455" s="26" t="s">
        <v>2168</v>
      </c>
      <c r="H455" s="26" t="s">
        <v>39</v>
      </c>
      <c r="I455" s="26" t="s">
        <v>1190</v>
      </c>
      <c r="J455" s="11" t="str">
        <f>VLOOKUP(K455,'PN Dictionary'!A:B,2,FALSE)</f>
        <v>GB300 L10</v>
      </c>
      <c r="K455" s="26" t="s">
        <v>1340</v>
      </c>
      <c r="L455" s="44" t="s">
        <v>2316</v>
      </c>
      <c r="M455" s="26" t="s">
        <v>2233</v>
      </c>
      <c r="N455" s="26" t="s">
        <v>53</v>
      </c>
      <c r="O455" s="26" t="s">
        <v>728</v>
      </c>
      <c r="P455" s="26">
        <v>90066</v>
      </c>
      <c r="Q455" s="26" t="s">
        <v>55</v>
      </c>
    </row>
    <row r="456" spans="1:17" hidden="1" x14ac:dyDescent="0.3">
      <c r="A456" s="26" t="s">
        <v>2236</v>
      </c>
      <c r="B456" s="26" t="s">
        <v>2237</v>
      </c>
      <c r="C456" s="26" t="s">
        <v>50</v>
      </c>
      <c r="D456" s="26" t="s">
        <v>2238</v>
      </c>
      <c r="E456" s="26" t="s">
        <v>87</v>
      </c>
      <c r="G456" s="26" t="s">
        <v>2168</v>
      </c>
      <c r="H456" s="26" t="s">
        <v>39</v>
      </c>
      <c r="I456" s="26" t="s">
        <v>2239</v>
      </c>
      <c r="J456" s="11" t="str">
        <f>VLOOKUP(K456,'PN Dictionary'!A:B,2,FALSE)</f>
        <v>GB300 L10</v>
      </c>
      <c r="K456" s="26" t="s">
        <v>36</v>
      </c>
      <c r="L456" s="44" t="s">
        <v>2317</v>
      </c>
      <c r="M456" s="26" t="s">
        <v>2240</v>
      </c>
      <c r="N456" s="26" t="s">
        <v>53</v>
      </c>
      <c r="O456" s="26" t="s">
        <v>728</v>
      </c>
      <c r="P456" s="26">
        <v>90131</v>
      </c>
      <c r="Q456" s="26" t="s">
        <v>55</v>
      </c>
    </row>
    <row r="457" spans="1:17" hidden="1" x14ac:dyDescent="0.3">
      <c r="A457" s="26" t="s">
        <v>2241</v>
      </c>
      <c r="B457" s="26" t="s">
        <v>2242</v>
      </c>
      <c r="C457" s="26" t="s">
        <v>50</v>
      </c>
      <c r="D457" s="26" t="s">
        <v>2243</v>
      </c>
      <c r="E457" s="26" t="s">
        <v>322</v>
      </c>
      <c r="G457" s="26" t="s">
        <v>2168</v>
      </c>
      <c r="H457" s="26" t="s">
        <v>39</v>
      </c>
      <c r="I457" s="26" t="s">
        <v>2244</v>
      </c>
      <c r="J457" s="11" t="str">
        <f>VLOOKUP(K457,'PN Dictionary'!A:B,2,FALSE)</f>
        <v>GB300 L10</v>
      </c>
      <c r="K457" s="26" t="s">
        <v>36</v>
      </c>
      <c r="L457" s="44" t="s">
        <v>2318</v>
      </c>
      <c r="M457" s="26" t="s">
        <v>2245</v>
      </c>
      <c r="N457" s="26" t="s">
        <v>53</v>
      </c>
      <c r="O457" s="26" t="s">
        <v>728</v>
      </c>
      <c r="P457" s="26">
        <v>90131</v>
      </c>
      <c r="Q457" s="26" t="s">
        <v>55</v>
      </c>
    </row>
    <row r="458" spans="1:17" hidden="1" x14ac:dyDescent="0.3">
      <c r="A458" s="26" t="s">
        <v>2246</v>
      </c>
      <c r="B458" s="26" t="s">
        <v>2247</v>
      </c>
      <c r="C458" s="26" t="s">
        <v>50</v>
      </c>
      <c r="D458" s="26" t="s">
        <v>2166</v>
      </c>
      <c r="E458" s="26" t="s">
        <v>761</v>
      </c>
      <c r="G458" s="26" t="s">
        <v>2168</v>
      </c>
      <c r="H458" s="26" t="s">
        <v>39</v>
      </c>
      <c r="I458" s="26" t="s">
        <v>1190</v>
      </c>
      <c r="J458" s="11" t="str">
        <f>VLOOKUP(K458,'PN Dictionary'!A:B,2,FALSE)</f>
        <v>GB300 L10</v>
      </c>
      <c r="K458" s="26" t="s">
        <v>36</v>
      </c>
      <c r="L458" s="44" t="s">
        <v>2319</v>
      </c>
      <c r="M458" s="26" t="s">
        <v>2248</v>
      </c>
      <c r="N458" s="26" t="s">
        <v>53</v>
      </c>
      <c r="O458" s="26" t="s">
        <v>728</v>
      </c>
      <c r="P458" s="26">
        <v>90066</v>
      </c>
      <c r="Q458" s="26" t="s">
        <v>55</v>
      </c>
    </row>
    <row r="459" spans="1:17" hidden="1" x14ac:dyDescent="0.3">
      <c r="A459" s="26" t="s">
        <v>2249</v>
      </c>
      <c r="B459" s="26" t="s">
        <v>2250</v>
      </c>
      <c r="C459" s="26" t="s">
        <v>50</v>
      </c>
      <c r="D459" s="26" t="s">
        <v>2251</v>
      </c>
      <c r="E459" s="26" t="s">
        <v>128</v>
      </c>
      <c r="G459" s="26" t="s">
        <v>2168</v>
      </c>
      <c r="H459" s="26" t="s">
        <v>39</v>
      </c>
      <c r="I459" s="26" t="s">
        <v>2252</v>
      </c>
      <c r="J459" s="11" t="str">
        <f>VLOOKUP(K459,'PN Dictionary'!A:B,2,FALSE)</f>
        <v>Cable Cartridge</v>
      </c>
      <c r="K459" s="26" t="s">
        <v>6</v>
      </c>
      <c r="L459" s="44">
        <v>2024225881094</v>
      </c>
      <c r="M459" s="26">
        <v>1824025185402</v>
      </c>
      <c r="N459" s="26" t="s">
        <v>53</v>
      </c>
      <c r="O459" s="26" t="s">
        <v>728</v>
      </c>
      <c r="P459" s="26">
        <v>90066</v>
      </c>
      <c r="Q459" s="26" t="s">
        <v>55</v>
      </c>
    </row>
    <row r="460" spans="1:17" hidden="1" x14ac:dyDescent="0.3">
      <c r="A460" s="26" t="s">
        <v>2253</v>
      </c>
      <c r="B460" s="26" t="s">
        <v>2254</v>
      </c>
      <c r="C460" s="26" t="s">
        <v>50</v>
      </c>
      <c r="D460" s="26" t="s">
        <v>2166</v>
      </c>
      <c r="E460" s="26" t="s">
        <v>761</v>
      </c>
      <c r="G460" s="26" t="s">
        <v>2255</v>
      </c>
      <c r="H460" s="26" t="s">
        <v>39</v>
      </c>
      <c r="I460" s="26" t="s">
        <v>1190</v>
      </c>
      <c r="J460" s="11" t="str">
        <f>VLOOKUP(K460,'PN Dictionary'!A:B,2,FALSE)</f>
        <v>GB300 L10</v>
      </c>
      <c r="K460" s="26" t="s">
        <v>36</v>
      </c>
      <c r="L460" s="44" t="s">
        <v>2320</v>
      </c>
      <c r="M460" s="26" t="s">
        <v>2256</v>
      </c>
      <c r="N460" s="26" t="s">
        <v>53</v>
      </c>
      <c r="O460" s="26" t="s">
        <v>728</v>
      </c>
      <c r="P460" s="26">
        <v>90066</v>
      </c>
      <c r="Q460" s="26" t="s">
        <v>55</v>
      </c>
    </row>
    <row r="461" spans="1:17" hidden="1" x14ac:dyDescent="0.3">
      <c r="A461" s="26" t="s">
        <v>2257</v>
      </c>
      <c r="B461" s="26" t="s">
        <v>2258</v>
      </c>
      <c r="C461" s="26" t="s">
        <v>50</v>
      </c>
      <c r="D461" s="26" t="s">
        <v>2171</v>
      </c>
      <c r="E461" s="26" t="s">
        <v>270</v>
      </c>
      <c r="G461" s="26" t="s">
        <v>2255</v>
      </c>
      <c r="H461" s="26" t="s">
        <v>39</v>
      </c>
      <c r="I461" s="26" t="s">
        <v>2259</v>
      </c>
      <c r="J461" s="11" t="str">
        <f>VLOOKUP(K461,'PN Dictionary'!A:B,2,FALSE)</f>
        <v>Power Shelf Control Module</v>
      </c>
      <c r="K461" s="26" t="s">
        <v>11</v>
      </c>
      <c r="L461" s="44" t="s">
        <v>2260</v>
      </c>
      <c r="M461" s="26" t="s">
        <v>2261</v>
      </c>
      <c r="N461" s="26" t="s">
        <v>53</v>
      </c>
      <c r="O461" s="26" t="s">
        <v>728</v>
      </c>
      <c r="P461" s="26">
        <v>90066</v>
      </c>
      <c r="Q461" s="26" t="s">
        <v>55</v>
      </c>
    </row>
    <row r="462" spans="1:17" hidden="1" x14ac:dyDescent="0.3">
      <c r="A462" s="26" t="s">
        <v>2263</v>
      </c>
      <c r="B462" s="26" t="s">
        <v>2264</v>
      </c>
      <c r="C462" s="26" t="s">
        <v>50</v>
      </c>
      <c r="D462" s="26" t="s">
        <v>2185</v>
      </c>
      <c r="E462" s="26" t="s">
        <v>128</v>
      </c>
      <c r="G462" s="26" t="s">
        <v>2255</v>
      </c>
      <c r="H462" s="26" t="s">
        <v>39</v>
      </c>
      <c r="I462" s="26" t="s">
        <v>2265</v>
      </c>
      <c r="J462" s="11" t="str">
        <f>VLOOKUP(K462,'PN Dictionary'!A:B,2,FALSE)</f>
        <v>Cable Cartridge</v>
      </c>
      <c r="K462" s="26" t="s">
        <v>6</v>
      </c>
      <c r="L462" s="44">
        <v>2024225880819</v>
      </c>
      <c r="M462" s="26">
        <v>2023625350327</v>
      </c>
      <c r="N462" s="26" t="s">
        <v>53</v>
      </c>
      <c r="O462" s="26" t="s">
        <v>728</v>
      </c>
      <c r="P462" s="26">
        <v>90131</v>
      </c>
      <c r="Q462" s="26" t="s">
        <v>55</v>
      </c>
    </row>
    <row r="463" spans="1:17" hidden="1" x14ac:dyDescent="0.3">
      <c r="A463" s="26" t="s">
        <v>2266</v>
      </c>
      <c r="B463" s="26" t="s">
        <v>2267</v>
      </c>
      <c r="C463" s="26" t="s">
        <v>50</v>
      </c>
      <c r="D463" s="26" t="s">
        <v>2227</v>
      </c>
      <c r="E463" s="26" t="s">
        <v>230</v>
      </c>
      <c r="G463" s="26" t="s">
        <v>2255</v>
      </c>
      <c r="H463" s="26" t="s">
        <v>39</v>
      </c>
      <c r="I463" s="26" t="s">
        <v>2268</v>
      </c>
      <c r="J463" s="11" t="str">
        <f>VLOOKUP(K463,'PN Dictionary'!A:B,2,FALSE)</f>
        <v>NVSwitch</v>
      </c>
      <c r="K463" s="26" t="s">
        <v>7</v>
      </c>
      <c r="L463" s="44" t="s">
        <v>2269</v>
      </c>
      <c r="M463" s="26" t="s">
        <v>2270</v>
      </c>
      <c r="N463" s="26" t="s">
        <v>53</v>
      </c>
      <c r="O463" s="26" t="s">
        <v>728</v>
      </c>
      <c r="P463" s="26">
        <v>90131</v>
      </c>
      <c r="Q463" s="26" t="s">
        <v>55</v>
      </c>
    </row>
    <row r="464" spans="1:17" hidden="1" x14ac:dyDescent="0.3">
      <c r="A464" s="26" t="s">
        <v>2271</v>
      </c>
      <c r="B464" s="26" t="s">
        <v>2272</v>
      </c>
      <c r="C464" s="26" t="s">
        <v>50</v>
      </c>
      <c r="D464" s="26" t="s">
        <v>1982</v>
      </c>
      <c r="E464" s="26" t="s">
        <v>230</v>
      </c>
      <c r="G464" s="26" t="s">
        <v>2255</v>
      </c>
      <c r="H464" s="26" t="s">
        <v>39</v>
      </c>
      <c r="I464" s="26" t="s">
        <v>2273</v>
      </c>
      <c r="J464" s="11" t="str">
        <f>VLOOKUP(K464,'PN Dictionary'!A:B,2,FALSE)</f>
        <v>NVSwitch</v>
      </c>
      <c r="K464" s="26" t="s">
        <v>7</v>
      </c>
      <c r="L464" s="44" t="s">
        <v>2274</v>
      </c>
      <c r="M464" s="26" t="s">
        <v>2089</v>
      </c>
      <c r="N464" s="26" t="s">
        <v>53</v>
      </c>
      <c r="O464" s="26" t="s">
        <v>728</v>
      </c>
      <c r="P464" s="26">
        <v>718</v>
      </c>
      <c r="Q464" s="26" t="s">
        <v>55</v>
      </c>
    </row>
    <row r="465" spans="1:17" hidden="1" x14ac:dyDescent="0.3">
      <c r="A465" s="26" t="s">
        <v>2275</v>
      </c>
      <c r="B465" s="26" t="s">
        <v>2276</v>
      </c>
      <c r="C465" s="26" t="s">
        <v>50</v>
      </c>
      <c r="D465" s="26" t="s">
        <v>2122</v>
      </c>
      <c r="E465" s="26" t="s">
        <v>52</v>
      </c>
      <c r="G465" s="26" t="s">
        <v>2255</v>
      </c>
      <c r="H465" s="26" t="s">
        <v>39</v>
      </c>
      <c r="I465" s="26" t="s">
        <v>2277</v>
      </c>
      <c r="J465" s="11" t="str">
        <f>VLOOKUP(K465,'PN Dictionary'!A:B,2,FALSE)</f>
        <v>GB300 L10</v>
      </c>
      <c r="K465" s="26" t="s">
        <v>36</v>
      </c>
      <c r="L465" s="44" t="s">
        <v>2278</v>
      </c>
      <c r="M465" s="26" t="s">
        <v>2279</v>
      </c>
      <c r="N465" s="26" t="s">
        <v>53</v>
      </c>
      <c r="O465" s="26" t="s">
        <v>728</v>
      </c>
      <c r="P465" s="26">
        <v>640</v>
      </c>
      <c r="Q465" s="26" t="s">
        <v>55</v>
      </c>
    </row>
    <row r="466" spans="1:17" hidden="1" x14ac:dyDescent="0.3">
      <c r="A466" s="26" t="s">
        <v>2280</v>
      </c>
      <c r="B466" s="26" t="s">
        <v>2281</v>
      </c>
      <c r="C466" s="26" t="s">
        <v>50</v>
      </c>
      <c r="D466" s="26" t="s">
        <v>2243</v>
      </c>
      <c r="E466" s="26" t="s">
        <v>230</v>
      </c>
      <c r="G466" s="26" t="s">
        <v>2255</v>
      </c>
      <c r="H466" s="26" t="s">
        <v>39</v>
      </c>
      <c r="I466" s="26" t="s">
        <v>2282</v>
      </c>
      <c r="J466" s="11" t="str">
        <f>VLOOKUP(K466,'PN Dictionary'!A:B,2,FALSE)</f>
        <v>NVSwitch</v>
      </c>
      <c r="K466" s="26" t="s">
        <v>7</v>
      </c>
      <c r="L466" s="44" t="s">
        <v>2283</v>
      </c>
      <c r="M466" s="26" t="s">
        <v>2269</v>
      </c>
      <c r="N466" s="26" t="s">
        <v>53</v>
      </c>
      <c r="O466" s="26" t="s">
        <v>728</v>
      </c>
      <c r="P466" s="26">
        <v>718</v>
      </c>
      <c r="Q466" s="26" t="s">
        <v>55</v>
      </c>
    </row>
    <row r="467" spans="1:17" hidden="1" x14ac:dyDescent="0.3">
      <c r="A467" s="26" t="s">
        <v>2284</v>
      </c>
      <c r="B467" s="26" t="s">
        <v>2285</v>
      </c>
      <c r="C467" s="26" t="s">
        <v>50</v>
      </c>
      <c r="D467" s="26" t="s">
        <v>2286</v>
      </c>
      <c r="E467" s="26" t="s">
        <v>128</v>
      </c>
      <c r="G467" s="26" t="s">
        <v>2255</v>
      </c>
      <c r="H467" s="26" t="s">
        <v>39</v>
      </c>
      <c r="I467" s="26" t="s">
        <v>2287</v>
      </c>
      <c r="J467" s="11" t="str">
        <f>VLOOKUP(K467,'PN Dictionary'!A:B,2,FALSE)</f>
        <v>Cable Cartridge</v>
      </c>
      <c r="K467" s="26" t="s">
        <v>6</v>
      </c>
      <c r="L467" s="44">
        <v>2024225880794</v>
      </c>
      <c r="M467" s="26">
        <v>2023625350328</v>
      </c>
      <c r="N467" s="26" t="s">
        <v>53</v>
      </c>
      <c r="O467" s="26" t="s">
        <v>728</v>
      </c>
      <c r="P467" s="26">
        <v>718</v>
      </c>
      <c r="Q467" s="26" t="s">
        <v>55</v>
      </c>
    </row>
    <row r="468" spans="1:17" hidden="1" x14ac:dyDescent="0.3">
      <c r="A468" s="26" t="s">
        <v>2288</v>
      </c>
      <c r="B468" s="26" t="s">
        <v>2289</v>
      </c>
      <c r="C468" s="26" t="s">
        <v>50</v>
      </c>
      <c r="D468" s="26" t="s">
        <v>2286</v>
      </c>
      <c r="E468" s="26" t="s">
        <v>128</v>
      </c>
      <c r="G468" s="26" t="s">
        <v>2255</v>
      </c>
      <c r="H468" s="26" t="s">
        <v>39</v>
      </c>
      <c r="I468" s="26" t="s">
        <v>2290</v>
      </c>
      <c r="J468" s="11" t="str">
        <f>VLOOKUP(K468,'PN Dictionary'!A:B,2,FALSE)</f>
        <v>Cable Cartridge</v>
      </c>
      <c r="K468" s="26" t="s">
        <v>6</v>
      </c>
      <c r="L468" s="44">
        <v>2024225880794</v>
      </c>
      <c r="M468" s="26">
        <v>2023625350328</v>
      </c>
      <c r="N468" s="26" t="s">
        <v>53</v>
      </c>
      <c r="O468" s="26" t="s">
        <v>728</v>
      </c>
      <c r="P468" s="26">
        <v>1237</v>
      </c>
      <c r="Q468" s="26" t="s">
        <v>55</v>
      </c>
    </row>
    <row r="469" spans="1:17" hidden="1" x14ac:dyDescent="0.3">
      <c r="A469" s="26" t="s">
        <v>2291</v>
      </c>
      <c r="B469" s="26" t="s">
        <v>2292</v>
      </c>
      <c r="C469" s="26" t="s">
        <v>50</v>
      </c>
      <c r="D469" s="26" t="s">
        <v>2203</v>
      </c>
      <c r="E469" s="26" t="s">
        <v>128</v>
      </c>
      <c r="G469" s="26" t="s">
        <v>2255</v>
      </c>
      <c r="H469" s="26" t="s">
        <v>39</v>
      </c>
      <c r="I469" s="26" t="s">
        <v>2293</v>
      </c>
      <c r="J469" s="11" t="str">
        <f>VLOOKUP(K469,'PN Dictionary'!A:B,2,FALSE)</f>
        <v>Cable Cartridge</v>
      </c>
      <c r="K469" s="26" t="s">
        <v>6</v>
      </c>
      <c r="L469" s="44">
        <v>1824025354284</v>
      </c>
      <c r="M469" s="26">
        <v>2024325880527</v>
      </c>
      <c r="N469" s="26" t="s">
        <v>53</v>
      </c>
      <c r="O469" s="26" t="s">
        <v>728</v>
      </c>
      <c r="P469" s="26">
        <v>718</v>
      </c>
      <c r="Q469" s="26" t="s">
        <v>55</v>
      </c>
    </row>
    <row r="470" spans="1:17" hidden="1" x14ac:dyDescent="0.3">
      <c r="A470" s="26" t="s">
        <v>2294</v>
      </c>
      <c r="B470" s="26" t="s">
        <v>2295</v>
      </c>
      <c r="C470" s="26" t="s">
        <v>50</v>
      </c>
      <c r="D470" s="26" t="s">
        <v>2097</v>
      </c>
      <c r="E470" s="26" t="s">
        <v>128</v>
      </c>
      <c r="G470" s="26" t="s">
        <v>2255</v>
      </c>
      <c r="H470" s="26" t="s">
        <v>39</v>
      </c>
      <c r="I470" s="26" t="s">
        <v>205</v>
      </c>
      <c r="J470" s="11" t="str">
        <f>VLOOKUP(K470,'PN Dictionary'!A:B,2,FALSE)</f>
        <v>Cable Cartridge</v>
      </c>
      <c r="K470" s="26" t="s">
        <v>6</v>
      </c>
      <c r="L470" s="44">
        <v>1824025185364</v>
      </c>
      <c r="M470" s="26">
        <v>2023625350229</v>
      </c>
      <c r="N470" s="26" t="s">
        <v>53</v>
      </c>
      <c r="O470" s="26" t="s">
        <v>728</v>
      </c>
      <c r="P470" s="26">
        <v>640</v>
      </c>
      <c r="Q470" s="26" t="s">
        <v>55</v>
      </c>
    </row>
    <row r="471" spans="1:17" hidden="1" x14ac:dyDescent="0.3">
      <c r="A471" s="26" t="s">
        <v>2296</v>
      </c>
      <c r="B471" s="26" t="s">
        <v>2297</v>
      </c>
      <c r="C471" s="26" t="s">
        <v>50</v>
      </c>
      <c r="D471" s="26" t="s">
        <v>2298</v>
      </c>
      <c r="E471" s="26" t="s">
        <v>242</v>
      </c>
      <c r="G471" s="26" t="s">
        <v>2255</v>
      </c>
      <c r="H471" s="26" t="s">
        <v>39</v>
      </c>
      <c r="I471" s="26" t="s">
        <v>2299</v>
      </c>
      <c r="J471" s="11" t="str">
        <f>VLOOKUP(K471,'PN Dictionary'!A:B,2,FALSE)</f>
        <v>Power Shelf Control Module</v>
      </c>
      <c r="K471" s="26" t="s">
        <v>11</v>
      </c>
      <c r="L471" s="44" t="s">
        <v>2300</v>
      </c>
      <c r="M471" s="26" t="s">
        <v>2301</v>
      </c>
      <c r="N471" s="26" t="s">
        <v>53</v>
      </c>
      <c r="O471" s="26" t="s">
        <v>728</v>
      </c>
      <c r="P471" s="26">
        <v>924</v>
      </c>
      <c r="Q471" s="26" t="s">
        <v>55</v>
      </c>
    </row>
    <row r="472" spans="1:17" hidden="1" x14ac:dyDescent="0.3">
      <c r="A472" s="26" t="s">
        <v>2302</v>
      </c>
      <c r="B472" s="26" t="s">
        <v>2303</v>
      </c>
      <c r="C472" s="26" t="s">
        <v>1309</v>
      </c>
      <c r="D472" s="26" t="s">
        <v>2191</v>
      </c>
      <c r="E472" s="26" t="s">
        <v>52</v>
      </c>
      <c r="G472" s="26" t="s">
        <v>2255</v>
      </c>
      <c r="H472" s="26" t="s">
        <v>39</v>
      </c>
      <c r="I472" s="26" t="s">
        <v>2304</v>
      </c>
      <c r="J472" s="11" t="str">
        <f>VLOOKUP(K472,'PN Dictionary'!A:B,2,FALSE)</f>
        <v>GB300 L10</v>
      </c>
      <c r="K472" s="26" t="s">
        <v>1340</v>
      </c>
      <c r="L472" s="44" t="s">
        <v>2321</v>
      </c>
      <c r="M472" s="26" t="s">
        <v>1560</v>
      </c>
      <c r="N472" s="26" t="s">
        <v>53</v>
      </c>
      <c r="O472" s="26" t="s">
        <v>728</v>
      </c>
      <c r="P472" s="26">
        <v>640</v>
      </c>
      <c r="Q472" s="26" t="s">
        <v>55</v>
      </c>
    </row>
    <row r="473" spans="1:17" hidden="1" x14ac:dyDescent="0.3">
      <c r="A473" s="26" t="s">
        <v>2305</v>
      </c>
      <c r="B473" s="26" t="s">
        <v>2306</v>
      </c>
      <c r="C473" s="26" t="s">
        <v>50</v>
      </c>
      <c r="D473" s="26" t="s">
        <v>2262</v>
      </c>
      <c r="E473" s="26" t="s">
        <v>81</v>
      </c>
      <c r="G473" s="26" t="s">
        <v>2255</v>
      </c>
      <c r="H473" s="26" t="s">
        <v>39</v>
      </c>
      <c r="I473" s="26" t="s">
        <v>2307</v>
      </c>
      <c r="J473" s="11" t="str">
        <f>VLOOKUP(K473,'PN Dictionary'!A:B,2,FALSE)</f>
        <v>GB300 L10</v>
      </c>
      <c r="K473" s="26" t="s">
        <v>36</v>
      </c>
      <c r="L473" s="44" t="s">
        <v>2322</v>
      </c>
      <c r="M473" s="26" t="s">
        <v>2245</v>
      </c>
      <c r="N473" s="26" t="s">
        <v>53</v>
      </c>
      <c r="O473" s="26" t="s">
        <v>728</v>
      </c>
      <c r="P473" s="26">
        <v>1237</v>
      </c>
      <c r="Q473" s="26" t="s">
        <v>55</v>
      </c>
    </row>
    <row r="474" spans="1:17" hidden="1" x14ac:dyDescent="0.3">
      <c r="A474" s="26" t="s">
        <v>2308</v>
      </c>
      <c r="B474" s="26" t="s">
        <v>2309</v>
      </c>
      <c r="C474" s="26" t="s">
        <v>50</v>
      </c>
      <c r="D474" s="26" t="s">
        <v>1982</v>
      </c>
      <c r="E474" s="26" t="s">
        <v>81</v>
      </c>
      <c r="G474" s="26" t="s">
        <v>2255</v>
      </c>
      <c r="H474" s="26" t="s">
        <v>39</v>
      </c>
      <c r="I474" s="26" t="s">
        <v>2310</v>
      </c>
      <c r="J474" s="11" t="str">
        <f>VLOOKUP(K474,'PN Dictionary'!A:B,2,FALSE)</f>
        <v>GB300 L10</v>
      </c>
      <c r="K474" s="26" t="s">
        <v>36</v>
      </c>
      <c r="L474" s="44" t="s">
        <v>2323</v>
      </c>
      <c r="M474" s="26" t="s">
        <v>2311</v>
      </c>
      <c r="N474" s="26" t="s">
        <v>53</v>
      </c>
      <c r="O474" s="26" t="s">
        <v>728</v>
      </c>
      <c r="P474" s="26">
        <v>924</v>
      </c>
      <c r="Q474" s="26" t="s">
        <v>55</v>
      </c>
    </row>
    <row r="475" spans="1:17" hidden="1" x14ac:dyDescent="0.3">
      <c r="A475" s="26" t="s">
        <v>2312</v>
      </c>
      <c r="B475" s="26" t="s">
        <v>2313</v>
      </c>
      <c r="C475" s="26" t="s">
        <v>50</v>
      </c>
      <c r="D475" s="26" t="s">
        <v>2314</v>
      </c>
      <c r="E475" s="26" t="s">
        <v>761</v>
      </c>
      <c r="G475" s="26" t="s">
        <v>2255</v>
      </c>
      <c r="H475" s="26" t="s">
        <v>39</v>
      </c>
      <c r="I475" s="26" t="s">
        <v>1190</v>
      </c>
      <c r="J475" s="11" t="str">
        <f>VLOOKUP(K475,'PN Dictionary'!A:B,2,FALSE)</f>
        <v>GB300 L10</v>
      </c>
      <c r="K475" s="26" t="s">
        <v>36</v>
      </c>
      <c r="L475" s="44" t="s">
        <v>2324</v>
      </c>
      <c r="M475" s="26" t="s">
        <v>2315</v>
      </c>
      <c r="N475" s="26" t="s">
        <v>53</v>
      </c>
      <c r="O475" s="26" t="s">
        <v>728</v>
      </c>
      <c r="P475" s="26">
        <v>90066</v>
      </c>
      <c r="Q475" s="26" t="s">
        <v>55</v>
      </c>
    </row>
    <row r="476" spans="1:17" hidden="1" x14ac:dyDescent="0.3">
      <c r="A476" s="26" t="s">
        <v>2325</v>
      </c>
      <c r="B476" s="26" t="s">
        <v>2326</v>
      </c>
      <c r="C476" s="26" t="s">
        <v>50</v>
      </c>
      <c r="D476" s="26" t="s">
        <v>2327</v>
      </c>
      <c r="E476" s="26" t="s">
        <v>322</v>
      </c>
      <c r="G476" s="26" t="s">
        <v>2255</v>
      </c>
      <c r="H476" s="26" t="s">
        <v>39</v>
      </c>
      <c r="I476" s="26" t="s">
        <v>2328</v>
      </c>
      <c r="J476" s="11" t="str">
        <f>VLOOKUP(K476,'PN Dictionary'!A:B,2,FALSE)</f>
        <v>GB300 L10</v>
      </c>
      <c r="K476" s="26" t="s">
        <v>36</v>
      </c>
      <c r="L476" s="44" t="s">
        <v>2329</v>
      </c>
      <c r="M476" s="26" t="s">
        <v>2330</v>
      </c>
      <c r="N476" s="26" t="s">
        <v>53</v>
      </c>
      <c r="O476" s="26" t="s">
        <v>728</v>
      </c>
      <c r="P476" s="26">
        <v>90131</v>
      </c>
      <c r="Q476" s="26" t="s">
        <v>55</v>
      </c>
    </row>
    <row r="477" spans="1:17" hidden="1" x14ac:dyDescent="0.3">
      <c r="A477" s="26" t="s">
        <v>2331</v>
      </c>
      <c r="B477" s="26" t="s">
        <v>2332</v>
      </c>
      <c r="C477" s="26" t="s">
        <v>50</v>
      </c>
      <c r="D477" s="26" t="s">
        <v>2097</v>
      </c>
      <c r="E477" s="26" t="s">
        <v>87</v>
      </c>
      <c r="G477" s="26" t="s">
        <v>2255</v>
      </c>
      <c r="H477" s="26" t="s">
        <v>39</v>
      </c>
      <c r="I477" s="26" t="s">
        <v>2333</v>
      </c>
      <c r="J477" s="11" t="str">
        <f>VLOOKUP(K477,'PN Dictionary'!A:B,2,FALSE)</f>
        <v>GB300 L10</v>
      </c>
      <c r="K477" s="26" t="s">
        <v>36</v>
      </c>
      <c r="L477" s="44" t="s">
        <v>2410</v>
      </c>
      <c r="M477" s="26" t="s">
        <v>2334</v>
      </c>
      <c r="N477" s="26" t="s">
        <v>53</v>
      </c>
      <c r="O477" s="26" t="s">
        <v>728</v>
      </c>
      <c r="P477" s="26">
        <v>90131</v>
      </c>
      <c r="Q477" s="26" t="s">
        <v>55</v>
      </c>
    </row>
    <row r="478" spans="1:17" hidden="1" x14ac:dyDescent="0.3">
      <c r="A478" s="26" t="s">
        <v>2335</v>
      </c>
      <c r="B478" s="26" t="s">
        <v>2336</v>
      </c>
      <c r="C478" s="26" t="s">
        <v>50</v>
      </c>
      <c r="D478" s="26" t="s">
        <v>1765</v>
      </c>
      <c r="E478" s="26" t="s">
        <v>230</v>
      </c>
      <c r="G478" s="26" t="s">
        <v>2255</v>
      </c>
      <c r="H478" s="26" t="s">
        <v>39</v>
      </c>
      <c r="I478" s="26" t="s">
        <v>2337</v>
      </c>
      <c r="J478" s="11" t="str">
        <f>VLOOKUP(K478,'PN Dictionary'!A:B,2,FALSE)</f>
        <v>NVSwitch</v>
      </c>
      <c r="K478" s="26" t="s">
        <v>7</v>
      </c>
      <c r="L478" s="44" t="s">
        <v>2338</v>
      </c>
      <c r="M478" s="26" t="s">
        <v>2339</v>
      </c>
      <c r="N478" s="26" t="s">
        <v>53</v>
      </c>
      <c r="O478" s="26" t="s">
        <v>728</v>
      </c>
      <c r="P478" s="26">
        <v>924</v>
      </c>
      <c r="Q478" s="26" t="s">
        <v>55</v>
      </c>
    </row>
    <row r="479" spans="1:17" hidden="1" x14ac:dyDescent="0.3">
      <c r="A479" s="26" t="s">
        <v>2340</v>
      </c>
      <c r="B479" s="26" t="s">
        <v>2341</v>
      </c>
      <c r="C479" s="26" t="s">
        <v>50</v>
      </c>
      <c r="D479" s="26" t="s">
        <v>1982</v>
      </c>
      <c r="E479" s="26" t="s">
        <v>128</v>
      </c>
      <c r="G479" s="26" t="s">
        <v>2255</v>
      </c>
      <c r="H479" s="26" t="s">
        <v>39</v>
      </c>
      <c r="I479" s="26" t="s">
        <v>2342</v>
      </c>
      <c r="J479" s="11" t="str">
        <f>VLOOKUP(K479,'PN Dictionary'!A:B,2,FALSE)</f>
        <v>Cable Cartridge</v>
      </c>
      <c r="K479" s="26" t="s">
        <v>6</v>
      </c>
      <c r="L479" s="44">
        <v>1823425355685</v>
      </c>
      <c r="M479" s="26">
        <v>2023625350220</v>
      </c>
      <c r="N479" s="26" t="s">
        <v>53</v>
      </c>
      <c r="O479" s="26" t="s">
        <v>728</v>
      </c>
      <c r="P479" s="26">
        <v>3908</v>
      </c>
      <c r="Q479" s="26" t="s">
        <v>55</v>
      </c>
    </row>
    <row r="480" spans="1:17" hidden="1" x14ac:dyDescent="0.3">
      <c r="A480" s="26" t="s">
        <v>2343</v>
      </c>
      <c r="B480" s="26" t="s">
        <v>2344</v>
      </c>
      <c r="C480" s="26" t="s">
        <v>50</v>
      </c>
      <c r="D480" s="26" t="s">
        <v>2345</v>
      </c>
      <c r="E480" s="26" t="s">
        <v>270</v>
      </c>
      <c r="G480" s="26" t="s">
        <v>2255</v>
      </c>
      <c r="H480" s="26" t="s">
        <v>39</v>
      </c>
      <c r="I480" s="26" t="s">
        <v>2346</v>
      </c>
      <c r="J480" s="11" t="str">
        <f>VLOOKUP(K480,'PN Dictionary'!A:B,2,FALSE)</f>
        <v>Delta Power Shelf Left Input</v>
      </c>
      <c r="K480" s="26" t="s">
        <v>10</v>
      </c>
      <c r="L480" s="44" t="s">
        <v>2347</v>
      </c>
      <c r="M480" s="26" t="s">
        <v>2348</v>
      </c>
      <c r="N480" s="26" t="s">
        <v>53</v>
      </c>
      <c r="O480" s="26" t="s">
        <v>728</v>
      </c>
      <c r="P480" s="26">
        <v>90066</v>
      </c>
      <c r="Q480" s="26" t="s">
        <v>55</v>
      </c>
    </row>
    <row r="481" spans="1:17" hidden="1" x14ac:dyDescent="0.3">
      <c r="A481" s="26" t="s">
        <v>2350</v>
      </c>
      <c r="B481" s="26" t="s">
        <v>2351</v>
      </c>
      <c r="C481" s="26" t="s">
        <v>50</v>
      </c>
      <c r="D481" s="26" t="s">
        <v>2352</v>
      </c>
      <c r="E481" s="26" t="s">
        <v>259</v>
      </c>
      <c r="G481" s="26" t="s">
        <v>2255</v>
      </c>
      <c r="H481" s="26" t="s">
        <v>39</v>
      </c>
      <c r="I481" s="26" t="s">
        <v>2353</v>
      </c>
      <c r="J481" s="11" t="str">
        <f>VLOOKUP(K481,'PN Dictionary'!A:B,2,FALSE)</f>
        <v>GB300 L10</v>
      </c>
      <c r="K481" s="26" t="s">
        <v>36</v>
      </c>
      <c r="L481" s="44" t="s">
        <v>2411</v>
      </c>
      <c r="M481" s="26" t="s">
        <v>2354</v>
      </c>
      <c r="N481" s="26" t="s">
        <v>53</v>
      </c>
      <c r="O481" s="26" t="s">
        <v>728</v>
      </c>
      <c r="P481" s="26">
        <v>3908</v>
      </c>
      <c r="Q481" s="26" t="s">
        <v>55</v>
      </c>
    </row>
    <row r="482" spans="1:17" hidden="1" x14ac:dyDescent="0.3">
      <c r="A482" s="26" t="s">
        <v>2355</v>
      </c>
      <c r="B482" s="26" t="s">
        <v>2356</v>
      </c>
      <c r="C482" s="26" t="s">
        <v>50</v>
      </c>
      <c r="D482" s="26" t="s">
        <v>2357</v>
      </c>
      <c r="E482" s="26" t="s">
        <v>259</v>
      </c>
      <c r="G482" s="26" t="s">
        <v>2255</v>
      </c>
      <c r="H482" s="26" t="s">
        <v>39</v>
      </c>
      <c r="I482" s="26" t="s">
        <v>2358</v>
      </c>
      <c r="J482" s="11" t="str">
        <f>VLOOKUP(K482,'PN Dictionary'!A:B,2,FALSE)</f>
        <v>GB300 L10</v>
      </c>
      <c r="K482" s="26" t="s">
        <v>36</v>
      </c>
      <c r="L482" s="44" t="s">
        <v>2412</v>
      </c>
      <c r="M482" s="26" t="s">
        <v>2359</v>
      </c>
      <c r="N482" s="26" t="s">
        <v>53</v>
      </c>
      <c r="O482" s="26" t="s">
        <v>728</v>
      </c>
      <c r="P482" s="26">
        <v>3908</v>
      </c>
      <c r="Q482" s="26" t="s">
        <v>55</v>
      </c>
    </row>
    <row r="483" spans="1:17" hidden="1" x14ac:dyDescent="0.3">
      <c r="A483" s="26" t="s">
        <v>2360</v>
      </c>
      <c r="B483" s="26" t="s">
        <v>2361</v>
      </c>
      <c r="C483" s="26" t="s">
        <v>50</v>
      </c>
      <c r="D483" s="26" t="s">
        <v>2349</v>
      </c>
      <c r="E483" s="26" t="s">
        <v>259</v>
      </c>
      <c r="G483" s="26" t="s">
        <v>2362</v>
      </c>
      <c r="H483" s="26" t="s">
        <v>39</v>
      </c>
      <c r="I483" s="26" t="s">
        <v>2414</v>
      </c>
      <c r="J483" s="11" t="str">
        <f>VLOOKUP(K483,'PN Dictionary'!A:B,2,FALSE)</f>
        <v>GB300 L10</v>
      </c>
      <c r="K483" s="26" t="s">
        <v>36</v>
      </c>
      <c r="L483" s="44" t="s">
        <v>2413</v>
      </c>
      <c r="M483" s="26" t="s">
        <v>2364</v>
      </c>
      <c r="N483" s="26" t="s">
        <v>53</v>
      </c>
      <c r="O483" s="26" t="s">
        <v>728</v>
      </c>
      <c r="P483" s="26">
        <v>3908</v>
      </c>
      <c r="Q483" s="26" t="s">
        <v>55</v>
      </c>
    </row>
    <row r="484" spans="1:17" hidden="1" x14ac:dyDescent="0.3">
      <c r="A484" s="26" t="s">
        <v>2365</v>
      </c>
      <c r="B484" s="26" t="s">
        <v>2366</v>
      </c>
      <c r="C484" s="26" t="s">
        <v>50</v>
      </c>
      <c r="D484" s="26" t="s">
        <v>2251</v>
      </c>
      <c r="E484" s="26" t="s">
        <v>128</v>
      </c>
      <c r="G484" s="26" t="s">
        <v>2362</v>
      </c>
      <c r="H484" s="26" t="s">
        <v>39</v>
      </c>
      <c r="I484" s="26" t="s">
        <v>2367</v>
      </c>
      <c r="J484" s="11" t="str">
        <f>VLOOKUP(K484,'PN Dictionary'!A:B,2,FALSE)</f>
        <v>Cable Cartridge</v>
      </c>
      <c r="K484" s="26" t="s">
        <v>6</v>
      </c>
      <c r="L484" s="44">
        <v>1824025185402</v>
      </c>
      <c r="M484" s="26">
        <v>2024325880273</v>
      </c>
      <c r="N484" s="26" t="s">
        <v>53</v>
      </c>
      <c r="O484" s="26" t="s">
        <v>728</v>
      </c>
      <c r="P484" s="26">
        <v>90066</v>
      </c>
      <c r="Q484" s="26" t="s">
        <v>55</v>
      </c>
    </row>
    <row r="485" spans="1:17" hidden="1" x14ac:dyDescent="0.3">
      <c r="A485" s="26" t="s">
        <v>2368</v>
      </c>
      <c r="B485" s="26" t="s">
        <v>2369</v>
      </c>
      <c r="C485" s="26" t="s">
        <v>50</v>
      </c>
      <c r="D485" s="26" t="s">
        <v>2357</v>
      </c>
      <c r="E485" s="26" t="s">
        <v>633</v>
      </c>
      <c r="G485" s="26" t="s">
        <v>2362</v>
      </c>
      <c r="H485" s="26" t="s">
        <v>39</v>
      </c>
      <c r="I485" s="26" t="s">
        <v>1796</v>
      </c>
      <c r="J485" s="11" t="str">
        <f>VLOOKUP(K485,'PN Dictionary'!A:B,2,FALSE)</f>
        <v>GB300 L10</v>
      </c>
      <c r="K485" s="26" t="s">
        <v>36</v>
      </c>
      <c r="L485" s="44" t="s">
        <v>2415</v>
      </c>
      <c r="M485" s="26" t="s">
        <v>2363</v>
      </c>
      <c r="N485" s="26" t="s">
        <v>53</v>
      </c>
      <c r="O485" s="26" t="s">
        <v>728</v>
      </c>
      <c r="P485" s="26">
        <v>3908</v>
      </c>
      <c r="Q485" s="26" t="s">
        <v>55</v>
      </c>
    </row>
    <row r="486" spans="1:17" hidden="1" x14ac:dyDescent="0.3">
      <c r="A486" s="26" t="s">
        <v>2370</v>
      </c>
      <c r="B486" s="26" t="s">
        <v>2371</v>
      </c>
      <c r="C486" s="26" t="s">
        <v>50</v>
      </c>
      <c r="D486" s="26" t="s">
        <v>2372</v>
      </c>
      <c r="E486" s="26" t="s">
        <v>128</v>
      </c>
      <c r="G486" s="26" t="s">
        <v>2362</v>
      </c>
      <c r="H486" s="26" t="s">
        <v>39</v>
      </c>
      <c r="I486" s="26" t="s">
        <v>2373</v>
      </c>
      <c r="J486" s="11" t="str">
        <f>VLOOKUP(K486,'PN Dictionary'!A:B,2,FALSE)</f>
        <v>Cable Cartridge</v>
      </c>
      <c r="K486" s="26" t="s">
        <v>6</v>
      </c>
      <c r="L486" s="44">
        <v>2024225880815</v>
      </c>
      <c r="M486" s="26">
        <v>1824025185387</v>
      </c>
      <c r="N486" s="26" t="s">
        <v>53</v>
      </c>
      <c r="O486" s="26" t="s">
        <v>728</v>
      </c>
      <c r="P486" s="26">
        <v>718</v>
      </c>
      <c r="Q486" s="26" t="s">
        <v>55</v>
      </c>
    </row>
    <row r="487" spans="1:17" hidden="1" x14ac:dyDescent="0.3">
      <c r="A487" s="26" t="s">
        <v>2374</v>
      </c>
      <c r="B487" s="26" t="s">
        <v>2375</v>
      </c>
      <c r="C487" s="26" t="s">
        <v>50</v>
      </c>
      <c r="D487" s="26" t="s">
        <v>2376</v>
      </c>
      <c r="E487" s="26" t="s">
        <v>52</v>
      </c>
      <c r="G487" s="26" t="s">
        <v>2362</v>
      </c>
      <c r="H487" s="26" t="s">
        <v>39</v>
      </c>
      <c r="I487" s="26" t="s">
        <v>2377</v>
      </c>
      <c r="J487" s="11" t="str">
        <f>VLOOKUP(K487,'PN Dictionary'!A:B,2,FALSE)</f>
        <v>GB300 L10</v>
      </c>
      <c r="K487" s="26" t="s">
        <v>36</v>
      </c>
      <c r="L487" s="44" t="s">
        <v>2416</v>
      </c>
      <c r="M487" s="26" t="s">
        <v>2378</v>
      </c>
      <c r="N487" s="26" t="s">
        <v>53</v>
      </c>
      <c r="O487" s="26" t="s">
        <v>728</v>
      </c>
      <c r="P487" s="26">
        <v>1237</v>
      </c>
      <c r="Q487" s="26" t="s">
        <v>55</v>
      </c>
    </row>
    <row r="488" spans="1:17" hidden="1" x14ac:dyDescent="0.3">
      <c r="A488" s="26" t="s">
        <v>2379</v>
      </c>
      <c r="B488" s="26" t="s">
        <v>2380</v>
      </c>
      <c r="C488" s="26" t="s">
        <v>50</v>
      </c>
      <c r="D488" s="26" t="s">
        <v>2357</v>
      </c>
      <c r="E488" s="26" t="s">
        <v>52</v>
      </c>
      <c r="G488" s="26" t="s">
        <v>2362</v>
      </c>
      <c r="H488" s="26" t="s">
        <v>39</v>
      </c>
      <c r="I488" s="26" t="s">
        <v>2381</v>
      </c>
      <c r="J488" s="11" t="str">
        <f>VLOOKUP(K488,'PN Dictionary'!A:B,2,FALSE)</f>
        <v>GB300 L10</v>
      </c>
      <c r="K488" s="26" t="s">
        <v>36</v>
      </c>
      <c r="L488" s="44" t="s">
        <v>2417</v>
      </c>
      <c r="M488" s="26" t="s">
        <v>2145</v>
      </c>
      <c r="N488" s="26" t="s">
        <v>53</v>
      </c>
      <c r="O488" s="26" t="s">
        <v>728</v>
      </c>
      <c r="P488" s="26">
        <v>640</v>
      </c>
      <c r="Q488" s="26" t="s">
        <v>55</v>
      </c>
    </row>
    <row r="489" spans="1:17" hidden="1" x14ac:dyDescent="0.3">
      <c r="A489" s="26" t="s">
        <v>2382</v>
      </c>
      <c r="B489" s="26" t="s">
        <v>2383</v>
      </c>
      <c r="C489" s="26" t="s">
        <v>50</v>
      </c>
      <c r="D489" s="26" t="s">
        <v>1982</v>
      </c>
      <c r="E489" s="26" t="s">
        <v>52</v>
      </c>
      <c r="G489" s="26" t="s">
        <v>2362</v>
      </c>
      <c r="H489" s="26" t="s">
        <v>39</v>
      </c>
      <c r="I489" s="26" t="s">
        <v>2384</v>
      </c>
      <c r="J489" s="11" t="str">
        <f>VLOOKUP(K489,'PN Dictionary'!A:B,2,FALSE)</f>
        <v>GB300 L10</v>
      </c>
      <c r="K489" s="26" t="s">
        <v>36</v>
      </c>
      <c r="L489" s="44" t="s">
        <v>2418</v>
      </c>
      <c r="M489" s="26" t="s">
        <v>2385</v>
      </c>
      <c r="N489" s="26" t="s">
        <v>53</v>
      </c>
      <c r="O489" s="26" t="s">
        <v>728</v>
      </c>
      <c r="P489" s="26">
        <v>718</v>
      </c>
      <c r="Q489" s="26" t="s">
        <v>55</v>
      </c>
    </row>
    <row r="490" spans="1:17" hidden="1" x14ac:dyDescent="0.3">
      <c r="A490" s="26" t="s">
        <v>2386</v>
      </c>
      <c r="B490" s="26" t="s">
        <v>2387</v>
      </c>
      <c r="C490" s="26" t="s">
        <v>50</v>
      </c>
      <c r="D490" s="26" t="s">
        <v>2372</v>
      </c>
      <c r="E490" s="26" t="s">
        <v>52</v>
      </c>
      <c r="G490" s="26" t="s">
        <v>2362</v>
      </c>
      <c r="H490" s="26" t="s">
        <v>39</v>
      </c>
      <c r="I490" s="26" t="s">
        <v>2388</v>
      </c>
      <c r="J490" s="11" t="str">
        <f>VLOOKUP(K490,'PN Dictionary'!A:B,2,FALSE)</f>
        <v>GB300 L10</v>
      </c>
      <c r="K490" s="26" t="s">
        <v>36</v>
      </c>
      <c r="L490" s="44" t="s">
        <v>2419</v>
      </c>
      <c r="M490" s="26" t="s">
        <v>2389</v>
      </c>
      <c r="N490" s="26" t="s">
        <v>53</v>
      </c>
      <c r="O490" s="26" t="s">
        <v>728</v>
      </c>
      <c r="P490" s="26">
        <v>718</v>
      </c>
      <c r="Q490" s="26" t="s">
        <v>55</v>
      </c>
    </row>
    <row r="491" spans="1:17" hidden="1" x14ac:dyDescent="0.3">
      <c r="A491" s="26" t="s">
        <v>2392</v>
      </c>
      <c r="B491" s="26" t="s">
        <v>2390</v>
      </c>
      <c r="C491" s="26" t="s">
        <v>50</v>
      </c>
      <c r="D491" s="26" t="s">
        <v>2391</v>
      </c>
      <c r="E491" s="26" t="s">
        <v>52</v>
      </c>
      <c r="G491" s="26" t="s">
        <v>2362</v>
      </c>
      <c r="H491" s="26" t="s">
        <v>39</v>
      </c>
      <c r="I491" s="26" t="s">
        <v>2421</v>
      </c>
      <c r="J491" s="11" t="str">
        <f>VLOOKUP(K491,'PN Dictionary'!A:B,2,FALSE)</f>
        <v>GB300 L10</v>
      </c>
      <c r="K491" s="26" t="s">
        <v>36</v>
      </c>
      <c r="L491" s="44" t="s">
        <v>2420</v>
      </c>
      <c r="M491" s="26" t="s">
        <v>2393</v>
      </c>
      <c r="N491" s="26" t="s">
        <v>53</v>
      </c>
      <c r="O491" s="26" t="s">
        <v>728</v>
      </c>
      <c r="P491" s="26">
        <v>640</v>
      </c>
      <c r="Q491" s="26" t="s">
        <v>55</v>
      </c>
    </row>
    <row r="492" spans="1:17" hidden="1" x14ac:dyDescent="0.3">
      <c r="A492" s="26" t="s">
        <v>2394</v>
      </c>
      <c r="B492" s="26" t="s">
        <v>2395</v>
      </c>
      <c r="C492" s="26" t="s">
        <v>50</v>
      </c>
      <c r="D492" s="26" t="s">
        <v>2396</v>
      </c>
      <c r="E492" s="26" t="s">
        <v>761</v>
      </c>
      <c r="G492" s="26" t="s">
        <v>2362</v>
      </c>
      <c r="H492" s="26" t="s">
        <v>39</v>
      </c>
      <c r="I492" s="26" t="s">
        <v>1190</v>
      </c>
      <c r="J492" s="11" t="str">
        <f>VLOOKUP(K492,'PN Dictionary'!A:B,2,FALSE)</f>
        <v>GB300 L10</v>
      </c>
      <c r="K492" s="26" t="s">
        <v>36</v>
      </c>
      <c r="L492" s="44" t="s">
        <v>2422</v>
      </c>
      <c r="M492" s="26" t="s">
        <v>2397</v>
      </c>
      <c r="N492" s="26" t="s">
        <v>53</v>
      </c>
      <c r="O492" s="26" t="s">
        <v>728</v>
      </c>
      <c r="P492" s="26">
        <v>90066</v>
      </c>
      <c r="Q492" s="26" t="s">
        <v>55</v>
      </c>
    </row>
    <row r="493" spans="1:17" hidden="1" x14ac:dyDescent="0.3">
      <c r="A493" s="26" t="s">
        <v>2398</v>
      </c>
      <c r="B493" s="26" t="s">
        <v>2399</v>
      </c>
      <c r="C493" s="26" t="s">
        <v>50</v>
      </c>
      <c r="D493" s="26" t="s">
        <v>2400</v>
      </c>
      <c r="E493" s="26" t="s">
        <v>270</v>
      </c>
      <c r="G493" s="26" t="s">
        <v>2362</v>
      </c>
      <c r="H493" s="26" t="s">
        <v>39</v>
      </c>
      <c r="I493" s="26" t="s">
        <v>2401</v>
      </c>
      <c r="J493" s="11" t="str">
        <f>VLOOKUP(K493,'PN Dictionary'!A:B,2,FALSE)</f>
        <v>Power Shelf Control Module</v>
      </c>
      <c r="K493" s="26" t="s">
        <v>11</v>
      </c>
      <c r="L493" s="44" t="s">
        <v>2402</v>
      </c>
      <c r="M493" s="26" t="s">
        <v>2403</v>
      </c>
      <c r="N493" s="26" t="s">
        <v>53</v>
      </c>
      <c r="O493" s="26" t="s">
        <v>728</v>
      </c>
      <c r="P493" s="26">
        <v>90066</v>
      </c>
      <c r="Q493" s="26" t="s">
        <v>55</v>
      </c>
    </row>
    <row r="494" spans="1:17" hidden="1" x14ac:dyDescent="0.3">
      <c r="A494" s="26" t="s">
        <v>2404</v>
      </c>
      <c r="B494" s="26" t="s">
        <v>2405</v>
      </c>
      <c r="C494" s="26" t="s">
        <v>50</v>
      </c>
      <c r="D494" s="26" t="s">
        <v>2400</v>
      </c>
      <c r="E494" s="26" t="s">
        <v>761</v>
      </c>
      <c r="G494" s="26" t="s">
        <v>2362</v>
      </c>
      <c r="H494" s="26" t="s">
        <v>39</v>
      </c>
      <c r="I494" s="26" t="s">
        <v>1190</v>
      </c>
      <c r="J494" s="11" t="str">
        <f>VLOOKUP(K494,'PN Dictionary'!A:B,2,FALSE)</f>
        <v>GB300 L10</v>
      </c>
      <c r="K494" s="26" t="s">
        <v>36</v>
      </c>
      <c r="L494" s="44" t="s">
        <v>2423</v>
      </c>
      <c r="M494" s="26" t="s">
        <v>2406</v>
      </c>
      <c r="N494" s="26" t="s">
        <v>53</v>
      </c>
      <c r="O494" s="26" t="s">
        <v>728</v>
      </c>
      <c r="P494" s="26">
        <v>90066</v>
      </c>
      <c r="Q494" s="26" t="s">
        <v>55</v>
      </c>
    </row>
    <row r="495" spans="1:17" hidden="1" x14ac:dyDescent="0.3">
      <c r="A495" s="26" t="s">
        <v>2407</v>
      </c>
      <c r="B495" s="26" t="s">
        <v>2408</v>
      </c>
      <c r="C495" s="26" t="s">
        <v>50</v>
      </c>
      <c r="D495" s="26" t="s">
        <v>2396</v>
      </c>
      <c r="E495" s="26" t="s">
        <v>761</v>
      </c>
      <c r="G495" s="26" t="s">
        <v>2362</v>
      </c>
      <c r="H495" s="26" t="s">
        <v>39</v>
      </c>
      <c r="I495" s="26" t="s">
        <v>1190</v>
      </c>
      <c r="J495" s="11" t="str">
        <f>VLOOKUP(K495,'PN Dictionary'!A:B,2,FALSE)</f>
        <v>GB300 L10</v>
      </c>
      <c r="K495" s="26" t="s">
        <v>36</v>
      </c>
      <c r="L495" s="44" t="s">
        <v>2424</v>
      </c>
      <c r="M495" s="26" t="s">
        <v>2409</v>
      </c>
      <c r="N495" s="26" t="s">
        <v>53</v>
      </c>
      <c r="O495" s="26" t="s">
        <v>728</v>
      </c>
      <c r="P495" s="26">
        <v>90066</v>
      </c>
      <c r="Q495" s="26" t="s">
        <v>55</v>
      </c>
    </row>
    <row r="496" spans="1:17" hidden="1" x14ac:dyDescent="0.3">
      <c r="A496" s="26" t="s">
        <v>2425</v>
      </c>
      <c r="B496" s="26" t="s">
        <v>2426</v>
      </c>
      <c r="C496" s="26" t="s">
        <v>50</v>
      </c>
      <c r="D496" s="26" t="s">
        <v>2357</v>
      </c>
      <c r="E496" s="26" t="s">
        <v>591</v>
      </c>
      <c r="G496" s="26" t="s">
        <v>2362</v>
      </c>
      <c r="H496" s="26" t="s">
        <v>39</v>
      </c>
      <c r="I496" s="26" t="s">
        <v>2427</v>
      </c>
      <c r="J496" s="11" t="str">
        <f>VLOOKUP(K496,'PN Dictionary'!A:B,2,FALSE)</f>
        <v>GB300 L10</v>
      </c>
      <c r="K496" s="42" t="s">
        <v>36</v>
      </c>
      <c r="L496" s="44" t="s">
        <v>2530</v>
      </c>
      <c r="M496" s="26" t="s">
        <v>2428</v>
      </c>
      <c r="N496" s="26" t="s">
        <v>53</v>
      </c>
      <c r="O496" s="26" t="s">
        <v>728</v>
      </c>
      <c r="P496" s="26">
        <v>90131</v>
      </c>
      <c r="Q496" s="26" t="s">
        <v>55</v>
      </c>
    </row>
    <row r="497" spans="1:17" hidden="1" x14ac:dyDescent="0.3">
      <c r="A497" s="26" t="s">
        <v>2429</v>
      </c>
      <c r="B497" s="26" t="s">
        <v>2430</v>
      </c>
      <c r="C497" s="26" t="s">
        <v>50</v>
      </c>
      <c r="D497" s="26" t="s">
        <v>2376</v>
      </c>
      <c r="E497" s="26" t="s">
        <v>591</v>
      </c>
      <c r="G497" s="26" t="s">
        <v>2362</v>
      </c>
      <c r="H497" s="26" t="s">
        <v>39</v>
      </c>
      <c r="I497" s="26" t="s">
        <v>2427</v>
      </c>
      <c r="J497" s="11" t="str">
        <f>VLOOKUP(K497,'PN Dictionary'!A:B,2,FALSE)</f>
        <v>GB300 L10</v>
      </c>
      <c r="K497" s="26" t="s">
        <v>36</v>
      </c>
      <c r="L497" s="44" t="s">
        <v>2531</v>
      </c>
      <c r="M497" s="26" t="s">
        <v>2431</v>
      </c>
      <c r="N497" s="26" t="s">
        <v>53</v>
      </c>
      <c r="O497" s="26" t="s">
        <v>728</v>
      </c>
      <c r="P497" s="26">
        <v>90131</v>
      </c>
      <c r="Q497" s="26" t="s">
        <v>55</v>
      </c>
    </row>
    <row r="498" spans="1:17" hidden="1" x14ac:dyDescent="0.3">
      <c r="A498" s="26" t="s">
        <v>2432</v>
      </c>
      <c r="B498" s="26" t="s">
        <v>2433</v>
      </c>
      <c r="C498" s="26" t="s">
        <v>50</v>
      </c>
      <c r="D498" s="26" t="s">
        <v>2434</v>
      </c>
      <c r="E498" s="26" t="s">
        <v>761</v>
      </c>
      <c r="G498" s="26" t="s">
        <v>2362</v>
      </c>
      <c r="H498" s="26" t="s">
        <v>39</v>
      </c>
      <c r="I498" s="26" t="s">
        <v>2435</v>
      </c>
      <c r="J498" s="11" t="str">
        <f>VLOOKUP(K498,'PN Dictionary'!A:B,2,FALSE)</f>
        <v>GB300 L10</v>
      </c>
      <c r="K498" s="26" t="s">
        <v>36</v>
      </c>
      <c r="L498" s="44" t="s">
        <v>2532</v>
      </c>
      <c r="M498" s="26" t="s">
        <v>2436</v>
      </c>
      <c r="N498" s="26" t="s">
        <v>53</v>
      </c>
      <c r="O498" s="26" t="s">
        <v>728</v>
      </c>
      <c r="P498" s="26">
        <v>90131</v>
      </c>
      <c r="Q498" s="26" t="s">
        <v>55</v>
      </c>
    </row>
    <row r="499" spans="1:17" hidden="1" x14ac:dyDescent="0.3">
      <c r="A499" s="26" t="s">
        <v>2437</v>
      </c>
      <c r="B499" s="26" t="s">
        <v>2438</v>
      </c>
      <c r="C499" s="26" t="s">
        <v>50</v>
      </c>
      <c r="D499" s="26" t="s">
        <v>2439</v>
      </c>
      <c r="E499" s="26" t="s">
        <v>761</v>
      </c>
      <c r="G499" s="26" t="s">
        <v>2362</v>
      </c>
      <c r="H499" s="26" t="s">
        <v>39</v>
      </c>
      <c r="I499" s="26" t="s">
        <v>1992</v>
      </c>
      <c r="J499" s="11" t="str">
        <f>VLOOKUP(K499,'PN Dictionary'!A:B,2,FALSE)</f>
        <v>GB300 L10</v>
      </c>
      <c r="K499" s="26" t="s">
        <v>36</v>
      </c>
      <c r="L499" s="44" t="s">
        <v>2533</v>
      </c>
      <c r="M499" s="26" t="s">
        <v>2440</v>
      </c>
      <c r="N499" s="26" t="s">
        <v>53</v>
      </c>
      <c r="O499" s="26" t="s">
        <v>728</v>
      </c>
      <c r="P499" s="26">
        <v>90066</v>
      </c>
      <c r="Q499" s="26" t="s">
        <v>55</v>
      </c>
    </row>
    <row r="500" spans="1:17" hidden="1" x14ac:dyDescent="0.3">
      <c r="A500" s="26" t="s">
        <v>2441</v>
      </c>
      <c r="B500" s="26" t="s">
        <v>2442</v>
      </c>
      <c r="C500" s="26" t="s">
        <v>50</v>
      </c>
      <c r="D500" s="26" t="s">
        <v>2203</v>
      </c>
      <c r="E500" s="26" t="s">
        <v>87</v>
      </c>
      <c r="G500" s="26" t="s">
        <v>2362</v>
      </c>
      <c r="H500" s="26" t="s">
        <v>39</v>
      </c>
      <c r="I500" s="26" t="s">
        <v>2443</v>
      </c>
      <c r="J500" s="11" t="str">
        <f>VLOOKUP(K500,'PN Dictionary'!A:B,2,FALSE)</f>
        <v>GB300 L10</v>
      </c>
      <c r="K500" s="26" t="s">
        <v>36</v>
      </c>
      <c r="L500" s="44" t="s">
        <v>2534</v>
      </c>
      <c r="M500" s="26" t="s">
        <v>2444</v>
      </c>
      <c r="N500" s="26" t="s">
        <v>53</v>
      </c>
      <c r="O500" s="26" t="s">
        <v>728</v>
      </c>
      <c r="P500" s="26">
        <v>3908</v>
      </c>
      <c r="Q500" s="26" t="s">
        <v>55</v>
      </c>
    </row>
    <row r="501" spans="1:17" hidden="1" x14ac:dyDescent="0.3">
      <c r="A501" s="26" t="s">
        <v>2445</v>
      </c>
      <c r="B501" s="26" t="s">
        <v>2446</v>
      </c>
      <c r="C501" s="26" t="s">
        <v>50</v>
      </c>
      <c r="D501" s="26" t="s">
        <v>2447</v>
      </c>
      <c r="E501" s="26" t="s">
        <v>128</v>
      </c>
      <c r="G501" s="26" t="s">
        <v>2362</v>
      </c>
      <c r="H501" s="26" t="s">
        <v>39</v>
      </c>
      <c r="I501" s="26" t="s">
        <v>2448</v>
      </c>
      <c r="J501" s="11" t="str">
        <f>VLOOKUP(K501,'PN Dictionary'!A:B,2,FALSE)</f>
        <v>Cable Cartridge</v>
      </c>
      <c r="K501" s="26" t="s">
        <v>6</v>
      </c>
      <c r="L501" s="44">
        <v>2024225881134</v>
      </c>
      <c r="M501" s="26">
        <v>2024225880936</v>
      </c>
      <c r="N501" s="26" t="s">
        <v>53</v>
      </c>
      <c r="O501" s="26" t="s">
        <v>728</v>
      </c>
      <c r="P501" s="26">
        <v>90131</v>
      </c>
      <c r="Q501" s="26" t="s">
        <v>55</v>
      </c>
    </row>
    <row r="502" spans="1:17" hidden="1" x14ac:dyDescent="0.3">
      <c r="A502" s="26" t="s">
        <v>2449</v>
      </c>
      <c r="B502" s="26" t="s">
        <v>2450</v>
      </c>
      <c r="C502" s="26" t="s">
        <v>1309</v>
      </c>
      <c r="D502" s="26" t="s">
        <v>2191</v>
      </c>
      <c r="E502" s="26" t="s">
        <v>128</v>
      </c>
      <c r="G502" s="26" t="s">
        <v>2362</v>
      </c>
      <c r="H502" s="26" t="s">
        <v>39</v>
      </c>
      <c r="I502" s="26" t="s">
        <v>2451</v>
      </c>
      <c r="J502" s="11" t="str">
        <f>VLOOKUP(K502,'PN Dictionary'!A:B,2,FALSE)</f>
        <v>Cable Cartridge</v>
      </c>
      <c r="K502" s="26" t="s">
        <v>6</v>
      </c>
      <c r="L502" s="44">
        <v>1822825355765</v>
      </c>
      <c r="M502" s="26">
        <v>2024225880781</v>
      </c>
      <c r="N502" s="26" t="s">
        <v>53</v>
      </c>
      <c r="O502" s="26" t="s">
        <v>728</v>
      </c>
      <c r="P502" s="26">
        <v>90131</v>
      </c>
      <c r="Q502" s="26" t="s">
        <v>55</v>
      </c>
    </row>
    <row r="503" spans="1:17" hidden="1" x14ac:dyDescent="0.3">
      <c r="A503" s="26" t="s">
        <v>2452</v>
      </c>
      <c r="B503" s="26" t="s">
        <v>2453</v>
      </c>
      <c r="C503" s="26" t="s">
        <v>50</v>
      </c>
      <c r="D503" s="26" t="s">
        <v>2372</v>
      </c>
      <c r="E503" s="26" t="s">
        <v>128</v>
      </c>
      <c r="G503" s="26" t="s">
        <v>2362</v>
      </c>
      <c r="H503" s="26" t="s">
        <v>39</v>
      </c>
      <c r="I503" s="26" t="s">
        <v>2454</v>
      </c>
      <c r="J503" s="11" t="str">
        <f>VLOOKUP(K503,'PN Dictionary'!A:B,2,FALSE)</f>
        <v>Cable Cartridge</v>
      </c>
      <c r="K503" s="26" t="s">
        <v>6</v>
      </c>
      <c r="L503" s="44">
        <v>2024225880794</v>
      </c>
      <c r="M503" s="26">
        <v>2024225880764</v>
      </c>
      <c r="N503" s="26" t="s">
        <v>53</v>
      </c>
      <c r="O503" s="26" t="s">
        <v>728</v>
      </c>
      <c r="P503" s="26">
        <v>90131</v>
      </c>
      <c r="Q503" s="26" t="s">
        <v>55</v>
      </c>
    </row>
    <row r="504" spans="1:17" hidden="1" x14ac:dyDescent="0.3">
      <c r="A504" s="26" t="s">
        <v>2455</v>
      </c>
      <c r="B504" s="26" t="s">
        <v>2456</v>
      </c>
      <c r="C504" s="26" t="s">
        <v>50</v>
      </c>
      <c r="D504" s="26" t="s">
        <v>2457</v>
      </c>
      <c r="E504" s="26" t="s">
        <v>128</v>
      </c>
      <c r="G504" s="26" t="s">
        <v>2362</v>
      </c>
      <c r="H504" s="26" t="s">
        <v>39</v>
      </c>
      <c r="I504" s="26" t="s">
        <v>2458</v>
      </c>
      <c r="J504" s="11" t="str">
        <f>VLOOKUP(K504,'PN Dictionary'!A:B,2,FALSE)</f>
        <v>Cable Cartridge</v>
      </c>
      <c r="K504" s="26" t="s">
        <v>6</v>
      </c>
      <c r="L504" s="44">
        <v>2024225881233</v>
      </c>
      <c r="M504" s="26">
        <v>2024325880285</v>
      </c>
      <c r="N504" s="26" t="s">
        <v>53</v>
      </c>
      <c r="O504" s="26" t="s">
        <v>728</v>
      </c>
      <c r="P504" s="26">
        <v>90066</v>
      </c>
      <c r="Q504" s="26" t="s">
        <v>55</v>
      </c>
    </row>
    <row r="505" spans="1:17" hidden="1" x14ac:dyDescent="0.3">
      <c r="A505" s="26" t="s">
        <v>2459</v>
      </c>
      <c r="B505" s="26" t="s">
        <v>2460</v>
      </c>
      <c r="C505" s="26" t="s">
        <v>50</v>
      </c>
      <c r="D505" s="26" t="s">
        <v>2457</v>
      </c>
      <c r="E505" s="26" t="s">
        <v>411</v>
      </c>
      <c r="G505" s="26" t="s">
        <v>2362</v>
      </c>
      <c r="H505" s="26" t="s">
        <v>39</v>
      </c>
      <c r="I505" s="26" t="s">
        <v>2461</v>
      </c>
      <c r="J505" s="11" t="str">
        <f>VLOOKUP(K505,'PN Dictionary'!A:B,2,FALSE)</f>
        <v>NVSwitch</v>
      </c>
      <c r="K505" s="26" t="s">
        <v>7</v>
      </c>
      <c r="L505" s="44" t="s">
        <v>2462</v>
      </c>
      <c r="M505" s="26" t="s">
        <v>2463</v>
      </c>
      <c r="N505" s="26" t="s">
        <v>53</v>
      </c>
      <c r="O505" s="26" t="s">
        <v>728</v>
      </c>
      <c r="P505" s="26">
        <v>90066</v>
      </c>
      <c r="Q505" s="26" t="s">
        <v>55</v>
      </c>
    </row>
    <row r="506" spans="1:17" hidden="1" x14ac:dyDescent="0.3">
      <c r="A506" s="26" t="s">
        <v>2464</v>
      </c>
      <c r="B506" s="26" t="s">
        <v>2465</v>
      </c>
      <c r="C506" s="26" t="s">
        <v>50</v>
      </c>
      <c r="D506" s="26" t="s">
        <v>2466</v>
      </c>
      <c r="E506" s="26" t="s">
        <v>230</v>
      </c>
      <c r="G506" s="26" t="s">
        <v>2467</v>
      </c>
      <c r="H506" s="26" t="s">
        <v>39</v>
      </c>
      <c r="I506" s="26" t="s">
        <v>2468</v>
      </c>
      <c r="J506" s="11" t="str">
        <f>VLOOKUP(K506,'PN Dictionary'!A:B,2,FALSE)</f>
        <v>NVSwitch</v>
      </c>
      <c r="K506" s="26" t="s">
        <v>7</v>
      </c>
      <c r="L506" s="44" t="s">
        <v>2469</v>
      </c>
      <c r="M506" s="26" t="s">
        <v>2470</v>
      </c>
      <c r="N506" s="26" t="s">
        <v>53</v>
      </c>
      <c r="O506" s="26" t="s">
        <v>728</v>
      </c>
      <c r="P506" s="26">
        <v>1519</v>
      </c>
      <c r="Q506" s="26" t="s">
        <v>55</v>
      </c>
    </row>
    <row r="507" spans="1:17" hidden="1" x14ac:dyDescent="0.3">
      <c r="A507" s="26" t="s">
        <v>2471</v>
      </c>
      <c r="B507" s="26" t="s">
        <v>2472</v>
      </c>
      <c r="C507" s="26" t="s">
        <v>50</v>
      </c>
      <c r="D507" s="26" t="s">
        <v>2376</v>
      </c>
      <c r="E507" s="26" t="s">
        <v>52</v>
      </c>
      <c r="G507" s="26" t="s">
        <v>2467</v>
      </c>
      <c r="H507" s="26" t="s">
        <v>39</v>
      </c>
      <c r="I507" s="26" t="s">
        <v>2473</v>
      </c>
      <c r="J507" s="11" t="str">
        <f>VLOOKUP(K507,'PN Dictionary'!A:B,2,FALSE)</f>
        <v>GB300 L10</v>
      </c>
      <c r="K507" s="26" t="s">
        <v>36</v>
      </c>
      <c r="L507" s="44" t="s">
        <v>2535</v>
      </c>
      <c r="M507" s="26" t="s">
        <v>2474</v>
      </c>
      <c r="N507" s="26" t="s">
        <v>53</v>
      </c>
      <c r="O507" s="26" t="s">
        <v>728</v>
      </c>
      <c r="P507" s="26">
        <v>640</v>
      </c>
      <c r="Q507" s="26" t="s">
        <v>55</v>
      </c>
    </row>
    <row r="508" spans="1:17" hidden="1" x14ac:dyDescent="0.3">
      <c r="A508" s="26" t="s">
        <v>2475</v>
      </c>
      <c r="B508" s="26" t="s">
        <v>2476</v>
      </c>
      <c r="C508" s="26" t="s">
        <v>50</v>
      </c>
      <c r="D508" s="26" t="s">
        <v>2477</v>
      </c>
      <c r="E508" s="26" t="s">
        <v>52</v>
      </c>
      <c r="G508" s="26" t="s">
        <v>2467</v>
      </c>
      <c r="H508" s="26" t="s">
        <v>39</v>
      </c>
      <c r="I508" s="26" t="s">
        <v>79</v>
      </c>
      <c r="J508" s="11" t="str">
        <f>VLOOKUP(K508,'PN Dictionary'!A:B,2,FALSE)</f>
        <v>GB300 L10</v>
      </c>
      <c r="K508" s="26" t="s">
        <v>36</v>
      </c>
      <c r="L508" s="44" t="s">
        <v>2536</v>
      </c>
      <c r="M508" s="26" t="s">
        <v>2478</v>
      </c>
      <c r="N508" s="26" t="s">
        <v>53</v>
      </c>
      <c r="O508" s="26" t="s">
        <v>728</v>
      </c>
      <c r="P508" s="26">
        <v>640</v>
      </c>
      <c r="Q508" s="26" t="s">
        <v>55</v>
      </c>
    </row>
    <row r="509" spans="1:17" hidden="1" x14ac:dyDescent="0.3">
      <c r="A509" s="26" t="s">
        <v>2479</v>
      </c>
      <c r="B509" s="26" t="s">
        <v>2480</v>
      </c>
      <c r="C509" s="26" t="s">
        <v>50</v>
      </c>
      <c r="D509" s="26" t="s">
        <v>2400</v>
      </c>
      <c r="E509" s="26" t="s">
        <v>761</v>
      </c>
      <c r="G509" s="26" t="s">
        <v>2467</v>
      </c>
      <c r="H509" s="26" t="s">
        <v>39</v>
      </c>
      <c r="I509" s="26" t="s">
        <v>1190</v>
      </c>
      <c r="J509" s="11" t="str">
        <f>VLOOKUP(K509,'PN Dictionary'!A:B,2,FALSE)</f>
        <v>GB300 L10</v>
      </c>
      <c r="K509" s="26" t="s">
        <v>36</v>
      </c>
      <c r="L509" s="44" t="s">
        <v>2537</v>
      </c>
      <c r="M509" s="26" t="s">
        <v>2481</v>
      </c>
      <c r="N509" s="26" t="s">
        <v>53</v>
      </c>
      <c r="O509" s="26" t="s">
        <v>728</v>
      </c>
      <c r="P509" s="26">
        <v>90066</v>
      </c>
      <c r="Q509" s="26" t="s">
        <v>55</v>
      </c>
    </row>
    <row r="510" spans="1:17" hidden="1" x14ac:dyDescent="0.3">
      <c r="A510" s="26" t="s">
        <v>2482</v>
      </c>
      <c r="B510" s="26" t="s">
        <v>2483</v>
      </c>
      <c r="C510" s="26" t="s">
        <v>50</v>
      </c>
      <c r="D510" s="26" t="s">
        <v>2357</v>
      </c>
      <c r="E510" s="26" t="s">
        <v>81</v>
      </c>
      <c r="G510" s="26" t="s">
        <v>2467</v>
      </c>
      <c r="H510" s="26" t="s">
        <v>39</v>
      </c>
      <c r="I510" s="26" t="s">
        <v>928</v>
      </c>
      <c r="J510" s="11" t="str">
        <f>VLOOKUP(K510,'PN Dictionary'!A:B,2,FALSE)</f>
        <v>GB300 L10</v>
      </c>
      <c r="K510" s="26" t="s">
        <v>36</v>
      </c>
      <c r="L510" s="44" t="s">
        <v>2538</v>
      </c>
      <c r="M510" s="26" t="s">
        <v>2484</v>
      </c>
      <c r="N510" s="26" t="s">
        <v>53</v>
      </c>
      <c r="O510" s="26" t="s">
        <v>728</v>
      </c>
      <c r="P510" s="26">
        <v>90168</v>
      </c>
      <c r="Q510" s="26" t="s">
        <v>55</v>
      </c>
    </row>
    <row r="511" spans="1:17" hidden="1" x14ac:dyDescent="0.3">
      <c r="A511" s="26" t="s">
        <v>2485</v>
      </c>
      <c r="B511" s="26" t="s">
        <v>2486</v>
      </c>
      <c r="C511" s="26" t="s">
        <v>50</v>
      </c>
      <c r="D511" s="26" t="s">
        <v>2372</v>
      </c>
      <c r="E511" s="26" t="s">
        <v>81</v>
      </c>
      <c r="G511" s="26" t="s">
        <v>2467</v>
      </c>
      <c r="H511" s="26" t="s">
        <v>39</v>
      </c>
      <c r="I511" s="26" t="s">
        <v>2487</v>
      </c>
      <c r="J511" s="11" t="str">
        <f>VLOOKUP(K511,'PN Dictionary'!A:B,2,FALSE)</f>
        <v>GB300 L10</v>
      </c>
      <c r="K511" s="26" t="s">
        <v>36</v>
      </c>
      <c r="L511" s="44" t="s">
        <v>2539</v>
      </c>
      <c r="M511" s="26" t="s">
        <v>2488</v>
      </c>
      <c r="N511" s="26" t="s">
        <v>53</v>
      </c>
      <c r="O511" s="26" t="s">
        <v>728</v>
      </c>
      <c r="P511" s="26">
        <v>90168</v>
      </c>
      <c r="Q511" s="26" t="s">
        <v>55</v>
      </c>
    </row>
    <row r="512" spans="1:17" hidden="1" x14ac:dyDescent="0.3">
      <c r="A512" s="26" t="s">
        <v>2489</v>
      </c>
      <c r="B512" s="26" t="s">
        <v>2490</v>
      </c>
      <c r="C512" s="26" t="s">
        <v>50</v>
      </c>
      <c r="D512" s="26" t="s">
        <v>2243</v>
      </c>
      <c r="E512" s="26" t="s">
        <v>87</v>
      </c>
      <c r="G512" s="26" t="s">
        <v>2467</v>
      </c>
      <c r="H512" s="26" t="s">
        <v>39</v>
      </c>
      <c r="I512" s="26" t="s">
        <v>2491</v>
      </c>
      <c r="J512" s="11" t="str">
        <f>VLOOKUP(K512,'PN Dictionary'!A:B,2,FALSE)</f>
        <v>GB300 L10</v>
      </c>
      <c r="K512" s="26" t="s">
        <v>36</v>
      </c>
      <c r="L512" s="44" t="s">
        <v>2540</v>
      </c>
      <c r="M512" s="26" t="s">
        <v>2492</v>
      </c>
      <c r="N512" s="26" t="s">
        <v>53</v>
      </c>
      <c r="O512" s="26" t="s">
        <v>728</v>
      </c>
      <c r="P512" s="26">
        <v>3908</v>
      </c>
      <c r="Q512" s="26" t="s">
        <v>55</v>
      </c>
    </row>
    <row r="513" spans="1:17" hidden="1" x14ac:dyDescent="0.3">
      <c r="A513" s="26" t="s">
        <v>2493</v>
      </c>
      <c r="B513" s="26" t="s">
        <v>2494</v>
      </c>
      <c r="C513" s="26" t="s">
        <v>50</v>
      </c>
      <c r="D513" s="26" t="s">
        <v>2495</v>
      </c>
      <c r="E513" s="26" t="s">
        <v>230</v>
      </c>
      <c r="G513" s="26" t="s">
        <v>2496</v>
      </c>
      <c r="H513" s="26" t="s">
        <v>39</v>
      </c>
      <c r="I513" s="26" t="s">
        <v>2497</v>
      </c>
      <c r="J513" s="11" t="str">
        <f>VLOOKUP(K513,'PN Dictionary'!A:B,2,FALSE)</f>
        <v>NVSwitch</v>
      </c>
      <c r="K513" s="26" t="s">
        <v>7</v>
      </c>
      <c r="L513" s="44" t="s">
        <v>2498</v>
      </c>
      <c r="M513" s="26" t="s">
        <v>2499</v>
      </c>
      <c r="N513" s="26" t="s">
        <v>53</v>
      </c>
      <c r="O513" s="26" t="s">
        <v>728</v>
      </c>
      <c r="P513" s="26">
        <v>1519</v>
      </c>
      <c r="Q513" s="26" t="s">
        <v>55</v>
      </c>
    </row>
    <row r="514" spans="1:17" hidden="1" x14ac:dyDescent="0.3">
      <c r="A514" s="26" t="s">
        <v>2500</v>
      </c>
      <c r="B514" s="26" t="s">
        <v>2501</v>
      </c>
      <c r="C514" s="26" t="s">
        <v>50</v>
      </c>
      <c r="D514" s="26" t="s">
        <v>2502</v>
      </c>
      <c r="E514" s="26" t="s">
        <v>128</v>
      </c>
      <c r="G514" s="26" t="s">
        <v>2496</v>
      </c>
      <c r="H514" s="26" t="s">
        <v>39</v>
      </c>
      <c r="I514" s="26" t="s">
        <v>2503</v>
      </c>
      <c r="J514" s="11" t="str">
        <f>VLOOKUP(K514,'PN Dictionary'!A:B,2,FALSE)</f>
        <v>Cable Cartridge</v>
      </c>
      <c r="K514" s="26" t="s">
        <v>6</v>
      </c>
      <c r="L514" s="44">
        <v>2024225880821</v>
      </c>
      <c r="M514" s="26">
        <v>2024325880366</v>
      </c>
      <c r="N514" s="26" t="s">
        <v>53</v>
      </c>
      <c r="O514" s="26" t="s">
        <v>728</v>
      </c>
      <c r="P514" s="26">
        <v>1519</v>
      </c>
      <c r="Q514" s="26" t="s">
        <v>55</v>
      </c>
    </row>
    <row r="515" spans="1:17" hidden="1" x14ac:dyDescent="0.3">
      <c r="A515" s="26" t="s">
        <v>2504</v>
      </c>
      <c r="B515" s="26" t="s">
        <v>2505</v>
      </c>
      <c r="C515" s="26" t="s">
        <v>50</v>
      </c>
      <c r="D515" s="26" t="s">
        <v>2400</v>
      </c>
      <c r="E515" s="26" t="s">
        <v>128</v>
      </c>
      <c r="G515" s="26" t="s">
        <v>2496</v>
      </c>
      <c r="H515" s="26" t="s">
        <v>39</v>
      </c>
      <c r="I515" s="26" t="s">
        <v>2503</v>
      </c>
      <c r="J515" s="11" t="str">
        <f>VLOOKUP(K515,'PN Dictionary'!A:B,2,FALSE)</f>
        <v>Cable Cartridge</v>
      </c>
      <c r="K515" s="26" t="s">
        <v>6</v>
      </c>
      <c r="L515" s="44">
        <v>2024425880525</v>
      </c>
      <c r="M515" s="26">
        <v>2024325880329</v>
      </c>
      <c r="N515" s="26" t="s">
        <v>53</v>
      </c>
      <c r="O515" s="26" t="s">
        <v>728</v>
      </c>
      <c r="P515" s="26">
        <v>1519</v>
      </c>
      <c r="Q515" s="26" t="s">
        <v>55</v>
      </c>
    </row>
    <row r="516" spans="1:17" hidden="1" x14ac:dyDescent="0.3">
      <c r="A516" s="26" t="s">
        <v>2506</v>
      </c>
      <c r="B516" s="26" t="s">
        <v>2507</v>
      </c>
      <c r="C516" s="26" t="s">
        <v>50</v>
      </c>
      <c r="D516" s="26" t="s">
        <v>2508</v>
      </c>
      <c r="E516" s="26" t="s">
        <v>52</v>
      </c>
      <c r="G516" s="26" t="s">
        <v>2496</v>
      </c>
      <c r="H516" s="26" t="s">
        <v>39</v>
      </c>
      <c r="I516" s="26" t="s">
        <v>2509</v>
      </c>
      <c r="J516" s="11" t="str">
        <f>VLOOKUP(K516,'PN Dictionary'!A:B,2,FALSE)</f>
        <v>GB300 L10</v>
      </c>
      <c r="K516" s="26" t="s">
        <v>36</v>
      </c>
      <c r="L516" s="44" t="s">
        <v>2541</v>
      </c>
      <c r="M516" s="26" t="s">
        <v>2510</v>
      </c>
      <c r="N516" s="26" t="s">
        <v>53</v>
      </c>
      <c r="O516" s="26" t="s">
        <v>728</v>
      </c>
      <c r="P516" s="26">
        <v>718</v>
      </c>
      <c r="Q516" s="26" t="s">
        <v>55</v>
      </c>
    </row>
    <row r="517" spans="1:17" hidden="1" x14ac:dyDescent="0.3">
      <c r="A517" s="26" t="s">
        <v>2511</v>
      </c>
      <c r="B517" s="26" t="s">
        <v>2512</v>
      </c>
      <c r="C517" s="26" t="s">
        <v>50</v>
      </c>
      <c r="D517" s="26" t="s">
        <v>2513</v>
      </c>
      <c r="E517" s="26" t="s">
        <v>52</v>
      </c>
      <c r="G517" s="26" t="s">
        <v>2496</v>
      </c>
      <c r="H517" s="26" t="s">
        <v>39</v>
      </c>
      <c r="I517" s="26" t="s">
        <v>2514</v>
      </c>
      <c r="J517" s="11" t="str">
        <f>VLOOKUP(K517,'PN Dictionary'!A:B,2,FALSE)</f>
        <v>GB300 L10</v>
      </c>
      <c r="K517" s="26" t="s">
        <v>36</v>
      </c>
      <c r="L517" s="44" t="s">
        <v>2542</v>
      </c>
      <c r="M517" s="26" t="s">
        <v>2515</v>
      </c>
      <c r="N517" s="26" t="s">
        <v>53</v>
      </c>
      <c r="O517" s="26" t="s">
        <v>728</v>
      </c>
      <c r="P517" s="26">
        <v>718</v>
      </c>
      <c r="Q517" s="26" t="s">
        <v>55</v>
      </c>
    </row>
    <row r="518" spans="1:17" hidden="1" x14ac:dyDescent="0.3">
      <c r="A518" s="26" t="s">
        <v>2516</v>
      </c>
      <c r="B518" s="26" t="s">
        <v>2517</v>
      </c>
      <c r="C518" s="26" t="s">
        <v>50</v>
      </c>
      <c r="D518" s="26" t="s">
        <v>2518</v>
      </c>
      <c r="E518" s="26" t="s">
        <v>52</v>
      </c>
      <c r="G518" s="26" t="s">
        <v>2496</v>
      </c>
      <c r="H518" s="26" t="s">
        <v>39</v>
      </c>
      <c r="I518" s="26" t="s">
        <v>1294</v>
      </c>
      <c r="J518" s="11" t="str">
        <f>VLOOKUP(K518,'PN Dictionary'!A:B,2,FALSE)</f>
        <v>GB300 L10</v>
      </c>
      <c r="K518" s="26" t="s">
        <v>36</v>
      </c>
      <c r="L518" s="44" t="s">
        <v>2543</v>
      </c>
      <c r="M518" s="26" t="s">
        <v>2519</v>
      </c>
      <c r="N518" s="26" t="s">
        <v>53</v>
      </c>
      <c r="O518" s="26" t="s">
        <v>728</v>
      </c>
      <c r="P518" s="26">
        <v>718</v>
      </c>
      <c r="Q518" s="26" t="s">
        <v>55</v>
      </c>
    </row>
    <row r="519" spans="1:17" hidden="1" x14ac:dyDescent="0.3">
      <c r="A519" s="26" t="s">
        <v>2520</v>
      </c>
      <c r="B519" s="26" t="s">
        <v>2521</v>
      </c>
      <c r="C519" s="26" t="s">
        <v>50</v>
      </c>
      <c r="D519" s="26" t="s">
        <v>2522</v>
      </c>
      <c r="E519" s="26" t="s">
        <v>52</v>
      </c>
      <c r="G519" s="26" t="s">
        <v>2496</v>
      </c>
      <c r="H519" s="26" t="s">
        <v>39</v>
      </c>
      <c r="I519" s="26" t="s">
        <v>2523</v>
      </c>
      <c r="J519" s="11" t="str">
        <f>VLOOKUP(K519,'PN Dictionary'!A:B,2,FALSE)</f>
        <v>GB300 L10</v>
      </c>
      <c r="K519" s="26" t="s">
        <v>36</v>
      </c>
      <c r="L519" s="44" t="s">
        <v>2544</v>
      </c>
      <c r="M519" s="26" t="s">
        <v>2524</v>
      </c>
      <c r="N519" s="26" t="s">
        <v>53</v>
      </c>
      <c r="O519" s="26" t="s">
        <v>728</v>
      </c>
      <c r="P519" s="26">
        <v>640</v>
      </c>
      <c r="Q519" s="26" t="s">
        <v>55</v>
      </c>
    </row>
    <row r="520" spans="1:17" hidden="1" x14ac:dyDescent="0.3">
      <c r="A520" s="26" t="s">
        <v>2525</v>
      </c>
      <c r="B520" s="26" t="s">
        <v>2526</v>
      </c>
      <c r="C520" s="26" t="s">
        <v>50</v>
      </c>
      <c r="D520" s="26" t="s">
        <v>2477</v>
      </c>
      <c r="E520" s="26" t="s">
        <v>128</v>
      </c>
      <c r="G520" s="26" t="s">
        <v>2496</v>
      </c>
      <c r="H520" s="26" t="s">
        <v>39</v>
      </c>
      <c r="I520" s="26" t="s">
        <v>205</v>
      </c>
      <c r="J520" s="11" t="str">
        <f>VLOOKUP(K520,'PN Dictionary'!A:B,2,FALSE)</f>
        <v>Cable Cartridge</v>
      </c>
      <c r="K520" s="26" t="s">
        <v>6</v>
      </c>
      <c r="L520" s="44">
        <v>2024225880962</v>
      </c>
      <c r="M520" s="26">
        <v>2024225881095</v>
      </c>
      <c r="N520" s="26" t="s">
        <v>53</v>
      </c>
      <c r="O520" s="26" t="s">
        <v>728</v>
      </c>
      <c r="P520" s="26">
        <v>640</v>
      </c>
      <c r="Q520" s="26" t="s">
        <v>55</v>
      </c>
    </row>
    <row r="521" spans="1:17" hidden="1" x14ac:dyDescent="0.3">
      <c r="A521" s="26" t="s">
        <v>2527</v>
      </c>
      <c r="B521" s="26" t="s">
        <v>2528</v>
      </c>
      <c r="C521" s="26" t="s">
        <v>50</v>
      </c>
      <c r="D521" s="26" t="s">
        <v>2502</v>
      </c>
      <c r="E521" s="26" t="s">
        <v>761</v>
      </c>
      <c r="G521" s="26" t="s">
        <v>2496</v>
      </c>
      <c r="H521" s="26" t="s">
        <v>39</v>
      </c>
      <c r="I521" s="26" t="s">
        <v>1190</v>
      </c>
      <c r="J521" s="11" t="str">
        <f>VLOOKUP(K521,'PN Dictionary'!A:B,2,FALSE)</f>
        <v>GB300 L10</v>
      </c>
      <c r="K521" s="26" t="s">
        <v>36</v>
      </c>
      <c r="L521" s="44" t="s">
        <v>2545</v>
      </c>
      <c r="M521" s="26" t="s">
        <v>2529</v>
      </c>
      <c r="N521" s="26" t="s">
        <v>53</v>
      </c>
      <c r="O521" s="26" t="s">
        <v>728</v>
      </c>
      <c r="P521" s="26">
        <v>90066</v>
      </c>
      <c r="Q521" s="26" t="s">
        <v>55</v>
      </c>
    </row>
    <row r="522" spans="1:17" hidden="1" x14ac:dyDescent="0.3">
      <c r="A522" s="26" t="s">
        <v>2546</v>
      </c>
      <c r="B522" s="26" t="s">
        <v>2547</v>
      </c>
      <c r="C522" s="26" t="s">
        <v>50</v>
      </c>
      <c r="D522" s="26" t="s">
        <v>2548</v>
      </c>
      <c r="E522" s="26" t="s">
        <v>87</v>
      </c>
      <c r="G522" s="26" t="s">
        <v>2496</v>
      </c>
      <c r="H522" s="26" t="s">
        <v>39</v>
      </c>
      <c r="I522" s="26" t="s">
        <v>2549</v>
      </c>
      <c r="J522" s="11" t="str">
        <f>VLOOKUP(K522,'PN Dictionary'!A:B,2,FALSE)</f>
        <v>GB300 L10</v>
      </c>
      <c r="K522" s="26" t="s">
        <v>36</v>
      </c>
      <c r="L522" s="26" t="s">
        <v>2648</v>
      </c>
      <c r="M522" s="44" t="s">
        <v>2550</v>
      </c>
      <c r="N522" s="26" t="s">
        <v>53</v>
      </c>
      <c r="O522" s="26" t="s">
        <v>728</v>
      </c>
      <c r="P522" s="26">
        <v>3908</v>
      </c>
      <c r="Q522" s="26" t="s">
        <v>55</v>
      </c>
    </row>
    <row r="523" spans="1:17" hidden="1" x14ac:dyDescent="0.3">
      <c r="A523" s="26" t="s">
        <v>2551</v>
      </c>
      <c r="B523" s="26" t="s">
        <v>2552</v>
      </c>
      <c r="C523" s="26" t="s">
        <v>50</v>
      </c>
      <c r="D523" s="26" t="s">
        <v>2522</v>
      </c>
      <c r="E523" s="26" t="s">
        <v>128</v>
      </c>
      <c r="G523" s="26" t="s">
        <v>2496</v>
      </c>
      <c r="H523" s="26" t="s">
        <v>39</v>
      </c>
      <c r="I523" s="26" t="s">
        <v>2553</v>
      </c>
      <c r="J523" s="11" t="str">
        <f>VLOOKUP(K523,'PN Dictionary'!A:B,2,FALSE)</f>
        <v>Cable Cartridge</v>
      </c>
      <c r="K523" s="26" t="s">
        <v>6</v>
      </c>
      <c r="L523" s="26">
        <v>2024225880798</v>
      </c>
      <c r="M523" s="44">
        <v>2024225880908</v>
      </c>
      <c r="N523" s="26" t="s">
        <v>53</v>
      </c>
      <c r="O523" s="26" t="s">
        <v>728</v>
      </c>
      <c r="P523" s="26">
        <v>3908</v>
      </c>
      <c r="Q523" s="26" t="s">
        <v>55</v>
      </c>
    </row>
    <row r="524" spans="1:17" hidden="1" x14ac:dyDescent="0.3">
      <c r="A524" s="26" t="s">
        <v>2554</v>
      </c>
      <c r="B524" s="26" t="s">
        <v>2555</v>
      </c>
      <c r="C524" s="26" t="s">
        <v>50</v>
      </c>
      <c r="D524" s="26" t="s">
        <v>2556</v>
      </c>
      <c r="E524" s="26" t="s">
        <v>259</v>
      </c>
      <c r="G524" s="26" t="s">
        <v>2496</v>
      </c>
      <c r="H524" s="26" t="s">
        <v>39</v>
      </c>
      <c r="I524" s="26" t="s">
        <v>2557</v>
      </c>
      <c r="J524" s="11" t="str">
        <f>VLOOKUP(K524,'PN Dictionary'!A:B,2,FALSE)</f>
        <v>GB300 L10</v>
      </c>
      <c r="K524" s="26" t="s">
        <v>36</v>
      </c>
      <c r="L524" s="26" t="s">
        <v>2649</v>
      </c>
      <c r="M524" s="44" t="s">
        <v>2558</v>
      </c>
      <c r="N524" s="26" t="s">
        <v>53</v>
      </c>
      <c r="O524" s="26" t="s">
        <v>728</v>
      </c>
      <c r="P524" s="26">
        <v>3908</v>
      </c>
      <c r="Q524" s="26" t="s">
        <v>55</v>
      </c>
    </row>
    <row r="525" spans="1:17" hidden="1" x14ac:dyDescent="0.3">
      <c r="A525" s="26" t="s">
        <v>2559</v>
      </c>
      <c r="B525" s="26" t="s">
        <v>2560</v>
      </c>
      <c r="C525" s="26" t="s">
        <v>50</v>
      </c>
      <c r="D525" s="26" t="s">
        <v>2400</v>
      </c>
      <c r="E525" s="26" t="s">
        <v>761</v>
      </c>
      <c r="G525" s="26" t="s">
        <v>2496</v>
      </c>
      <c r="H525" s="26" t="s">
        <v>39</v>
      </c>
      <c r="I525" s="26" t="s">
        <v>1190</v>
      </c>
      <c r="J525" s="11" t="str">
        <f>VLOOKUP(K525,'PN Dictionary'!A:B,2,FALSE)</f>
        <v>GB300 L10</v>
      </c>
      <c r="K525" s="26" t="s">
        <v>36</v>
      </c>
      <c r="L525" s="26" t="s">
        <v>2650</v>
      </c>
      <c r="M525" s="44" t="s">
        <v>2561</v>
      </c>
      <c r="N525" s="26" t="s">
        <v>53</v>
      </c>
      <c r="O525" s="26" t="s">
        <v>728</v>
      </c>
      <c r="P525" s="26">
        <v>90066</v>
      </c>
      <c r="Q525" s="26" t="s">
        <v>55</v>
      </c>
    </row>
    <row r="526" spans="1:17" hidden="1" x14ac:dyDescent="0.3">
      <c r="A526" s="26" t="s">
        <v>2562</v>
      </c>
      <c r="B526" s="26" t="s">
        <v>2563</v>
      </c>
      <c r="C526" s="26" t="s">
        <v>50</v>
      </c>
      <c r="D526" s="26" t="s">
        <v>2522</v>
      </c>
      <c r="E526" s="26" t="s">
        <v>653</v>
      </c>
      <c r="G526" s="26" t="s">
        <v>2496</v>
      </c>
      <c r="H526" s="26" t="s">
        <v>39</v>
      </c>
      <c r="I526" s="26" t="s">
        <v>1393</v>
      </c>
      <c r="J526" s="11" t="str">
        <f>VLOOKUP(K526,'PN Dictionary'!A:B,2,FALSE)</f>
        <v>GB300 L10</v>
      </c>
      <c r="K526" s="26" t="s">
        <v>36</v>
      </c>
      <c r="L526" s="26" t="s">
        <v>2651</v>
      </c>
      <c r="M526" s="44" t="s">
        <v>2564</v>
      </c>
      <c r="N526" s="26" t="s">
        <v>53</v>
      </c>
      <c r="O526" s="26" t="s">
        <v>728</v>
      </c>
      <c r="P526" s="26">
        <v>90131</v>
      </c>
      <c r="Q526" s="26" t="s">
        <v>55</v>
      </c>
    </row>
    <row r="527" spans="1:17" hidden="1" x14ac:dyDescent="0.3">
      <c r="A527" s="26" t="s">
        <v>2565</v>
      </c>
      <c r="B527" s="26" t="s">
        <v>2566</v>
      </c>
      <c r="C527" s="26" t="s">
        <v>50</v>
      </c>
      <c r="D527" s="26" t="s">
        <v>2567</v>
      </c>
      <c r="E527" s="26" t="s">
        <v>761</v>
      </c>
      <c r="G527" s="26" t="s">
        <v>2496</v>
      </c>
      <c r="H527" s="26" t="s">
        <v>39</v>
      </c>
      <c r="I527" s="26" t="s">
        <v>1190</v>
      </c>
      <c r="J527" s="11" t="str">
        <f>VLOOKUP(K527,'PN Dictionary'!A:B,2,FALSE)</f>
        <v>GB300 L10</v>
      </c>
      <c r="K527" s="26" t="s">
        <v>36</v>
      </c>
      <c r="L527" s="26" t="s">
        <v>2652</v>
      </c>
      <c r="M527" s="44" t="s">
        <v>2568</v>
      </c>
      <c r="N527" s="26" t="s">
        <v>53</v>
      </c>
      <c r="O527" s="26" t="s">
        <v>728</v>
      </c>
      <c r="P527" s="26">
        <v>90066</v>
      </c>
      <c r="Q527" s="26" t="s">
        <v>55</v>
      </c>
    </row>
    <row r="528" spans="1:17" hidden="1" x14ac:dyDescent="0.3">
      <c r="A528" s="26" t="s">
        <v>2569</v>
      </c>
      <c r="B528" s="26" t="s">
        <v>2570</v>
      </c>
      <c r="C528" s="26" t="s">
        <v>50</v>
      </c>
      <c r="D528" s="26" t="s">
        <v>2567</v>
      </c>
      <c r="E528" s="26" t="s">
        <v>761</v>
      </c>
      <c r="G528" s="26" t="s">
        <v>2496</v>
      </c>
      <c r="H528" s="26" t="s">
        <v>39</v>
      </c>
      <c r="I528" s="26" t="s">
        <v>1190</v>
      </c>
      <c r="J528" s="11" t="str">
        <f>VLOOKUP(K528,'PN Dictionary'!A:B,2,FALSE)</f>
        <v>GB300 L10</v>
      </c>
      <c r="K528" s="26" t="s">
        <v>36</v>
      </c>
      <c r="L528" s="26" t="s">
        <v>2653</v>
      </c>
      <c r="M528" s="44" t="s">
        <v>2571</v>
      </c>
      <c r="N528" s="26" t="s">
        <v>53</v>
      </c>
      <c r="O528" s="26" t="s">
        <v>728</v>
      </c>
      <c r="P528" s="26">
        <v>90066</v>
      </c>
      <c r="Q528" s="26" t="s">
        <v>55</v>
      </c>
    </row>
    <row r="529" spans="1:17" hidden="1" x14ac:dyDescent="0.3">
      <c r="A529" s="26" t="s">
        <v>2572</v>
      </c>
      <c r="B529" s="26" t="s">
        <v>2573</v>
      </c>
      <c r="C529" s="26" t="s">
        <v>50</v>
      </c>
      <c r="D529" s="26" t="s">
        <v>2574</v>
      </c>
      <c r="E529" s="26" t="s">
        <v>259</v>
      </c>
      <c r="G529" s="26" t="s">
        <v>2496</v>
      </c>
      <c r="H529" s="26" t="s">
        <v>39</v>
      </c>
      <c r="I529" s="26" t="s">
        <v>2575</v>
      </c>
      <c r="J529" s="11" t="str">
        <f>VLOOKUP(K529,'PN Dictionary'!A:B,2,FALSE)</f>
        <v>GB300 L10</v>
      </c>
      <c r="K529" s="26" t="s">
        <v>36</v>
      </c>
      <c r="L529" s="26" t="s">
        <v>2654</v>
      </c>
      <c r="M529" s="44" t="s">
        <v>2576</v>
      </c>
      <c r="N529" s="26" t="s">
        <v>53</v>
      </c>
      <c r="O529" s="26" t="s">
        <v>728</v>
      </c>
      <c r="P529" s="26">
        <v>90168</v>
      </c>
      <c r="Q529" s="26" t="s">
        <v>55</v>
      </c>
    </row>
    <row r="530" spans="1:17" hidden="1" x14ac:dyDescent="0.3">
      <c r="A530" s="26" t="s">
        <v>2577</v>
      </c>
      <c r="B530" s="26" t="s">
        <v>2578</v>
      </c>
      <c r="C530" s="26" t="s">
        <v>50</v>
      </c>
      <c r="D530" s="26" t="s">
        <v>2574</v>
      </c>
      <c r="E530" s="26" t="s">
        <v>259</v>
      </c>
      <c r="G530" s="26" t="s">
        <v>2496</v>
      </c>
      <c r="H530" s="26" t="s">
        <v>39</v>
      </c>
      <c r="I530" s="26" t="s">
        <v>2575</v>
      </c>
      <c r="J530" s="11" t="str">
        <f>VLOOKUP(K530,'PN Dictionary'!A:B,2,FALSE)</f>
        <v>GB300 L10</v>
      </c>
      <c r="K530" s="26" t="s">
        <v>36</v>
      </c>
      <c r="L530" s="26" t="s">
        <v>2655</v>
      </c>
      <c r="M530" s="44" t="s">
        <v>2579</v>
      </c>
      <c r="N530" s="26" t="s">
        <v>53</v>
      </c>
      <c r="O530" s="26" t="s">
        <v>728</v>
      </c>
      <c r="P530" s="26">
        <v>90168</v>
      </c>
      <c r="Q530" s="26" t="s">
        <v>55</v>
      </c>
    </row>
    <row r="531" spans="1:17" hidden="1" x14ac:dyDescent="0.3">
      <c r="A531" s="26" t="s">
        <v>2580</v>
      </c>
      <c r="B531" s="26" t="s">
        <v>2581</v>
      </c>
      <c r="C531" s="26" t="s">
        <v>50</v>
      </c>
      <c r="D531" s="26" t="s">
        <v>2567</v>
      </c>
      <c r="E531" s="26" t="s">
        <v>761</v>
      </c>
      <c r="G531" s="26" t="s">
        <v>2496</v>
      </c>
      <c r="H531" s="26" t="s">
        <v>39</v>
      </c>
      <c r="I531" s="26" t="s">
        <v>1190</v>
      </c>
      <c r="J531" s="11" t="str">
        <f>VLOOKUP(K531,'PN Dictionary'!A:B,2,FALSE)</f>
        <v>GB300 L10</v>
      </c>
      <c r="K531" s="26" t="s">
        <v>36</v>
      </c>
      <c r="L531" s="26" t="s">
        <v>2656</v>
      </c>
      <c r="M531" s="44" t="s">
        <v>2582</v>
      </c>
      <c r="N531" s="26" t="s">
        <v>53</v>
      </c>
      <c r="O531" s="26" t="s">
        <v>728</v>
      </c>
      <c r="P531" s="26">
        <v>90066</v>
      </c>
      <c r="Q531" s="26" t="s">
        <v>55</v>
      </c>
    </row>
    <row r="532" spans="1:17" hidden="1" x14ac:dyDescent="0.3">
      <c r="A532" s="26" t="s">
        <v>2583</v>
      </c>
      <c r="B532" s="26" t="s">
        <v>2584</v>
      </c>
      <c r="C532" s="26" t="s">
        <v>50</v>
      </c>
      <c r="D532" s="26" t="s">
        <v>2585</v>
      </c>
      <c r="E532" s="26" t="s">
        <v>761</v>
      </c>
      <c r="G532" s="26" t="s">
        <v>2496</v>
      </c>
      <c r="H532" s="26" t="s">
        <v>39</v>
      </c>
      <c r="I532" s="26" t="s">
        <v>2658</v>
      </c>
      <c r="J532" s="11" t="str">
        <f>VLOOKUP(K532,'PN Dictionary'!A:B,2,FALSE)</f>
        <v>GB300 L10</v>
      </c>
      <c r="K532" s="26" t="s">
        <v>36</v>
      </c>
      <c r="L532" s="26" t="s">
        <v>2657</v>
      </c>
      <c r="M532" s="44" t="s">
        <v>2586</v>
      </c>
      <c r="N532" s="26" t="s">
        <v>53</v>
      </c>
      <c r="O532" s="26" t="s">
        <v>728</v>
      </c>
      <c r="P532" s="26">
        <v>90066</v>
      </c>
      <c r="Q532" s="26" t="s">
        <v>55</v>
      </c>
    </row>
    <row r="533" spans="1:17" hidden="1" x14ac:dyDescent="0.3">
      <c r="A533" s="26" t="s">
        <v>2587</v>
      </c>
      <c r="B533" s="26" t="s">
        <v>2588</v>
      </c>
      <c r="C533" s="26" t="s">
        <v>50</v>
      </c>
      <c r="D533" s="26" t="s">
        <v>2556</v>
      </c>
      <c r="E533" s="26" t="s">
        <v>633</v>
      </c>
      <c r="G533" s="26" t="s">
        <v>2496</v>
      </c>
      <c r="H533" s="26" t="s">
        <v>39</v>
      </c>
      <c r="I533" s="26" t="s">
        <v>1796</v>
      </c>
      <c r="J533" s="11" t="str">
        <f>VLOOKUP(K533,'PN Dictionary'!A:B,2,FALSE)</f>
        <v>GB300 L10</v>
      </c>
      <c r="K533" s="26" t="s">
        <v>36</v>
      </c>
      <c r="L533" s="26" t="s">
        <v>2659</v>
      </c>
      <c r="M533" s="44" t="s">
        <v>2589</v>
      </c>
      <c r="N533" s="26" t="s">
        <v>53</v>
      </c>
      <c r="O533" s="26" t="s">
        <v>728</v>
      </c>
      <c r="P533" s="26">
        <v>3908</v>
      </c>
      <c r="Q533" s="26" t="s">
        <v>55</v>
      </c>
    </row>
    <row r="534" spans="1:17" hidden="1" x14ac:dyDescent="0.3">
      <c r="A534" s="26" t="s">
        <v>2590</v>
      </c>
      <c r="B534" s="26" t="s">
        <v>2591</v>
      </c>
      <c r="C534" s="26" t="s">
        <v>50</v>
      </c>
      <c r="D534" s="26" t="s">
        <v>2592</v>
      </c>
      <c r="E534" s="26" t="s">
        <v>761</v>
      </c>
      <c r="G534" s="26" t="s">
        <v>2496</v>
      </c>
      <c r="H534" s="26" t="s">
        <v>39</v>
      </c>
      <c r="I534" s="26" t="s">
        <v>1190</v>
      </c>
      <c r="J534" s="11" t="str">
        <f>VLOOKUP(K534,'PN Dictionary'!A:B,2,FALSE)</f>
        <v>GB300 L10</v>
      </c>
      <c r="K534" s="26" t="s">
        <v>36</v>
      </c>
      <c r="L534" s="26" t="s">
        <v>2660</v>
      </c>
      <c r="M534" s="44" t="s">
        <v>2593</v>
      </c>
      <c r="N534" s="26" t="s">
        <v>53</v>
      </c>
      <c r="O534" s="26" t="s">
        <v>728</v>
      </c>
      <c r="P534" s="26">
        <v>90066</v>
      </c>
      <c r="Q534" s="26" t="s">
        <v>55</v>
      </c>
    </row>
    <row r="535" spans="1:17" hidden="1" x14ac:dyDescent="0.3">
      <c r="A535" s="26" t="s">
        <v>2594</v>
      </c>
      <c r="B535" s="26" t="s">
        <v>2595</v>
      </c>
      <c r="C535" s="26" t="s">
        <v>50</v>
      </c>
      <c r="D535" s="26" t="s">
        <v>2596</v>
      </c>
      <c r="E535" s="26" t="s">
        <v>2597</v>
      </c>
      <c r="G535" s="26" t="s">
        <v>2496</v>
      </c>
      <c r="H535" s="26" t="s">
        <v>39</v>
      </c>
      <c r="I535" s="26" t="s">
        <v>2598</v>
      </c>
      <c r="J535" s="11" t="str">
        <f>VLOOKUP(K535,'PN Dictionary'!A:B,2,FALSE)</f>
        <v>GB300 L10</v>
      </c>
      <c r="K535" s="26" t="s">
        <v>36</v>
      </c>
      <c r="L535" s="26" t="s">
        <v>2661</v>
      </c>
      <c r="M535" s="44" t="s">
        <v>2599</v>
      </c>
      <c r="N535" s="26" t="s">
        <v>53</v>
      </c>
      <c r="O535" s="26" t="s">
        <v>728</v>
      </c>
      <c r="P535" s="26">
        <v>90168</v>
      </c>
      <c r="Q535" s="26" t="s">
        <v>55</v>
      </c>
    </row>
    <row r="536" spans="1:17" hidden="1" x14ac:dyDescent="0.3">
      <c r="A536" s="26" t="s">
        <v>2600</v>
      </c>
      <c r="B536" s="26" t="s">
        <v>2601</v>
      </c>
      <c r="C536" s="26" t="s">
        <v>50</v>
      </c>
      <c r="D536" s="26" t="s">
        <v>2508</v>
      </c>
      <c r="E536" s="26" t="s">
        <v>128</v>
      </c>
      <c r="G536" s="26" t="s">
        <v>2496</v>
      </c>
      <c r="H536" s="26" t="s">
        <v>39</v>
      </c>
      <c r="I536" s="26" t="s">
        <v>2602</v>
      </c>
      <c r="J536" s="11" t="str">
        <f>VLOOKUP(K536,'PN Dictionary'!A:B,2,FALSE)</f>
        <v>Cable Cartridge</v>
      </c>
      <c r="K536" s="26" t="s">
        <v>6</v>
      </c>
      <c r="L536" s="26">
        <v>2024225881177</v>
      </c>
      <c r="M536" s="44">
        <v>2024225881092</v>
      </c>
      <c r="N536" s="26" t="s">
        <v>53</v>
      </c>
      <c r="O536" s="26" t="s">
        <v>728</v>
      </c>
      <c r="P536" s="26">
        <v>90168</v>
      </c>
      <c r="Q536" s="26" t="s">
        <v>55</v>
      </c>
    </row>
    <row r="537" spans="1:17" hidden="1" x14ac:dyDescent="0.3">
      <c r="A537" s="26" t="s">
        <v>2603</v>
      </c>
      <c r="B537" s="26" t="s">
        <v>2604</v>
      </c>
      <c r="C537" s="26" t="s">
        <v>50</v>
      </c>
      <c r="D537" s="26" t="s">
        <v>2605</v>
      </c>
      <c r="E537" s="26" t="s">
        <v>81</v>
      </c>
      <c r="G537" s="26" t="s">
        <v>2496</v>
      </c>
      <c r="H537" s="26" t="s">
        <v>39</v>
      </c>
      <c r="I537" s="26" t="s">
        <v>2606</v>
      </c>
      <c r="J537" s="11" t="str">
        <f>VLOOKUP(K537,'PN Dictionary'!A:B,2,FALSE)</f>
        <v>GB300 L10</v>
      </c>
      <c r="K537" s="26" t="s">
        <v>36</v>
      </c>
      <c r="L537" s="26" t="s">
        <v>2662</v>
      </c>
      <c r="M537" s="44" t="s">
        <v>2607</v>
      </c>
      <c r="N537" s="26" t="s">
        <v>53</v>
      </c>
      <c r="O537" s="26" t="s">
        <v>728</v>
      </c>
      <c r="P537" s="26">
        <v>3908</v>
      </c>
      <c r="Q537" s="26" t="s">
        <v>55</v>
      </c>
    </row>
    <row r="538" spans="1:17" hidden="1" x14ac:dyDescent="0.3">
      <c r="A538" s="26" t="s">
        <v>2609</v>
      </c>
      <c r="B538" s="26" t="s">
        <v>2610</v>
      </c>
      <c r="C538" s="26" t="s">
        <v>50</v>
      </c>
      <c r="D538" s="26" t="s">
        <v>2611</v>
      </c>
      <c r="E538" s="26" t="s">
        <v>242</v>
      </c>
      <c r="G538" s="26" t="s">
        <v>2608</v>
      </c>
      <c r="H538" s="26" t="s">
        <v>39</v>
      </c>
      <c r="I538" s="26" t="s">
        <v>2612</v>
      </c>
      <c r="J538" s="11" t="str">
        <f>VLOOKUP(K538,'PN Dictionary'!A:B,2,FALSE)</f>
        <v>Delta power shelf right input</v>
      </c>
      <c r="K538" s="26" t="s">
        <v>353</v>
      </c>
      <c r="L538" s="26" t="s">
        <v>2613</v>
      </c>
      <c r="M538" s="44" t="s">
        <v>2614</v>
      </c>
      <c r="N538" s="26" t="s">
        <v>53</v>
      </c>
      <c r="O538" s="26" t="s">
        <v>728</v>
      </c>
      <c r="P538" s="26">
        <v>1519</v>
      </c>
      <c r="Q538" s="26" t="s">
        <v>55</v>
      </c>
    </row>
    <row r="539" spans="1:17" hidden="1" x14ac:dyDescent="0.3">
      <c r="A539" s="26" t="s">
        <v>2615</v>
      </c>
      <c r="B539" s="26" t="s">
        <v>2610</v>
      </c>
      <c r="C539" s="26" t="s">
        <v>50</v>
      </c>
      <c r="D539" s="26" t="s">
        <v>2611</v>
      </c>
      <c r="E539" s="26" t="s">
        <v>242</v>
      </c>
      <c r="G539" s="26" t="s">
        <v>2608</v>
      </c>
      <c r="H539" s="26" t="s">
        <v>39</v>
      </c>
      <c r="I539" s="26" t="s">
        <v>2612</v>
      </c>
      <c r="J539" s="11" t="str">
        <f>VLOOKUP(K539,'PN Dictionary'!A:B,2,FALSE)</f>
        <v>Delta Power Shelf Left Input</v>
      </c>
      <c r="K539" s="26" t="s">
        <v>10</v>
      </c>
      <c r="L539" s="26" t="s">
        <v>2616</v>
      </c>
      <c r="M539" s="44" t="s">
        <v>2617</v>
      </c>
      <c r="N539" s="26" t="s">
        <v>53</v>
      </c>
      <c r="O539" s="26" t="s">
        <v>728</v>
      </c>
      <c r="P539" s="26">
        <v>1519</v>
      </c>
      <c r="Q539" s="26" t="s">
        <v>55</v>
      </c>
    </row>
    <row r="540" spans="1:17" hidden="1" x14ac:dyDescent="0.3">
      <c r="A540" s="26" t="s">
        <v>2618</v>
      </c>
      <c r="B540" s="26" t="s">
        <v>2619</v>
      </c>
      <c r="C540" s="26" t="s">
        <v>50</v>
      </c>
      <c r="D540" s="26" t="s">
        <v>2620</v>
      </c>
      <c r="E540" s="26" t="s">
        <v>128</v>
      </c>
      <c r="G540" s="26" t="s">
        <v>2608</v>
      </c>
      <c r="H540" s="26" t="s">
        <v>39</v>
      </c>
      <c r="I540" s="26" t="s">
        <v>2621</v>
      </c>
      <c r="J540" s="11" t="str">
        <f>VLOOKUP(K540,'PN Dictionary'!A:B,2,FALSE)</f>
        <v>Cable Cartridge</v>
      </c>
      <c r="K540" s="26" t="s">
        <v>6</v>
      </c>
      <c r="L540" s="26">
        <v>1824025185460</v>
      </c>
      <c r="M540" s="44">
        <v>2024325880292</v>
      </c>
      <c r="N540" s="26" t="s">
        <v>53</v>
      </c>
      <c r="O540" s="26" t="s">
        <v>728</v>
      </c>
      <c r="P540" s="26">
        <v>924</v>
      </c>
      <c r="Q540" s="26" t="s">
        <v>55</v>
      </c>
    </row>
    <row r="541" spans="1:17" hidden="1" x14ac:dyDescent="0.3">
      <c r="A541" s="26" t="s">
        <v>2622</v>
      </c>
      <c r="B541" s="26" t="s">
        <v>2623</v>
      </c>
      <c r="C541" s="26" t="s">
        <v>50</v>
      </c>
      <c r="D541" s="26" t="s">
        <v>2477</v>
      </c>
      <c r="E541" s="26" t="s">
        <v>52</v>
      </c>
      <c r="G541" s="26" t="s">
        <v>2608</v>
      </c>
      <c r="H541" s="26" t="s">
        <v>39</v>
      </c>
      <c r="I541" s="26" t="s">
        <v>2624</v>
      </c>
      <c r="J541" s="11" t="str">
        <f>VLOOKUP(K541,'PN Dictionary'!A:B,2,FALSE)</f>
        <v>GB300 L10</v>
      </c>
      <c r="K541" s="26" t="s">
        <v>36</v>
      </c>
      <c r="L541" s="26" t="s">
        <v>2663</v>
      </c>
      <c r="M541" s="44" t="s">
        <v>2625</v>
      </c>
      <c r="N541" s="26" t="s">
        <v>53</v>
      </c>
      <c r="O541" s="26" t="s">
        <v>728</v>
      </c>
      <c r="P541" s="26">
        <v>718</v>
      </c>
      <c r="Q541" s="26" t="s">
        <v>55</v>
      </c>
    </row>
    <row r="542" spans="1:17" hidden="1" x14ac:dyDescent="0.3">
      <c r="A542" s="26" t="s">
        <v>2626</v>
      </c>
      <c r="B542" s="26" t="s">
        <v>2627</v>
      </c>
      <c r="C542" s="26" t="s">
        <v>50</v>
      </c>
      <c r="D542" s="26" t="s">
        <v>2628</v>
      </c>
      <c r="E542" s="26" t="s">
        <v>128</v>
      </c>
      <c r="G542" s="26" t="s">
        <v>2608</v>
      </c>
      <c r="H542" s="26" t="s">
        <v>39</v>
      </c>
      <c r="I542" s="26" t="s">
        <v>2629</v>
      </c>
      <c r="J542" s="11" t="str">
        <f>VLOOKUP(K542,'PN Dictionary'!A:B,2,FALSE)</f>
        <v>Cable Cartridge</v>
      </c>
      <c r="K542" s="26" t="s">
        <v>6</v>
      </c>
      <c r="L542" s="26">
        <v>1823725356348</v>
      </c>
      <c r="M542" s="44">
        <v>2024325880375</v>
      </c>
      <c r="N542" s="26" t="s">
        <v>53</v>
      </c>
      <c r="O542" s="26" t="s">
        <v>728</v>
      </c>
      <c r="P542" s="26">
        <v>924</v>
      </c>
      <c r="Q542" s="26" t="s">
        <v>55</v>
      </c>
    </row>
    <row r="543" spans="1:17" hidden="1" x14ac:dyDescent="0.3">
      <c r="A543" s="26" t="s">
        <v>2630</v>
      </c>
      <c r="B543" s="26" t="s">
        <v>2631</v>
      </c>
      <c r="C543" s="26" t="s">
        <v>50</v>
      </c>
      <c r="D543" s="26" t="s">
        <v>2632</v>
      </c>
      <c r="E543" s="26" t="s">
        <v>52</v>
      </c>
      <c r="G543" s="26" t="s">
        <v>2608</v>
      </c>
      <c r="H543" s="26" t="s">
        <v>39</v>
      </c>
      <c r="I543" s="26" t="s">
        <v>2633</v>
      </c>
      <c r="J543" s="11" t="str">
        <f>VLOOKUP(K543,'PN Dictionary'!A:B,2,FALSE)</f>
        <v>GB300 L10</v>
      </c>
      <c r="K543" s="26" t="s">
        <v>36</v>
      </c>
      <c r="L543" s="26" t="s">
        <v>2664</v>
      </c>
      <c r="M543" s="44" t="s">
        <v>2634</v>
      </c>
      <c r="N543" s="26" t="s">
        <v>53</v>
      </c>
      <c r="O543" s="26" t="s">
        <v>728</v>
      </c>
      <c r="P543" s="26">
        <v>1237</v>
      </c>
      <c r="Q543" s="26" t="s">
        <v>55</v>
      </c>
    </row>
    <row r="544" spans="1:17" hidden="1" x14ac:dyDescent="0.3">
      <c r="A544" s="26" t="s">
        <v>2635</v>
      </c>
      <c r="B544" s="26" t="s">
        <v>2631</v>
      </c>
      <c r="C544" s="26" t="s">
        <v>50</v>
      </c>
      <c r="D544" s="26" t="s">
        <v>2632</v>
      </c>
      <c r="E544" s="26" t="s">
        <v>52</v>
      </c>
      <c r="G544" s="26" t="s">
        <v>2608</v>
      </c>
      <c r="H544" s="26" t="s">
        <v>39</v>
      </c>
      <c r="I544" s="26" t="s">
        <v>1294</v>
      </c>
      <c r="J544" s="11" t="str">
        <f>VLOOKUP(K544,'PN Dictionary'!A:B,2,FALSE)</f>
        <v>GB300 L10</v>
      </c>
      <c r="K544" s="26" t="s">
        <v>36</v>
      </c>
      <c r="L544" s="26" t="s">
        <v>2665</v>
      </c>
      <c r="M544" s="44" t="s">
        <v>2636</v>
      </c>
      <c r="N544" s="26" t="s">
        <v>53</v>
      </c>
      <c r="O544" s="26" t="s">
        <v>728</v>
      </c>
      <c r="P544" s="26">
        <v>1237</v>
      </c>
      <c r="Q544" s="26" t="s">
        <v>55</v>
      </c>
    </row>
    <row r="545" spans="1:17" hidden="1" x14ac:dyDescent="0.3">
      <c r="A545" s="26" t="s">
        <v>2637</v>
      </c>
      <c r="B545" s="26" t="s">
        <v>2631</v>
      </c>
      <c r="C545" s="26" t="s">
        <v>50</v>
      </c>
      <c r="D545" s="26" t="s">
        <v>2632</v>
      </c>
      <c r="E545" s="26" t="s">
        <v>52</v>
      </c>
      <c r="G545" s="26" t="s">
        <v>2608</v>
      </c>
      <c r="H545" s="26" t="s">
        <v>39</v>
      </c>
      <c r="I545" s="26" t="s">
        <v>1294</v>
      </c>
      <c r="J545" s="11" t="str">
        <f>VLOOKUP(K545,'PN Dictionary'!A:B,2,FALSE)</f>
        <v>GB300 L10</v>
      </c>
      <c r="K545" s="26" t="s">
        <v>36</v>
      </c>
      <c r="L545" s="26" t="s">
        <v>2666</v>
      </c>
      <c r="M545" s="44" t="s">
        <v>2638</v>
      </c>
      <c r="N545" s="26" t="s">
        <v>53</v>
      </c>
      <c r="O545" s="26" t="s">
        <v>728</v>
      </c>
      <c r="P545" s="26">
        <v>1237</v>
      </c>
      <c r="Q545" s="26" t="s">
        <v>55</v>
      </c>
    </row>
    <row r="546" spans="1:17" hidden="1" x14ac:dyDescent="0.3">
      <c r="A546" s="26" t="s">
        <v>2639</v>
      </c>
      <c r="B546" s="26" t="s">
        <v>2640</v>
      </c>
      <c r="C546" s="26" t="s">
        <v>50</v>
      </c>
      <c r="D546" s="26" t="s">
        <v>2632</v>
      </c>
      <c r="E546" s="26" t="s">
        <v>52</v>
      </c>
      <c r="G546" s="26" t="s">
        <v>2608</v>
      </c>
      <c r="H546" s="26" t="s">
        <v>39</v>
      </c>
      <c r="I546" s="26" t="s">
        <v>1766</v>
      </c>
      <c r="J546" s="11" t="str">
        <f>VLOOKUP(K546,'PN Dictionary'!A:B,2,FALSE)</f>
        <v>GB300 L10</v>
      </c>
      <c r="K546" s="26" t="s">
        <v>36</v>
      </c>
      <c r="L546" s="26" t="s">
        <v>2667</v>
      </c>
      <c r="M546" s="44" t="s">
        <v>2641</v>
      </c>
      <c r="N546" s="26" t="s">
        <v>53</v>
      </c>
      <c r="O546" s="26" t="s">
        <v>728</v>
      </c>
      <c r="P546" s="26">
        <v>1237</v>
      </c>
      <c r="Q546" s="26" t="s">
        <v>55</v>
      </c>
    </row>
    <row r="547" spans="1:17" hidden="1" x14ac:dyDescent="0.3">
      <c r="A547" s="26" t="s">
        <v>2642</v>
      </c>
      <c r="B547" s="26" t="s">
        <v>2643</v>
      </c>
      <c r="C547" s="26" t="s">
        <v>50</v>
      </c>
      <c r="D547" s="26" t="s">
        <v>2644</v>
      </c>
      <c r="E547" s="26" t="s">
        <v>242</v>
      </c>
      <c r="G547" s="26" t="s">
        <v>2608</v>
      </c>
      <c r="H547" s="26" t="s">
        <v>39</v>
      </c>
      <c r="I547" s="26" t="s">
        <v>2645</v>
      </c>
      <c r="J547" s="11" t="str">
        <f>VLOOKUP(K547,'PN Dictionary'!A:B,2,FALSE)</f>
        <v>Delta Power Shelf Left Input</v>
      </c>
      <c r="K547" s="26" t="s">
        <v>10</v>
      </c>
      <c r="L547" s="26" t="s">
        <v>2646</v>
      </c>
      <c r="M547" s="44" t="s">
        <v>2647</v>
      </c>
      <c r="N547" s="26" t="s">
        <v>53</v>
      </c>
      <c r="O547" s="26" t="s">
        <v>728</v>
      </c>
      <c r="P547" s="26">
        <v>924</v>
      </c>
      <c r="Q547" s="26" t="s">
        <v>55</v>
      </c>
    </row>
    <row r="548" spans="1:17" hidden="1" x14ac:dyDescent="0.3">
      <c r="A548" s="26" t="s">
        <v>2668</v>
      </c>
      <c r="B548" s="26" t="s">
        <v>2669</v>
      </c>
      <c r="C548" s="26" t="s">
        <v>50</v>
      </c>
      <c r="D548" s="26" t="s">
        <v>2670</v>
      </c>
      <c r="E548" s="26" t="s">
        <v>87</v>
      </c>
      <c r="G548" s="26" t="s">
        <v>2608</v>
      </c>
      <c r="H548" s="26" t="s">
        <v>39</v>
      </c>
      <c r="I548" s="26" t="s">
        <v>2671</v>
      </c>
      <c r="J548" s="11" t="str">
        <f>VLOOKUP(K548,'PN Dictionary'!A:B,2,FALSE)</f>
        <v>GB300 L10</v>
      </c>
      <c r="K548" s="26" t="s">
        <v>36</v>
      </c>
      <c r="L548" s="26" t="s">
        <v>2749</v>
      </c>
      <c r="M548" s="44" t="s">
        <v>2672</v>
      </c>
      <c r="N548" s="26" t="s">
        <v>53</v>
      </c>
      <c r="O548" s="26" t="s">
        <v>728</v>
      </c>
      <c r="P548" s="26">
        <v>90168</v>
      </c>
      <c r="Q548" s="26" t="s">
        <v>55</v>
      </c>
    </row>
    <row r="549" spans="1:17" hidden="1" x14ac:dyDescent="0.3">
      <c r="A549" s="26" t="s">
        <v>2673</v>
      </c>
      <c r="B549" s="26" t="s">
        <v>2674</v>
      </c>
      <c r="C549" s="26" t="s">
        <v>50</v>
      </c>
      <c r="D549" s="26" t="s">
        <v>2675</v>
      </c>
      <c r="E549" s="26" t="s">
        <v>633</v>
      </c>
      <c r="G549" s="26" t="s">
        <v>2608</v>
      </c>
      <c r="H549" s="26" t="s">
        <v>39</v>
      </c>
      <c r="I549" s="26" t="s">
        <v>1796</v>
      </c>
      <c r="J549" s="11" t="str">
        <f>VLOOKUP(K549,'PN Dictionary'!A:B,2,FALSE)</f>
        <v>GB300 L10</v>
      </c>
      <c r="K549" s="26" t="s">
        <v>36</v>
      </c>
      <c r="L549" s="26" t="s">
        <v>2750</v>
      </c>
      <c r="M549" s="44" t="s">
        <v>2676</v>
      </c>
      <c r="N549" s="26" t="s">
        <v>53</v>
      </c>
      <c r="O549" s="26" t="s">
        <v>728</v>
      </c>
      <c r="P549" s="26">
        <v>3908</v>
      </c>
      <c r="Q549" s="26" t="s">
        <v>55</v>
      </c>
    </row>
    <row r="550" spans="1:17" hidden="1" x14ac:dyDescent="0.3">
      <c r="A550" s="26" t="s">
        <v>2677</v>
      </c>
      <c r="B550" s="26" t="s">
        <v>2678</v>
      </c>
      <c r="C550" s="26" t="s">
        <v>50</v>
      </c>
      <c r="D550" s="26" t="s">
        <v>2508</v>
      </c>
      <c r="E550" s="26" t="s">
        <v>761</v>
      </c>
      <c r="G550" s="26" t="s">
        <v>2608</v>
      </c>
      <c r="H550" s="26" t="s">
        <v>39</v>
      </c>
      <c r="I550" s="26" t="s">
        <v>2679</v>
      </c>
      <c r="J550" s="11" t="str">
        <f>VLOOKUP(K550,'PN Dictionary'!A:B,2,FALSE)</f>
        <v>GB300 L10</v>
      </c>
      <c r="K550" s="26" t="s">
        <v>36</v>
      </c>
      <c r="L550" s="26" t="s">
        <v>2751</v>
      </c>
      <c r="M550" s="44" t="s">
        <v>2680</v>
      </c>
      <c r="N550" s="26" t="s">
        <v>53</v>
      </c>
      <c r="O550" s="26" t="s">
        <v>728</v>
      </c>
      <c r="P550" s="26">
        <v>90168</v>
      </c>
      <c r="Q550" s="26" t="s">
        <v>55</v>
      </c>
    </row>
    <row r="551" spans="1:17" hidden="1" x14ac:dyDescent="0.3">
      <c r="A551" s="26" t="s">
        <v>2681</v>
      </c>
      <c r="B551" s="26" t="s">
        <v>2682</v>
      </c>
      <c r="C551" s="26" t="s">
        <v>50</v>
      </c>
      <c r="D551" s="26" t="s">
        <v>2683</v>
      </c>
      <c r="E551" s="26" t="s">
        <v>81</v>
      </c>
      <c r="G551" s="26" t="s">
        <v>2608</v>
      </c>
      <c r="H551" s="26" t="s">
        <v>39</v>
      </c>
      <c r="I551" s="26" t="s">
        <v>2684</v>
      </c>
      <c r="J551" s="11" t="str">
        <f>VLOOKUP(K551,'PN Dictionary'!A:B,2,FALSE)</f>
        <v>GB300 L10</v>
      </c>
      <c r="K551" s="26" t="s">
        <v>36</v>
      </c>
      <c r="L551" s="26" t="s">
        <v>2752</v>
      </c>
      <c r="M551" s="44" t="s">
        <v>2686</v>
      </c>
      <c r="N551" s="26" t="s">
        <v>53</v>
      </c>
      <c r="O551" s="26" t="s">
        <v>728</v>
      </c>
      <c r="P551" s="26">
        <v>90168</v>
      </c>
      <c r="Q551" s="26" t="s">
        <v>55</v>
      </c>
    </row>
    <row r="552" spans="1:17" hidden="1" x14ac:dyDescent="0.3">
      <c r="A552" s="26" t="s">
        <v>2687</v>
      </c>
      <c r="B552" s="26" t="s">
        <v>2688</v>
      </c>
      <c r="C552" s="26" t="s">
        <v>50</v>
      </c>
      <c r="D552" s="26" t="s">
        <v>2689</v>
      </c>
      <c r="E552" s="26" t="s">
        <v>307</v>
      </c>
      <c r="G552" s="26" t="s">
        <v>2608</v>
      </c>
      <c r="H552" s="26" t="s">
        <v>39</v>
      </c>
      <c r="I552" s="26" t="s">
        <v>1117</v>
      </c>
      <c r="J552" s="11" t="str">
        <f>VLOOKUP(K552,'PN Dictionary'!A:B,2,FALSE)</f>
        <v>GB300 L10</v>
      </c>
      <c r="K552" s="26" t="s">
        <v>36</v>
      </c>
      <c r="L552" s="26" t="s">
        <v>2753</v>
      </c>
      <c r="M552" s="44" t="s">
        <v>2685</v>
      </c>
      <c r="N552" s="26" t="s">
        <v>53</v>
      </c>
      <c r="O552" s="26" t="s">
        <v>728</v>
      </c>
      <c r="P552" s="26">
        <v>90168</v>
      </c>
      <c r="Q552" s="26" t="s">
        <v>55</v>
      </c>
    </row>
    <row r="553" spans="1:17" hidden="1" x14ac:dyDescent="0.3">
      <c r="A553" s="26" t="s">
        <v>2690</v>
      </c>
      <c r="B553" s="26" t="s">
        <v>2691</v>
      </c>
      <c r="C553" s="26" t="s">
        <v>50</v>
      </c>
      <c r="D553" s="26" t="s">
        <v>2632</v>
      </c>
      <c r="E553" s="26" t="s">
        <v>128</v>
      </c>
      <c r="G553" s="26" t="s">
        <v>2608</v>
      </c>
      <c r="H553" s="26" t="s">
        <v>39</v>
      </c>
      <c r="I553" s="26" t="s">
        <v>2692</v>
      </c>
      <c r="J553" s="11" t="str">
        <f>VLOOKUP(K553,'PN Dictionary'!A:B,2,FALSE)</f>
        <v>Cable Cartridge</v>
      </c>
      <c r="K553" s="26" t="s">
        <v>6</v>
      </c>
      <c r="L553" s="26">
        <v>1824025185249</v>
      </c>
      <c r="M553" s="44">
        <v>2024225880934</v>
      </c>
      <c r="N553" s="26" t="s">
        <v>53</v>
      </c>
      <c r="O553" s="26" t="s">
        <v>728</v>
      </c>
      <c r="P553" s="26">
        <v>90168</v>
      </c>
      <c r="Q553" s="26" t="s">
        <v>55</v>
      </c>
    </row>
    <row r="554" spans="1:17" hidden="1" x14ac:dyDescent="0.3">
      <c r="A554" s="26" t="s">
        <v>2693</v>
      </c>
      <c r="B554" s="26" t="s">
        <v>2694</v>
      </c>
      <c r="C554" s="26" t="s">
        <v>50</v>
      </c>
      <c r="D554" s="26" t="s">
        <v>2695</v>
      </c>
      <c r="E554" s="26" t="s">
        <v>259</v>
      </c>
      <c r="G554" s="26" t="s">
        <v>2608</v>
      </c>
      <c r="H554" s="26" t="s">
        <v>39</v>
      </c>
      <c r="I554" s="26" t="s">
        <v>2575</v>
      </c>
      <c r="J554" s="11" t="str">
        <f>VLOOKUP(K554,'PN Dictionary'!A:B,2,FALSE)</f>
        <v>GB300 L10</v>
      </c>
      <c r="K554" s="26" t="s">
        <v>36</v>
      </c>
      <c r="L554" s="26" t="s">
        <v>2754</v>
      </c>
      <c r="M554" s="44" t="s">
        <v>2696</v>
      </c>
      <c r="N554" s="26" t="s">
        <v>53</v>
      </c>
      <c r="O554" s="26" t="s">
        <v>728</v>
      </c>
      <c r="P554" s="26">
        <v>90168</v>
      </c>
      <c r="Q554" s="26" t="s">
        <v>55</v>
      </c>
    </row>
    <row r="555" spans="1:17" hidden="1" x14ac:dyDescent="0.3">
      <c r="A555" s="26" t="s">
        <v>2697</v>
      </c>
      <c r="B555" s="26" t="s">
        <v>2698</v>
      </c>
      <c r="C555" s="26" t="s">
        <v>50</v>
      </c>
      <c r="D555" s="26" t="s">
        <v>2574</v>
      </c>
      <c r="E555" s="26" t="s">
        <v>2699</v>
      </c>
      <c r="G555" s="26" t="s">
        <v>2608</v>
      </c>
      <c r="H555" s="26" t="s">
        <v>39</v>
      </c>
      <c r="I555" s="26" t="s">
        <v>2700</v>
      </c>
      <c r="J555" s="11" t="str">
        <f>VLOOKUP(K555,'PN Dictionary'!A:B,2,FALSE)</f>
        <v>GB300 L10</v>
      </c>
      <c r="K555" s="26" t="s">
        <v>36</v>
      </c>
      <c r="L555" s="26" t="s">
        <v>2755</v>
      </c>
      <c r="M555" s="44" t="s">
        <v>2701</v>
      </c>
      <c r="N555" s="26" t="s">
        <v>53</v>
      </c>
      <c r="O555" s="26" t="s">
        <v>728</v>
      </c>
      <c r="P555" s="26">
        <v>90168</v>
      </c>
      <c r="Q555" s="26" t="s">
        <v>55</v>
      </c>
    </row>
    <row r="556" spans="1:17" hidden="1" x14ac:dyDescent="0.3">
      <c r="A556" s="26" t="s">
        <v>2702</v>
      </c>
      <c r="B556" s="26" t="s">
        <v>2703</v>
      </c>
      <c r="C556" s="26" t="s">
        <v>50</v>
      </c>
      <c r="D556" s="26" t="s">
        <v>2704</v>
      </c>
      <c r="E556" s="26" t="s">
        <v>270</v>
      </c>
      <c r="G556" s="26" t="s">
        <v>2608</v>
      </c>
      <c r="H556" s="26" t="s">
        <v>39</v>
      </c>
      <c r="I556" s="26" t="s">
        <v>2705</v>
      </c>
      <c r="J556" s="11" t="str">
        <f>VLOOKUP(K556,'PN Dictionary'!A:B,2,FALSE)</f>
        <v>Power Shelf Control Module</v>
      </c>
      <c r="K556" s="26" t="s">
        <v>11</v>
      </c>
      <c r="L556" s="26" t="s">
        <v>2706</v>
      </c>
      <c r="M556" s="44" t="s">
        <v>2707</v>
      </c>
      <c r="N556" s="26" t="s">
        <v>53</v>
      </c>
      <c r="O556" s="26" t="s">
        <v>728</v>
      </c>
      <c r="P556" s="26">
        <v>90066</v>
      </c>
      <c r="Q556" s="26" t="s">
        <v>55</v>
      </c>
    </row>
    <row r="557" spans="1:17" hidden="1" x14ac:dyDescent="0.3">
      <c r="A557" s="26" t="s">
        <v>2708</v>
      </c>
      <c r="B557" s="26" t="s">
        <v>2709</v>
      </c>
      <c r="C557" s="26" t="s">
        <v>50</v>
      </c>
      <c r="D557" s="26" t="s">
        <v>2683</v>
      </c>
      <c r="E557" s="26" t="s">
        <v>81</v>
      </c>
      <c r="G557" s="26" t="s">
        <v>2608</v>
      </c>
      <c r="H557" s="26" t="s">
        <v>39</v>
      </c>
      <c r="I557" s="26" t="s">
        <v>1393</v>
      </c>
      <c r="J557" s="11" t="str">
        <f>VLOOKUP(K557,'PN Dictionary'!A:B,2,FALSE)</f>
        <v>GB300 L10</v>
      </c>
      <c r="K557" s="26" t="s">
        <v>36</v>
      </c>
      <c r="L557" s="26" t="s">
        <v>2756</v>
      </c>
      <c r="M557" s="44" t="s">
        <v>2710</v>
      </c>
      <c r="N557" s="26" t="s">
        <v>53</v>
      </c>
      <c r="O557" s="26" t="s">
        <v>728</v>
      </c>
      <c r="P557" s="26">
        <v>90168</v>
      </c>
      <c r="Q557" s="26" t="s">
        <v>55</v>
      </c>
    </row>
    <row r="558" spans="1:17" hidden="1" x14ac:dyDescent="0.3">
      <c r="A558" s="26" t="s">
        <v>2712</v>
      </c>
      <c r="B558" s="26" t="s">
        <v>2713</v>
      </c>
      <c r="C558" s="26" t="s">
        <v>50</v>
      </c>
      <c r="D558" s="26" t="s">
        <v>2477</v>
      </c>
      <c r="E558" s="26" t="s">
        <v>128</v>
      </c>
      <c r="G558" s="26" t="s">
        <v>2711</v>
      </c>
      <c r="H558" s="26" t="s">
        <v>39</v>
      </c>
      <c r="I558" s="26" t="s">
        <v>2714</v>
      </c>
      <c r="J558" s="11" t="str">
        <f>VLOOKUP(K558,'PN Dictionary'!A:B,2,FALSE)</f>
        <v>Cable Cartridge</v>
      </c>
      <c r="K558" s="26" t="s">
        <v>6</v>
      </c>
      <c r="L558" s="26">
        <v>2023625350319</v>
      </c>
      <c r="M558" s="44">
        <v>2024225880939</v>
      </c>
      <c r="N558" s="26" t="s">
        <v>53</v>
      </c>
      <c r="O558" s="26" t="s">
        <v>728</v>
      </c>
      <c r="P558" s="26">
        <v>640</v>
      </c>
      <c r="Q558" s="26" t="s">
        <v>55</v>
      </c>
    </row>
    <row r="559" spans="1:17" hidden="1" x14ac:dyDescent="0.3">
      <c r="A559" s="26" t="s">
        <v>2715</v>
      </c>
      <c r="B559" s="26" t="s">
        <v>2716</v>
      </c>
      <c r="C559" s="26" t="s">
        <v>50</v>
      </c>
      <c r="D559" s="26" t="s">
        <v>2717</v>
      </c>
      <c r="E559" s="26" t="s">
        <v>52</v>
      </c>
      <c r="G559" s="26" t="s">
        <v>2711</v>
      </c>
      <c r="H559" s="26" t="s">
        <v>39</v>
      </c>
      <c r="I559" s="26" t="s">
        <v>1294</v>
      </c>
      <c r="J559" s="11" t="str">
        <f>VLOOKUP(K559,'PN Dictionary'!A:B,2,FALSE)</f>
        <v>GB300 L10</v>
      </c>
      <c r="K559" s="26" t="s">
        <v>36</v>
      </c>
      <c r="L559" s="26" t="s">
        <v>2757</v>
      </c>
      <c r="M559" s="44" t="s">
        <v>2718</v>
      </c>
      <c r="N559" s="26" t="s">
        <v>53</v>
      </c>
      <c r="O559" s="26" t="s">
        <v>728</v>
      </c>
      <c r="P559" s="26">
        <v>718</v>
      </c>
      <c r="Q559" s="26" t="s">
        <v>55</v>
      </c>
    </row>
    <row r="560" spans="1:17" hidden="1" x14ac:dyDescent="0.3">
      <c r="A560" s="26" t="s">
        <v>2719</v>
      </c>
      <c r="B560" s="26" t="s">
        <v>2720</v>
      </c>
      <c r="C560" s="26" t="s">
        <v>50</v>
      </c>
      <c r="D560" s="26" t="s">
        <v>2522</v>
      </c>
      <c r="E560" s="26" t="s">
        <v>128</v>
      </c>
      <c r="G560" s="26" t="s">
        <v>2711</v>
      </c>
      <c r="H560" s="26" t="s">
        <v>39</v>
      </c>
      <c r="I560" s="26" t="s">
        <v>2721</v>
      </c>
      <c r="J560" s="11" t="str">
        <f>VLOOKUP(K560,'PN Dictionary'!A:B,2,FALSE)</f>
        <v>Cable Cartridge</v>
      </c>
      <c r="K560" s="26" t="s">
        <v>6</v>
      </c>
      <c r="L560" s="26">
        <v>2024225880808</v>
      </c>
      <c r="M560" s="44">
        <v>2024225880940</v>
      </c>
      <c r="N560" s="26" t="s">
        <v>53</v>
      </c>
      <c r="O560" s="26" t="s">
        <v>728</v>
      </c>
      <c r="P560" s="26">
        <v>1237</v>
      </c>
      <c r="Q560" s="26" t="s">
        <v>55</v>
      </c>
    </row>
    <row r="561" spans="1:17" hidden="1" x14ac:dyDescent="0.3">
      <c r="A561" s="26" t="s">
        <v>2722</v>
      </c>
      <c r="B561" s="26" t="s">
        <v>2723</v>
      </c>
      <c r="C561" s="26" t="s">
        <v>50</v>
      </c>
      <c r="D561" s="26" t="s">
        <v>2683</v>
      </c>
      <c r="E561" s="26" t="s">
        <v>52</v>
      </c>
      <c r="G561" s="26" t="s">
        <v>2711</v>
      </c>
      <c r="H561" s="26" t="s">
        <v>39</v>
      </c>
      <c r="I561" s="26" t="s">
        <v>2724</v>
      </c>
      <c r="J561" s="11" t="str">
        <f>VLOOKUP(K561,'PN Dictionary'!A:B,2,FALSE)</f>
        <v>GB300 L10</v>
      </c>
      <c r="K561" s="26" t="s">
        <v>36</v>
      </c>
      <c r="L561" s="26" t="s">
        <v>2758</v>
      </c>
      <c r="M561" s="44" t="s">
        <v>2725</v>
      </c>
      <c r="N561" s="26" t="s">
        <v>53</v>
      </c>
      <c r="O561" s="26" t="s">
        <v>728</v>
      </c>
      <c r="P561" s="26">
        <v>718</v>
      </c>
      <c r="Q561" s="26" t="s">
        <v>55</v>
      </c>
    </row>
    <row r="562" spans="1:17" hidden="1" x14ac:dyDescent="0.3">
      <c r="A562" s="26" t="s">
        <v>2726</v>
      </c>
      <c r="B562" s="26" t="s">
        <v>2727</v>
      </c>
      <c r="C562" s="26" t="s">
        <v>50</v>
      </c>
      <c r="D562" s="26" t="s">
        <v>2728</v>
      </c>
      <c r="E562" s="26" t="s">
        <v>52</v>
      </c>
      <c r="G562" s="26" t="s">
        <v>2711</v>
      </c>
      <c r="H562" s="26" t="s">
        <v>39</v>
      </c>
      <c r="I562" s="26" t="s">
        <v>2729</v>
      </c>
      <c r="J562" s="11" t="str">
        <f>VLOOKUP(K562,'PN Dictionary'!A:B,2,FALSE)</f>
        <v>GB300 L10</v>
      </c>
      <c r="K562" s="26" t="s">
        <v>36</v>
      </c>
      <c r="L562" s="26" t="s">
        <v>2759</v>
      </c>
      <c r="M562" s="44" t="s">
        <v>2731</v>
      </c>
      <c r="N562" s="26" t="s">
        <v>53</v>
      </c>
      <c r="O562" s="26" t="s">
        <v>728</v>
      </c>
      <c r="P562" s="26">
        <v>1237</v>
      </c>
      <c r="Q562" s="26" t="s">
        <v>55</v>
      </c>
    </row>
    <row r="563" spans="1:17" hidden="1" x14ac:dyDescent="0.3">
      <c r="A563" s="26" t="s">
        <v>2732</v>
      </c>
      <c r="B563" s="26" t="s">
        <v>2733</v>
      </c>
      <c r="C563" s="26" t="s">
        <v>50</v>
      </c>
      <c r="D563" s="26" t="s">
        <v>2734</v>
      </c>
      <c r="E563" s="26" t="s">
        <v>52</v>
      </c>
      <c r="G563" s="26" t="s">
        <v>2711</v>
      </c>
      <c r="H563" s="26" t="s">
        <v>39</v>
      </c>
      <c r="I563" s="26" t="s">
        <v>2729</v>
      </c>
      <c r="J563" s="11" t="str">
        <f>VLOOKUP(K563,'PN Dictionary'!A:B,2,FALSE)</f>
        <v>GB300 L10</v>
      </c>
      <c r="K563" s="26" t="s">
        <v>36</v>
      </c>
      <c r="L563" s="26" t="s">
        <v>2760</v>
      </c>
      <c r="M563" s="44" t="s">
        <v>2735</v>
      </c>
      <c r="N563" s="26" t="s">
        <v>53</v>
      </c>
      <c r="O563" s="26" t="s">
        <v>728</v>
      </c>
      <c r="P563" s="26">
        <v>1237</v>
      </c>
      <c r="Q563" s="26" t="s">
        <v>55</v>
      </c>
    </row>
    <row r="564" spans="1:17" hidden="1" x14ac:dyDescent="0.3">
      <c r="A564" s="26" t="s">
        <v>2736</v>
      </c>
      <c r="B564" s="26" t="s">
        <v>2737</v>
      </c>
      <c r="C564" s="26" t="s">
        <v>50</v>
      </c>
      <c r="D564" s="26" t="s">
        <v>2632</v>
      </c>
      <c r="E564" s="26" t="s">
        <v>52</v>
      </c>
      <c r="G564" s="26" t="s">
        <v>2711</v>
      </c>
      <c r="H564" s="26" t="s">
        <v>39</v>
      </c>
      <c r="I564" s="26" t="s">
        <v>2729</v>
      </c>
      <c r="J564" s="11" t="str">
        <f>VLOOKUP(K564,'PN Dictionary'!A:B,2,FALSE)</f>
        <v>GB300 L10</v>
      </c>
      <c r="K564" s="26" t="s">
        <v>36</v>
      </c>
      <c r="L564" s="26" t="s">
        <v>2761</v>
      </c>
      <c r="M564" s="44" t="s">
        <v>2739</v>
      </c>
      <c r="N564" s="26" t="s">
        <v>53</v>
      </c>
      <c r="O564" s="26" t="s">
        <v>728</v>
      </c>
      <c r="P564" s="26">
        <v>1237</v>
      </c>
      <c r="Q564" s="26" t="s">
        <v>55</v>
      </c>
    </row>
    <row r="565" spans="1:17" hidden="1" x14ac:dyDescent="0.3">
      <c r="A565" s="26" t="s">
        <v>2740</v>
      </c>
      <c r="B565" s="26" t="s">
        <v>2741</v>
      </c>
      <c r="C565" s="26" t="s">
        <v>50</v>
      </c>
      <c r="D565" s="26" t="s">
        <v>2689</v>
      </c>
      <c r="E565" s="26" t="s">
        <v>52</v>
      </c>
      <c r="G565" s="26" t="s">
        <v>2711</v>
      </c>
      <c r="H565" s="26" t="s">
        <v>39</v>
      </c>
      <c r="I565" s="26" t="s">
        <v>2742</v>
      </c>
      <c r="J565" s="11" t="str">
        <f>VLOOKUP(K565,'PN Dictionary'!A:B,2,FALSE)</f>
        <v>GB300 L10</v>
      </c>
      <c r="K565" s="26" t="s">
        <v>36</v>
      </c>
      <c r="L565" s="26" t="s">
        <v>2762</v>
      </c>
      <c r="M565" s="44" t="s">
        <v>2743</v>
      </c>
      <c r="N565" s="26" t="s">
        <v>53</v>
      </c>
      <c r="O565" s="26" t="s">
        <v>728</v>
      </c>
      <c r="P565" s="26">
        <v>640</v>
      </c>
      <c r="Q565" s="26" t="s">
        <v>55</v>
      </c>
    </row>
    <row r="566" spans="1:17" hidden="1" x14ac:dyDescent="0.3">
      <c r="A566" s="26" t="s">
        <v>2744</v>
      </c>
      <c r="B566" s="26" t="s">
        <v>2745</v>
      </c>
      <c r="C566" s="26" t="s">
        <v>50</v>
      </c>
      <c r="D566" s="26" t="s">
        <v>2574</v>
      </c>
      <c r="E566" s="26" t="s">
        <v>52</v>
      </c>
      <c r="G566" s="26" t="s">
        <v>2711</v>
      </c>
      <c r="H566" s="26" t="s">
        <v>39</v>
      </c>
      <c r="I566" s="26" t="s">
        <v>2746</v>
      </c>
      <c r="J566" s="11" t="str">
        <f>VLOOKUP(K566,'PN Dictionary'!A:B,2,FALSE)</f>
        <v>GB300 L10</v>
      </c>
      <c r="K566" s="26" t="s">
        <v>36</v>
      </c>
      <c r="L566" s="26" t="s">
        <v>2763</v>
      </c>
      <c r="M566" s="44" t="s">
        <v>2738</v>
      </c>
      <c r="N566" s="26" t="s">
        <v>53</v>
      </c>
      <c r="O566" s="26" t="s">
        <v>728</v>
      </c>
      <c r="P566" s="26">
        <v>718</v>
      </c>
      <c r="Q566" s="26" t="s">
        <v>55</v>
      </c>
    </row>
    <row r="567" spans="1:17" hidden="1" x14ac:dyDescent="0.3">
      <c r="A567" s="26" t="s">
        <v>2747</v>
      </c>
      <c r="B567" s="26" t="s">
        <v>2745</v>
      </c>
      <c r="C567" s="26" t="s">
        <v>50</v>
      </c>
      <c r="D567" s="26" t="s">
        <v>2574</v>
      </c>
      <c r="E567" s="26" t="s">
        <v>52</v>
      </c>
      <c r="G567" s="26" t="s">
        <v>2711</v>
      </c>
      <c r="H567" s="26" t="s">
        <v>39</v>
      </c>
      <c r="I567" s="26" t="s">
        <v>2748</v>
      </c>
      <c r="J567" s="11" t="str">
        <f>VLOOKUP(K567,'PN Dictionary'!A:B,2,FALSE)</f>
        <v>GB300 L10</v>
      </c>
      <c r="K567" s="26" t="s">
        <v>36</v>
      </c>
      <c r="L567" s="26" t="s">
        <v>2764</v>
      </c>
      <c r="M567" s="44" t="s">
        <v>2730</v>
      </c>
      <c r="N567" s="26" t="s">
        <v>53</v>
      </c>
      <c r="O567" s="26" t="s">
        <v>728</v>
      </c>
      <c r="P567" s="26">
        <v>718</v>
      </c>
      <c r="Q567" s="26" t="s">
        <v>55</v>
      </c>
    </row>
    <row r="568" spans="1:17" hidden="1" x14ac:dyDescent="0.3">
      <c r="A568" s="26" t="s">
        <v>2765</v>
      </c>
      <c r="B568" s="26" t="s">
        <v>2766</v>
      </c>
      <c r="C568" s="26" t="s">
        <v>50</v>
      </c>
      <c r="D568" s="26" t="s">
        <v>2567</v>
      </c>
      <c r="E568" s="26" t="s">
        <v>128</v>
      </c>
      <c r="G568" s="26" t="s">
        <v>2711</v>
      </c>
      <c r="H568" s="26" t="s">
        <v>39</v>
      </c>
      <c r="I568" s="26" t="s">
        <v>2767</v>
      </c>
      <c r="J568" s="11" t="str">
        <f>VLOOKUP(K568,'PN Dictionary'!A:B,2,FALSE)</f>
        <v>Cable Cartridge</v>
      </c>
      <c r="K568" s="26" t="s">
        <v>6</v>
      </c>
      <c r="L568" s="26">
        <v>1824025184454</v>
      </c>
      <c r="M568" s="44">
        <v>2024325880274</v>
      </c>
      <c r="N568" s="26" t="s">
        <v>53</v>
      </c>
      <c r="O568" s="26" t="s">
        <v>728</v>
      </c>
      <c r="P568" s="26">
        <v>90066</v>
      </c>
      <c r="Q568" s="26" t="s">
        <v>55</v>
      </c>
    </row>
    <row r="569" spans="1:17" hidden="1" x14ac:dyDescent="0.3">
      <c r="A569" s="26" t="s">
        <v>2768</v>
      </c>
      <c r="B569" s="26" t="s">
        <v>2769</v>
      </c>
      <c r="C569" s="26" t="s">
        <v>50</v>
      </c>
      <c r="D569" s="26" t="s">
        <v>2770</v>
      </c>
      <c r="E569" s="26" t="s">
        <v>128</v>
      </c>
      <c r="G569" s="26" t="s">
        <v>2711</v>
      </c>
      <c r="H569" s="26" t="s">
        <v>39</v>
      </c>
      <c r="I569" s="26" t="s">
        <v>2010</v>
      </c>
      <c r="J569" s="11" t="str">
        <f>VLOOKUP(K569,'PN Dictionary'!A:B,2,FALSE)</f>
        <v>Cable Cartridge</v>
      </c>
      <c r="K569" s="26" t="s">
        <v>6</v>
      </c>
      <c r="L569" s="26">
        <v>1824025185419</v>
      </c>
      <c r="M569" s="44">
        <v>2024325880517</v>
      </c>
      <c r="N569" s="26" t="s">
        <v>53</v>
      </c>
      <c r="O569" s="26" t="s">
        <v>728</v>
      </c>
      <c r="P569" s="26">
        <v>90066</v>
      </c>
      <c r="Q569" s="26" t="s">
        <v>55</v>
      </c>
    </row>
    <row r="570" spans="1:17" hidden="1" x14ac:dyDescent="0.3">
      <c r="A570" s="26" t="s">
        <v>2771</v>
      </c>
      <c r="B570" s="26" t="s">
        <v>2772</v>
      </c>
      <c r="C570" s="26" t="s">
        <v>50</v>
      </c>
      <c r="D570" s="26" t="s">
        <v>2773</v>
      </c>
      <c r="E570" s="26" t="s">
        <v>128</v>
      </c>
      <c r="G570" s="26" t="s">
        <v>2711</v>
      </c>
      <c r="H570" s="26" t="s">
        <v>39</v>
      </c>
      <c r="I570" s="26" t="s">
        <v>2774</v>
      </c>
      <c r="J570" s="11" t="str">
        <f>VLOOKUP(K570,'PN Dictionary'!A:B,2,FALSE)</f>
        <v>Cable Cartridge</v>
      </c>
      <c r="K570" s="26" t="s">
        <v>6</v>
      </c>
      <c r="L570" s="26">
        <v>2024025350408</v>
      </c>
      <c r="M570" s="44">
        <v>2024325880263</v>
      </c>
      <c r="N570" s="26" t="s">
        <v>53</v>
      </c>
      <c r="O570" s="26" t="s">
        <v>728</v>
      </c>
      <c r="P570" s="26">
        <v>90066</v>
      </c>
      <c r="Q570" s="26" t="s">
        <v>55</v>
      </c>
    </row>
    <row r="571" spans="1:17" hidden="1" x14ac:dyDescent="0.3">
      <c r="A571" s="26" t="s">
        <v>2775</v>
      </c>
      <c r="B571" s="26" t="s">
        <v>2776</v>
      </c>
      <c r="C571" s="26" t="s">
        <v>50</v>
      </c>
      <c r="D571" s="26" t="s">
        <v>2777</v>
      </c>
      <c r="E571" s="26" t="s">
        <v>761</v>
      </c>
      <c r="G571" s="26" t="s">
        <v>2711</v>
      </c>
      <c r="H571" s="26" t="s">
        <v>39</v>
      </c>
      <c r="I571" s="26" t="s">
        <v>1190</v>
      </c>
      <c r="J571" s="11" t="str">
        <f>VLOOKUP(K571,'PN Dictionary'!A:B,2,FALSE)</f>
        <v>GB300 L10</v>
      </c>
      <c r="K571" s="26" t="s">
        <v>36</v>
      </c>
      <c r="L571" s="26" t="s">
        <v>2866</v>
      </c>
      <c r="M571" s="44" t="s">
        <v>2778</v>
      </c>
      <c r="N571" s="26" t="s">
        <v>53</v>
      </c>
      <c r="O571" s="26" t="s">
        <v>728</v>
      </c>
      <c r="P571" s="26">
        <v>90066</v>
      </c>
      <c r="Q571" s="26" t="s">
        <v>55</v>
      </c>
    </row>
    <row r="572" spans="1:17" hidden="1" x14ac:dyDescent="0.3">
      <c r="A572" s="26" t="s">
        <v>2779</v>
      </c>
      <c r="B572" s="26" t="s">
        <v>2780</v>
      </c>
      <c r="C572" s="26" t="s">
        <v>50</v>
      </c>
      <c r="D572" s="26" t="s">
        <v>2777</v>
      </c>
      <c r="E572" s="26" t="s">
        <v>761</v>
      </c>
      <c r="G572" s="26" t="s">
        <v>2711</v>
      </c>
      <c r="H572" s="26" t="s">
        <v>39</v>
      </c>
      <c r="I572" s="26" t="s">
        <v>1190</v>
      </c>
      <c r="J572" s="11" t="str">
        <f>VLOOKUP(K572,'PN Dictionary'!A:B,2,FALSE)</f>
        <v>GB300 L10</v>
      </c>
      <c r="K572" s="26" t="s">
        <v>36</v>
      </c>
      <c r="L572" s="26" t="s">
        <v>2867</v>
      </c>
      <c r="M572" s="44" t="s">
        <v>2781</v>
      </c>
      <c r="N572" s="26" t="s">
        <v>53</v>
      </c>
      <c r="O572" s="26" t="s">
        <v>728</v>
      </c>
      <c r="P572" s="26">
        <v>90066</v>
      </c>
      <c r="Q572" s="26" t="s">
        <v>55</v>
      </c>
    </row>
    <row r="573" spans="1:17" hidden="1" x14ac:dyDescent="0.3">
      <c r="A573" s="26" t="s">
        <v>2782</v>
      </c>
      <c r="B573" s="26" t="s">
        <v>2783</v>
      </c>
      <c r="C573" s="26" t="s">
        <v>50</v>
      </c>
      <c r="D573" s="26" t="s">
        <v>2574</v>
      </c>
      <c r="E573" s="26" t="s">
        <v>322</v>
      </c>
      <c r="G573" s="26" t="s">
        <v>2711</v>
      </c>
      <c r="H573" s="26" t="s">
        <v>39</v>
      </c>
      <c r="I573" s="26" t="s">
        <v>2784</v>
      </c>
      <c r="J573" s="11" t="str">
        <f>VLOOKUP(K573,'PN Dictionary'!A:B,2,FALSE)</f>
        <v>GB300 L10</v>
      </c>
      <c r="K573" s="26" t="s">
        <v>36</v>
      </c>
      <c r="L573" s="26" t="s">
        <v>2868</v>
      </c>
      <c r="M573" s="44" t="s">
        <v>2785</v>
      </c>
      <c r="N573" s="26" t="s">
        <v>53</v>
      </c>
      <c r="O573" s="26" t="s">
        <v>728</v>
      </c>
      <c r="P573" s="26">
        <v>90131</v>
      </c>
      <c r="Q573" s="26" t="s">
        <v>55</v>
      </c>
    </row>
    <row r="574" spans="1:17" hidden="1" x14ac:dyDescent="0.3">
      <c r="A574" s="26" t="s">
        <v>2786</v>
      </c>
      <c r="B574" s="26" t="s">
        <v>2787</v>
      </c>
      <c r="C574" s="26" t="s">
        <v>50</v>
      </c>
      <c r="D574" s="26" t="s">
        <v>2788</v>
      </c>
      <c r="E574" s="26" t="s">
        <v>87</v>
      </c>
      <c r="G574" s="26" t="s">
        <v>2711</v>
      </c>
      <c r="H574" s="26" t="s">
        <v>39</v>
      </c>
      <c r="I574" s="26" t="s">
        <v>2353</v>
      </c>
      <c r="J574" s="11" t="str">
        <f>VLOOKUP(K574,'PN Dictionary'!A:B,2,FALSE)</f>
        <v>GB300 L10</v>
      </c>
      <c r="K574" s="26" t="s">
        <v>36</v>
      </c>
      <c r="L574" s="26" t="s">
        <v>2869</v>
      </c>
      <c r="M574" s="44" t="s">
        <v>2789</v>
      </c>
      <c r="N574" s="26" t="s">
        <v>53</v>
      </c>
      <c r="O574" s="26" t="s">
        <v>728</v>
      </c>
      <c r="P574" s="26">
        <v>90131</v>
      </c>
      <c r="Q574" s="26" t="s">
        <v>55</v>
      </c>
    </row>
    <row r="575" spans="1:17" hidden="1" x14ac:dyDescent="0.3">
      <c r="A575" s="26" t="s">
        <v>2790</v>
      </c>
      <c r="B575" s="26" t="s">
        <v>2791</v>
      </c>
      <c r="C575" s="26" t="s">
        <v>50</v>
      </c>
      <c r="D575" s="26" t="s">
        <v>2788</v>
      </c>
      <c r="E575" s="26" t="s">
        <v>87</v>
      </c>
      <c r="G575" s="26" t="s">
        <v>2711</v>
      </c>
      <c r="H575" s="26" t="s">
        <v>39</v>
      </c>
      <c r="I575" s="26" t="s">
        <v>2353</v>
      </c>
      <c r="J575" s="11" t="str">
        <f>VLOOKUP(K575,'PN Dictionary'!A:B,2,FALSE)</f>
        <v>GB300 L10</v>
      </c>
      <c r="K575" s="26" t="s">
        <v>36</v>
      </c>
      <c r="L575" s="26" t="s">
        <v>2870</v>
      </c>
      <c r="M575" s="44" t="s">
        <v>2792</v>
      </c>
      <c r="N575" s="26" t="s">
        <v>53</v>
      </c>
      <c r="O575" s="26" t="s">
        <v>728</v>
      </c>
      <c r="P575" s="26">
        <v>90131</v>
      </c>
      <c r="Q575" s="26" t="s">
        <v>55</v>
      </c>
    </row>
    <row r="576" spans="1:17" hidden="1" x14ac:dyDescent="0.3">
      <c r="A576" s="26" t="s">
        <v>2793</v>
      </c>
      <c r="B576" s="26" t="s">
        <v>2794</v>
      </c>
      <c r="C576" s="26" t="s">
        <v>50</v>
      </c>
      <c r="D576" s="26" t="s">
        <v>2795</v>
      </c>
      <c r="E576" s="26" t="s">
        <v>761</v>
      </c>
      <c r="G576" s="26" t="s">
        <v>2711</v>
      </c>
      <c r="H576" s="26" t="s">
        <v>39</v>
      </c>
      <c r="I576" s="26" t="s">
        <v>2796</v>
      </c>
      <c r="J576" s="11" t="str">
        <f>VLOOKUP(K576,'PN Dictionary'!A:B,2,FALSE)</f>
        <v>GB300 L10</v>
      </c>
      <c r="K576" s="26" t="s">
        <v>36</v>
      </c>
      <c r="L576" s="26" t="s">
        <v>2871</v>
      </c>
      <c r="M576" s="44" t="s">
        <v>2797</v>
      </c>
      <c r="N576" s="26" t="s">
        <v>53</v>
      </c>
      <c r="O576" s="26" t="s">
        <v>728</v>
      </c>
      <c r="P576" s="26">
        <v>90066</v>
      </c>
      <c r="Q576" s="26" t="s">
        <v>55</v>
      </c>
    </row>
    <row r="577" spans="1:17" hidden="1" x14ac:dyDescent="0.3">
      <c r="A577" s="26" t="s">
        <v>2798</v>
      </c>
      <c r="B577" s="26" t="s">
        <v>2799</v>
      </c>
      <c r="C577" s="26" t="s">
        <v>50</v>
      </c>
      <c r="D577" s="26" t="s">
        <v>2800</v>
      </c>
      <c r="E577" s="26" t="s">
        <v>128</v>
      </c>
      <c r="G577" s="26" t="s">
        <v>2711</v>
      </c>
      <c r="H577" s="26" t="s">
        <v>39</v>
      </c>
      <c r="I577" s="26" t="s">
        <v>2801</v>
      </c>
      <c r="J577" s="11" t="str">
        <f>VLOOKUP(K577,'PN Dictionary'!A:B,2,FALSE)</f>
        <v>Cable Cartridge</v>
      </c>
      <c r="K577" s="26" t="s">
        <v>6</v>
      </c>
      <c r="L577" s="26">
        <v>2024025350069</v>
      </c>
      <c r="M577" s="44">
        <v>2024225880932</v>
      </c>
      <c r="N577" s="26" t="s">
        <v>53</v>
      </c>
      <c r="O577" s="26" t="s">
        <v>728</v>
      </c>
      <c r="P577" s="26">
        <v>90168</v>
      </c>
      <c r="Q577" s="26" t="s">
        <v>55</v>
      </c>
    </row>
    <row r="578" spans="1:17" hidden="1" x14ac:dyDescent="0.3">
      <c r="A578" s="26" t="s">
        <v>2802</v>
      </c>
      <c r="B578" s="26" t="s">
        <v>2803</v>
      </c>
      <c r="C578" s="26" t="s">
        <v>50</v>
      </c>
      <c r="D578" s="26" t="s">
        <v>2574</v>
      </c>
      <c r="E578" s="26" t="s">
        <v>259</v>
      </c>
      <c r="G578" s="26" t="s">
        <v>2711</v>
      </c>
      <c r="H578" s="26" t="s">
        <v>39</v>
      </c>
      <c r="I578" s="26" t="s">
        <v>2443</v>
      </c>
      <c r="J578" s="11" t="str">
        <f>VLOOKUP(K578,'PN Dictionary'!A:B,2,FALSE)</f>
        <v>GB300 L10</v>
      </c>
      <c r="K578" s="26" t="s">
        <v>36</v>
      </c>
      <c r="L578" s="26" t="s">
        <v>2872</v>
      </c>
      <c r="M578" s="44" t="s">
        <v>2804</v>
      </c>
      <c r="N578" s="26" t="s">
        <v>53</v>
      </c>
      <c r="O578" s="26" t="s">
        <v>728</v>
      </c>
      <c r="P578" s="26">
        <v>90131</v>
      </c>
      <c r="Q578" s="26" t="s">
        <v>55</v>
      </c>
    </row>
    <row r="579" spans="1:17" hidden="1" x14ac:dyDescent="0.3">
      <c r="A579" s="26" t="s">
        <v>2805</v>
      </c>
      <c r="B579" s="26" t="s">
        <v>2806</v>
      </c>
      <c r="C579" s="26" t="s">
        <v>50</v>
      </c>
      <c r="D579" s="26" t="s">
        <v>2777</v>
      </c>
      <c r="E579" s="26" t="s">
        <v>761</v>
      </c>
      <c r="G579" s="26" t="s">
        <v>2807</v>
      </c>
      <c r="H579" s="26" t="s">
        <v>39</v>
      </c>
      <c r="I579" s="26" t="s">
        <v>1190</v>
      </c>
      <c r="J579" s="11" t="str">
        <f>VLOOKUP(K579,'PN Dictionary'!A:B,2,FALSE)</f>
        <v>GB300 L10</v>
      </c>
      <c r="K579" s="26" t="s">
        <v>36</v>
      </c>
      <c r="L579" s="26" t="s">
        <v>2873</v>
      </c>
      <c r="M579" s="44" t="s">
        <v>2808</v>
      </c>
      <c r="N579" s="26" t="s">
        <v>53</v>
      </c>
      <c r="O579" s="26" t="s">
        <v>728</v>
      </c>
      <c r="P579" s="26">
        <v>90066</v>
      </c>
      <c r="Q579" s="26" t="s">
        <v>55</v>
      </c>
    </row>
    <row r="580" spans="1:17" hidden="1" x14ac:dyDescent="0.3">
      <c r="A580" s="26" t="s">
        <v>2809</v>
      </c>
      <c r="B580" s="26" t="s">
        <v>2810</v>
      </c>
      <c r="C580" s="26" t="s">
        <v>50</v>
      </c>
      <c r="D580" s="26" t="s">
        <v>2770</v>
      </c>
      <c r="E580" s="26" t="s">
        <v>761</v>
      </c>
      <c r="G580" s="26" t="s">
        <v>2807</v>
      </c>
      <c r="H580" s="26" t="s">
        <v>39</v>
      </c>
      <c r="I580" s="26" t="s">
        <v>1190</v>
      </c>
      <c r="J580" s="11" t="str">
        <f>VLOOKUP(K580,'PN Dictionary'!A:B,2,FALSE)</f>
        <v>GB300 L10</v>
      </c>
      <c r="K580" s="26" t="s">
        <v>36</v>
      </c>
      <c r="L580" s="26" t="s">
        <v>2874</v>
      </c>
      <c r="M580" s="44" t="s">
        <v>2811</v>
      </c>
      <c r="N580" s="26" t="s">
        <v>53</v>
      </c>
      <c r="O580" s="26" t="s">
        <v>728</v>
      </c>
      <c r="P580" s="26">
        <v>90066</v>
      </c>
      <c r="Q580" s="26" t="s">
        <v>55</v>
      </c>
    </row>
    <row r="581" spans="1:17" hidden="1" x14ac:dyDescent="0.3">
      <c r="A581" s="26" t="s">
        <v>2812</v>
      </c>
      <c r="B581" s="26" t="s">
        <v>2813</v>
      </c>
      <c r="C581" s="26" t="s">
        <v>50</v>
      </c>
      <c r="D581" s="26" t="s">
        <v>2567</v>
      </c>
      <c r="E581" s="26" t="s">
        <v>761</v>
      </c>
      <c r="G581" s="26" t="s">
        <v>2807</v>
      </c>
      <c r="H581" s="26" t="s">
        <v>39</v>
      </c>
      <c r="I581" s="26" t="s">
        <v>1190</v>
      </c>
      <c r="J581" s="11" t="str">
        <f>VLOOKUP(K581,'PN Dictionary'!A:B,2,FALSE)</f>
        <v>GB300 L10</v>
      </c>
      <c r="K581" s="26" t="s">
        <v>36</v>
      </c>
      <c r="L581" s="26" t="s">
        <v>2875</v>
      </c>
      <c r="M581" s="44" t="s">
        <v>1622</v>
      </c>
      <c r="N581" s="26" t="s">
        <v>53</v>
      </c>
      <c r="O581" s="26" t="s">
        <v>728</v>
      </c>
      <c r="P581" s="26">
        <v>90066</v>
      </c>
      <c r="Q581" s="26" t="s">
        <v>55</v>
      </c>
    </row>
    <row r="582" spans="1:17" hidden="1" x14ac:dyDescent="0.3">
      <c r="A582" s="26" t="s">
        <v>2814</v>
      </c>
      <c r="B582" s="26" t="s">
        <v>2815</v>
      </c>
      <c r="C582" s="26" t="s">
        <v>50</v>
      </c>
      <c r="D582" s="26" t="s">
        <v>2770</v>
      </c>
      <c r="E582" s="26" t="s">
        <v>411</v>
      </c>
      <c r="G582" s="26" t="s">
        <v>2807</v>
      </c>
      <c r="H582" s="26" t="s">
        <v>39</v>
      </c>
      <c r="I582" s="26" t="s">
        <v>2816</v>
      </c>
      <c r="J582" s="11" t="str">
        <f>VLOOKUP(K582,'PN Dictionary'!A:B,2,FALSE)</f>
        <v>NVSwitch</v>
      </c>
      <c r="K582" s="26" t="s">
        <v>7</v>
      </c>
      <c r="L582" s="26" t="s">
        <v>2817</v>
      </c>
      <c r="M582" s="44" t="s">
        <v>2818</v>
      </c>
      <c r="N582" s="26" t="s">
        <v>53</v>
      </c>
      <c r="O582" s="26" t="s">
        <v>728</v>
      </c>
      <c r="P582" s="26">
        <v>90066</v>
      </c>
      <c r="Q582" s="26" t="s">
        <v>55</v>
      </c>
    </row>
    <row r="583" spans="1:17" hidden="1" x14ac:dyDescent="0.3">
      <c r="A583" s="26" t="s">
        <v>2819</v>
      </c>
      <c r="B583" s="26" t="s">
        <v>2820</v>
      </c>
      <c r="C583" s="26" t="s">
        <v>50</v>
      </c>
      <c r="D583" s="26" t="s">
        <v>2821</v>
      </c>
      <c r="E583" s="26" t="s">
        <v>87</v>
      </c>
      <c r="G583" s="26" t="s">
        <v>2807</v>
      </c>
      <c r="H583" s="26" t="s">
        <v>39</v>
      </c>
      <c r="I583" s="26" t="s">
        <v>2822</v>
      </c>
      <c r="J583" s="11" t="str">
        <f>VLOOKUP(K583,'PN Dictionary'!A:B,2,FALSE)</f>
        <v>GB300 L10</v>
      </c>
      <c r="K583" s="26" t="s">
        <v>36</v>
      </c>
      <c r="L583" s="26" t="s">
        <v>2876</v>
      </c>
      <c r="M583" s="44" t="s">
        <v>2823</v>
      </c>
      <c r="N583" s="26" t="s">
        <v>53</v>
      </c>
      <c r="O583" s="26" t="s">
        <v>728</v>
      </c>
      <c r="P583" s="26">
        <v>90131</v>
      </c>
      <c r="Q583" s="26" t="s">
        <v>55</v>
      </c>
    </row>
    <row r="584" spans="1:17" hidden="1" x14ac:dyDescent="0.3">
      <c r="A584" s="26" t="s">
        <v>2824</v>
      </c>
      <c r="B584" s="26" t="s">
        <v>2825</v>
      </c>
      <c r="C584" s="26" t="s">
        <v>50</v>
      </c>
      <c r="D584" s="26" t="s">
        <v>2826</v>
      </c>
      <c r="E584" s="26" t="s">
        <v>761</v>
      </c>
      <c r="G584" s="26" t="s">
        <v>2807</v>
      </c>
      <c r="H584" s="26" t="s">
        <v>39</v>
      </c>
      <c r="I584" s="26" t="s">
        <v>1190</v>
      </c>
      <c r="J584" s="11" t="str">
        <f>VLOOKUP(K584,'PN Dictionary'!A:B,2,FALSE)</f>
        <v>GB300 L10</v>
      </c>
      <c r="K584" s="26" t="s">
        <v>36</v>
      </c>
      <c r="L584" s="26" t="s">
        <v>2877</v>
      </c>
      <c r="M584" s="44" t="s">
        <v>2827</v>
      </c>
      <c r="N584" s="26" t="s">
        <v>53</v>
      </c>
      <c r="O584" s="26" t="s">
        <v>728</v>
      </c>
      <c r="P584" s="26">
        <v>90066</v>
      </c>
      <c r="Q584" s="26" t="s">
        <v>55</v>
      </c>
    </row>
    <row r="585" spans="1:17" hidden="1" x14ac:dyDescent="0.3">
      <c r="A585" s="26" t="s">
        <v>2828</v>
      </c>
      <c r="B585" s="26" t="s">
        <v>2829</v>
      </c>
      <c r="C585" s="26" t="s">
        <v>50</v>
      </c>
      <c r="D585" s="26" t="s">
        <v>2830</v>
      </c>
      <c r="E585" s="26" t="s">
        <v>307</v>
      </c>
      <c r="G585" s="26" t="s">
        <v>2807</v>
      </c>
      <c r="H585" s="26" t="s">
        <v>39</v>
      </c>
      <c r="I585" s="26" t="s">
        <v>2831</v>
      </c>
      <c r="J585" s="11" t="str">
        <f>VLOOKUP(K585,'PN Dictionary'!A:B,2,FALSE)</f>
        <v>GB300 L10</v>
      </c>
      <c r="K585" s="26" t="s">
        <v>36</v>
      </c>
      <c r="L585" s="26" t="s">
        <v>2878</v>
      </c>
      <c r="M585" s="44" t="s">
        <v>2832</v>
      </c>
      <c r="N585" s="26" t="s">
        <v>53</v>
      </c>
      <c r="O585" s="26" t="s">
        <v>728</v>
      </c>
      <c r="P585" s="26">
        <v>90168</v>
      </c>
      <c r="Q585" s="26" t="s">
        <v>55</v>
      </c>
    </row>
    <row r="586" spans="1:17" hidden="1" x14ac:dyDescent="0.3">
      <c r="A586" s="26" t="s">
        <v>2833</v>
      </c>
      <c r="B586" s="26" t="s">
        <v>2834</v>
      </c>
      <c r="C586" s="26" t="s">
        <v>50</v>
      </c>
      <c r="D586" s="26" t="s">
        <v>2835</v>
      </c>
      <c r="E586" s="26" t="s">
        <v>761</v>
      </c>
      <c r="G586" s="26" t="s">
        <v>2807</v>
      </c>
      <c r="H586" s="26" t="s">
        <v>39</v>
      </c>
      <c r="I586" s="26" t="s">
        <v>1190</v>
      </c>
      <c r="J586" s="11" t="str">
        <f>VLOOKUP(K586,'PN Dictionary'!A:B,2,FALSE)</f>
        <v>GB300 L10</v>
      </c>
      <c r="K586" s="26" t="s">
        <v>36</v>
      </c>
      <c r="L586" s="26" t="s">
        <v>2879</v>
      </c>
      <c r="M586" s="44" t="s">
        <v>2836</v>
      </c>
      <c r="N586" s="26" t="s">
        <v>53</v>
      </c>
      <c r="O586" s="26" t="s">
        <v>728</v>
      </c>
      <c r="P586" s="26">
        <v>90066</v>
      </c>
      <c r="Q586" s="26" t="s">
        <v>55</v>
      </c>
    </row>
    <row r="587" spans="1:17" hidden="1" x14ac:dyDescent="0.3">
      <c r="A587" s="26" t="s">
        <v>2837</v>
      </c>
      <c r="B587" s="26" t="s">
        <v>2838</v>
      </c>
      <c r="C587" s="26" t="s">
        <v>50</v>
      </c>
      <c r="D587" s="26" t="s">
        <v>2835</v>
      </c>
      <c r="E587" s="26" t="s">
        <v>761</v>
      </c>
      <c r="G587" s="26" t="s">
        <v>2807</v>
      </c>
      <c r="H587" s="26" t="s">
        <v>39</v>
      </c>
      <c r="I587" s="26" t="s">
        <v>1190</v>
      </c>
      <c r="J587" s="11" t="str">
        <f>VLOOKUP(K587,'PN Dictionary'!A:B,2,FALSE)</f>
        <v>GB300 L10</v>
      </c>
      <c r="K587" s="26" t="s">
        <v>36</v>
      </c>
      <c r="L587" s="26" t="s">
        <v>2880</v>
      </c>
      <c r="M587" s="44" t="s">
        <v>2839</v>
      </c>
      <c r="N587" s="26" t="s">
        <v>53</v>
      </c>
      <c r="O587" s="26" t="s">
        <v>728</v>
      </c>
      <c r="P587" s="26">
        <v>90066</v>
      </c>
      <c r="Q587" s="26" t="s">
        <v>55</v>
      </c>
    </row>
    <row r="588" spans="1:17" hidden="1" x14ac:dyDescent="0.3">
      <c r="A588" s="26" t="s">
        <v>2840</v>
      </c>
      <c r="B588" s="26" t="s">
        <v>2841</v>
      </c>
      <c r="C588" s="26" t="s">
        <v>50</v>
      </c>
      <c r="D588" s="26" t="s">
        <v>2522</v>
      </c>
      <c r="E588" s="26" t="s">
        <v>411</v>
      </c>
      <c r="G588" s="26" t="s">
        <v>2807</v>
      </c>
      <c r="H588" s="26" t="s">
        <v>39</v>
      </c>
      <c r="I588" s="26" t="s">
        <v>2842</v>
      </c>
      <c r="J588" s="11" t="str">
        <f>VLOOKUP(K588,'PN Dictionary'!A:B,2,FALSE)</f>
        <v>NVSwitch</v>
      </c>
      <c r="K588" s="26" t="s">
        <v>7</v>
      </c>
      <c r="L588" s="26" t="s">
        <v>2843</v>
      </c>
      <c r="M588" s="44" t="s">
        <v>2844</v>
      </c>
      <c r="N588" s="26" t="s">
        <v>53</v>
      </c>
      <c r="O588" s="26" t="s">
        <v>728</v>
      </c>
      <c r="P588" s="26">
        <v>90168</v>
      </c>
      <c r="Q588" s="26" t="s">
        <v>55</v>
      </c>
    </row>
    <row r="589" spans="1:17" hidden="1" x14ac:dyDescent="0.3">
      <c r="A589" s="26" t="s">
        <v>2845</v>
      </c>
      <c r="B589" s="26" t="s">
        <v>2846</v>
      </c>
      <c r="C589" s="26" t="s">
        <v>50</v>
      </c>
      <c r="D589" s="26" t="s">
        <v>2821</v>
      </c>
      <c r="E589" s="26" t="s">
        <v>87</v>
      </c>
      <c r="G589" s="26" t="s">
        <v>2807</v>
      </c>
      <c r="H589" s="26" t="s">
        <v>39</v>
      </c>
      <c r="I589" s="26" t="s">
        <v>2353</v>
      </c>
      <c r="J589" s="11" t="str">
        <f>VLOOKUP(K589,'PN Dictionary'!A:B,2,FALSE)</f>
        <v>GB300 L10</v>
      </c>
      <c r="K589" s="26" t="s">
        <v>36</v>
      </c>
      <c r="L589" s="26" t="s">
        <v>2881</v>
      </c>
      <c r="M589" s="44" t="s">
        <v>2847</v>
      </c>
      <c r="N589" s="26" t="s">
        <v>53</v>
      </c>
      <c r="O589" s="26" t="s">
        <v>728</v>
      </c>
      <c r="P589" s="26">
        <v>90131</v>
      </c>
      <c r="Q589" s="26" t="s">
        <v>55</v>
      </c>
    </row>
    <row r="590" spans="1:17" hidden="1" x14ac:dyDescent="0.3">
      <c r="A590" s="26" t="s">
        <v>2848</v>
      </c>
      <c r="B590" s="26" t="s">
        <v>2849</v>
      </c>
      <c r="C590" s="26" t="s">
        <v>50</v>
      </c>
      <c r="D590" s="26" t="s">
        <v>2632</v>
      </c>
      <c r="E590" s="26" t="s">
        <v>81</v>
      </c>
      <c r="G590" s="26" t="s">
        <v>2807</v>
      </c>
      <c r="H590" s="26" t="s">
        <v>39</v>
      </c>
      <c r="I590" s="26" t="s">
        <v>2850</v>
      </c>
      <c r="J590" s="11" t="str">
        <f>VLOOKUP(K590,'PN Dictionary'!A:B,2,FALSE)</f>
        <v>GB300 L10</v>
      </c>
      <c r="K590" s="26" t="s">
        <v>36</v>
      </c>
      <c r="L590" s="26" t="s">
        <v>2882</v>
      </c>
      <c r="M590" s="44" t="s">
        <v>2851</v>
      </c>
      <c r="N590" s="26" t="s">
        <v>53</v>
      </c>
      <c r="O590" s="26" t="s">
        <v>728</v>
      </c>
      <c r="P590" s="26">
        <v>90131</v>
      </c>
      <c r="Q590" s="26" t="s">
        <v>55</v>
      </c>
    </row>
    <row r="591" spans="1:17" hidden="1" x14ac:dyDescent="0.3">
      <c r="A591" s="26" t="s">
        <v>2852</v>
      </c>
      <c r="B591" s="26" t="s">
        <v>2853</v>
      </c>
      <c r="C591" s="26" t="s">
        <v>50</v>
      </c>
      <c r="D591" s="26" t="s">
        <v>2826</v>
      </c>
      <c r="E591" s="26" t="s">
        <v>633</v>
      </c>
      <c r="G591" s="26" t="s">
        <v>2807</v>
      </c>
      <c r="H591" s="26" t="s">
        <v>39</v>
      </c>
      <c r="I591" s="26" t="s">
        <v>2854</v>
      </c>
      <c r="J591" s="11" t="str">
        <f>VLOOKUP(K591,'PN Dictionary'!A:B,2,FALSE)</f>
        <v>GB300 L10</v>
      </c>
      <c r="K591" s="26" t="s">
        <v>36</v>
      </c>
      <c r="L591" s="26" t="s">
        <v>2883</v>
      </c>
      <c r="M591" s="44" t="s">
        <v>2855</v>
      </c>
      <c r="N591" s="26" t="s">
        <v>53</v>
      </c>
      <c r="O591" s="26" t="s">
        <v>728</v>
      </c>
      <c r="P591" s="26">
        <v>90066</v>
      </c>
      <c r="Q591" s="26" t="s">
        <v>55</v>
      </c>
    </row>
    <row r="592" spans="1:17" hidden="1" x14ac:dyDescent="0.3">
      <c r="A592" s="26" t="s">
        <v>2856</v>
      </c>
      <c r="B592" s="26" t="s">
        <v>2857</v>
      </c>
      <c r="C592" s="26" t="s">
        <v>50</v>
      </c>
      <c r="D592" s="26" t="s">
        <v>2858</v>
      </c>
      <c r="E592" s="26" t="s">
        <v>128</v>
      </c>
      <c r="G592" s="26" t="s">
        <v>2859</v>
      </c>
      <c r="H592" s="26" t="s">
        <v>39</v>
      </c>
      <c r="I592" s="26" t="s">
        <v>2714</v>
      </c>
      <c r="J592" s="11" t="str">
        <f>VLOOKUP(K592,'PN Dictionary'!A:B,2,FALSE)</f>
        <v>Cable Cartridge</v>
      </c>
      <c r="K592" s="26" t="s">
        <v>6</v>
      </c>
      <c r="L592" s="26">
        <v>2024025350294</v>
      </c>
      <c r="M592" s="44">
        <v>2024225881082</v>
      </c>
      <c r="N592" s="26" t="s">
        <v>53</v>
      </c>
      <c r="O592" s="26" t="s">
        <v>728</v>
      </c>
      <c r="P592" s="26">
        <v>640</v>
      </c>
      <c r="Q592" s="26" t="s">
        <v>55</v>
      </c>
    </row>
    <row r="593" spans="1:17" hidden="1" x14ac:dyDescent="0.3">
      <c r="A593" s="26" t="s">
        <v>2860</v>
      </c>
      <c r="B593" s="26" t="s">
        <v>2861</v>
      </c>
      <c r="C593" s="26" t="s">
        <v>50</v>
      </c>
      <c r="D593" s="26" t="s">
        <v>2862</v>
      </c>
      <c r="E593" s="26" t="s">
        <v>128</v>
      </c>
      <c r="G593" s="26" t="s">
        <v>2859</v>
      </c>
      <c r="H593" s="26" t="s">
        <v>39</v>
      </c>
      <c r="I593" s="26" t="s">
        <v>2863</v>
      </c>
      <c r="J593" s="11" t="str">
        <f>VLOOKUP(K593,'PN Dictionary'!A:B,2,FALSE)</f>
        <v>Cable Cartridge</v>
      </c>
      <c r="K593" s="26" t="s">
        <v>6</v>
      </c>
      <c r="L593" s="26">
        <v>2024025350230</v>
      </c>
      <c r="M593" s="44">
        <v>2024325880267</v>
      </c>
      <c r="N593" s="26" t="s">
        <v>53</v>
      </c>
      <c r="O593" s="26" t="s">
        <v>728</v>
      </c>
      <c r="P593" s="26">
        <v>933</v>
      </c>
      <c r="Q593" s="26" t="s">
        <v>55</v>
      </c>
    </row>
    <row r="594" spans="1:17" hidden="1" x14ac:dyDescent="0.3">
      <c r="A594" s="26" t="s">
        <v>2884</v>
      </c>
      <c r="B594" s="26" t="s">
        <v>2885</v>
      </c>
      <c r="C594" s="26" t="s">
        <v>50</v>
      </c>
      <c r="D594" s="26" t="s">
        <v>2826</v>
      </c>
      <c r="E594" s="26" t="s">
        <v>128</v>
      </c>
      <c r="G594" s="26" t="s">
        <v>2859</v>
      </c>
      <c r="H594" s="26" t="s">
        <v>39</v>
      </c>
      <c r="I594" s="26" t="s">
        <v>2886</v>
      </c>
      <c r="J594" s="11" t="str">
        <f>VLOOKUP(K594,'PN Dictionary'!A:B,2,FALSE)</f>
        <v>Cable Cartridge</v>
      </c>
      <c r="K594" s="11" t="s">
        <v>6</v>
      </c>
      <c r="L594" s="26">
        <v>2024025350500</v>
      </c>
      <c r="M594" s="26">
        <v>2024225881207</v>
      </c>
      <c r="N594" s="26" t="s">
        <v>53</v>
      </c>
      <c r="O594" s="26" t="s">
        <v>728</v>
      </c>
      <c r="P594" s="26">
        <v>933</v>
      </c>
      <c r="Q594" s="26" t="s">
        <v>55</v>
      </c>
    </row>
    <row r="595" spans="1:17" ht="54" hidden="1" x14ac:dyDescent="0.3">
      <c r="A595" s="47" t="s">
        <v>2887</v>
      </c>
      <c r="B595" s="37" t="s">
        <v>2888</v>
      </c>
      <c r="C595" s="37" t="s">
        <v>50</v>
      </c>
      <c r="D595" s="37" t="s">
        <v>2830</v>
      </c>
      <c r="E595" s="37" t="s">
        <v>52</v>
      </c>
      <c r="F595" s="37"/>
      <c r="G595" s="37" t="s">
        <v>2859</v>
      </c>
      <c r="H595" s="37" t="s">
        <v>39</v>
      </c>
      <c r="I595" s="38" t="s">
        <v>2889</v>
      </c>
      <c r="J595" s="11" t="str">
        <f>VLOOKUP(K595,'PN Dictionary'!A:B,2,FALSE)</f>
        <v>GB300 L10</v>
      </c>
      <c r="K595" s="37" t="s">
        <v>36</v>
      </c>
      <c r="L595" s="37" t="s">
        <v>2940</v>
      </c>
      <c r="M595" s="37" t="s">
        <v>2890</v>
      </c>
      <c r="N595" s="37" t="s">
        <v>53</v>
      </c>
      <c r="O595" s="37" t="s">
        <v>728</v>
      </c>
      <c r="P595" s="37">
        <v>1237</v>
      </c>
      <c r="Q595" s="37" t="s">
        <v>55</v>
      </c>
    </row>
    <row r="596" spans="1:17" hidden="1" x14ac:dyDescent="0.3">
      <c r="A596" s="47" t="s">
        <v>2864</v>
      </c>
      <c r="B596" s="37" t="s">
        <v>2865</v>
      </c>
      <c r="C596" s="37" t="s">
        <v>50</v>
      </c>
      <c r="D596" s="37" t="s">
        <v>2717</v>
      </c>
      <c r="E596" s="37" t="s">
        <v>128</v>
      </c>
      <c r="F596" s="37"/>
      <c r="G596" s="37" t="s">
        <v>2859</v>
      </c>
      <c r="H596" s="37" t="s">
        <v>39</v>
      </c>
      <c r="I596" s="38" t="s">
        <v>2714</v>
      </c>
      <c r="J596" s="11" t="str">
        <f>VLOOKUP(K596,'PN Dictionary'!A:B,2,FALSE)</f>
        <v>Cable Cartridge</v>
      </c>
      <c r="K596" s="37" t="s">
        <v>6</v>
      </c>
      <c r="L596" s="37">
        <v>1824025185420</v>
      </c>
      <c r="M596" s="37">
        <v>2024025350166</v>
      </c>
      <c r="N596" s="37" t="s">
        <v>53</v>
      </c>
      <c r="O596" s="37" t="s">
        <v>728</v>
      </c>
      <c r="P596" s="37">
        <v>1237</v>
      </c>
      <c r="Q596" s="37" t="s">
        <v>55</v>
      </c>
    </row>
    <row r="597" spans="1:17" ht="40.5" hidden="1" x14ac:dyDescent="0.3">
      <c r="A597" s="47" t="s">
        <v>2891</v>
      </c>
      <c r="B597" s="37" t="s">
        <v>2892</v>
      </c>
      <c r="C597" s="37" t="s">
        <v>50</v>
      </c>
      <c r="D597" s="37" t="s">
        <v>2513</v>
      </c>
      <c r="E597" s="37" t="s">
        <v>52</v>
      </c>
      <c r="F597" s="37"/>
      <c r="G597" s="37" t="s">
        <v>2859</v>
      </c>
      <c r="H597" s="37" t="s">
        <v>39</v>
      </c>
      <c r="I597" s="38" t="s">
        <v>2514</v>
      </c>
      <c r="J597" s="11" t="str">
        <f>VLOOKUP(K597,'PN Dictionary'!A:B,2,FALSE)</f>
        <v>GB300 L10</v>
      </c>
      <c r="K597" s="37" t="s">
        <v>36</v>
      </c>
      <c r="L597" s="37" t="s">
        <v>2941</v>
      </c>
      <c r="M597" s="37" t="s">
        <v>2893</v>
      </c>
      <c r="N597" s="37" t="s">
        <v>53</v>
      </c>
      <c r="O597" s="37" t="s">
        <v>728</v>
      </c>
      <c r="P597" s="37">
        <v>718</v>
      </c>
      <c r="Q597" s="37" t="s">
        <v>55</v>
      </c>
    </row>
    <row r="598" spans="1:17" hidden="1" x14ac:dyDescent="0.3">
      <c r="A598" s="47" t="s">
        <v>2894</v>
      </c>
      <c r="B598" s="37" t="s">
        <v>2895</v>
      </c>
      <c r="C598" s="37" t="s">
        <v>50</v>
      </c>
      <c r="D598" s="37" t="s">
        <v>2683</v>
      </c>
      <c r="E598" s="37" t="s">
        <v>52</v>
      </c>
      <c r="F598" s="37"/>
      <c r="G598" s="37" t="s">
        <v>2859</v>
      </c>
      <c r="H598" s="37" t="s">
        <v>39</v>
      </c>
      <c r="I598" s="38" t="s">
        <v>1294</v>
      </c>
      <c r="J598" s="11" t="str">
        <f>VLOOKUP(K598,'PN Dictionary'!A:B,2,FALSE)</f>
        <v>GB300 L10</v>
      </c>
      <c r="K598" s="37" t="s">
        <v>36</v>
      </c>
      <c r="L598" s="37" t="s">
        <v>2942</v>
      </c>
      <c r="M598" s="37" t="s">
        <v>2896</v>
      </c>
      <c r="N598" s="37" t="s">
        <v>53</v>
      </c>
      <c r="O598" s="37" t="s">
        <v>728</v>
      </c>
      <c r="P598" s="37">
        <v>718</v>
      </c>
      <c r="Q598" s="37" t="s">
        <v>55</v>
      </c>
    </row>
    <row r="599" spans="1:17" hidden="1" x14ac:dyDescent="0.3">
      <c r="A599" s="47" t="s">
        <v>2897</v>
      </c>
      <c r="B599" s="37" t="s">
        <v>2898</v>
      </c>
      <c r="C599" s="37" t="s">
        <v>50</v>
      </c>
      <c r="D599" s="37" t="s">
        <v>2899</v>
      </c>
      <c r="E599" s="37" t="s">
        <v>761</v>
      </c>
      <c r="F599" s="37"/>
      <c r="G599" s="37" t="s">
        <v>2859</v>
      </c>
      <c r="H599" s="37" t="s">
        <v>39</v>
      </c>
      <c r="I599" s="38" t="s">
        <v>1190</v>
      </c>
      <c r="J599" s="11" t="str">
        <f>VLOOKUP(K599,'PN Dictionary'!A:B,2,FALSE)</f>
        <v>GB300 L10</v>
      </c>
      <c r="K599" s="37" t="s">
        <v>36</v>
      </c>
      <c r="L599" s="37" t="s">
        <v>2943</v>
      </c>
      <c r="M599" s="37" t="s">
        <v>2900</v>
      </c>
      <c r="N599" s="37" t="s">
        <v>53</v>
      </c>
      <c r="O599" s="37" t="s">
        <v>728</v>
      </c>
      <c r="P599" s="37">
        <v>90066</v>
      </c>
      <c r="Q599" s="37" t="s">
        <v>55</v>
      </c>
    </row>
    <row r="600" spans="1:17" hidden="1" x14ac:dyDescent="0.3">
      <c r="A600" s="47" t="s">
        <v>2901</v>
      </c>
      <c r="B600" s="37" t="s">
        <v>2902</v>
      </c>
      <c r="C600" s="37" t="s">
        <v>50</v>
      </c>
      <c r="D600" s="37" t="s">
        <v>2899</v>
      </c>
      <c r="E600" s="37" t="s">
        <v>761</v>
      </c>
      <c r="F600" s="37"/>
      <c r="G600" s="37" t="s">
        <v>2859</v>
      </c>
      <c r="H600" s="37" t="s">
        <v>39</v>
      </c>
      <c r="I600" s="38" t="s">
        <v>1190</v>
      </c>
      <c r="J600" s="11" t="str">
        <f>VLOOKUP(K600,'PN Dictionary'!A:B,2,FALSE)</f>
        <v>GB300 L10</v>
      </c>
      <c r="K600" s="37" t="s">
        <v>36</v>
      </c>
      <c r="L600" s="37" t="s">
        <v>2944</v>
      </c>
      <c r="M600" s="37" t="s">
        <v>2903</v>
      </c>
      <c r="N600" s="37" t="s">
        <v>53</v>
      </c>
      <c r="O600" s="37" t="s">
        <v>728</v>
      </c>
      <c r="P600" s="37">
        <v>90066</v>
      </c>
      <c r="Q600" s="37" t="s">
        <v>55</v>
      </c>
    </row>
    <row r="601" spans="1:17" hidden="1" x14ac:dyDescent="0.3">
      <c r="A601" s="47" t="s">
        <v>2904</v>
      </c>
      <c r="B601" s="37" t="s">
        <v>2905</v>
      </c>
      <c r="C601" s="37" t="s">
        <v>50</v>
      </c>
      <c r="D601" s="37" t="s">
        <v>2899</v>
      </c>
      <c r="E601" s="37" t="s">
        <v>761</v>
      </c>
      <c r="F601" s="37"/>
      <c r="G601" s="37" t="s">
        <v>2859</v>
      </c>
      <c r="H601" s="37" t="s">
        <v>39</v>
      </c>
      <c r="I601" s="38" t="s">
        <v>1190</v>
      </c>
      <c r="J601" s="11" t="str">
        <f>VLOOKUP(K601,'PN Dictionary'!A:B,2,FALSE)</f>
        <v>GB300 L10</v>
      </c>
      <c r="K601" s="37" t="s">
        <v>36</v>
      </c>
      <c r="L601" s="37" t="s">
        <v>2949</v>
      </c>
      <c r="M601" s="37" t="s">
        <v>2945</v>
      </c>
      <c r="N601" s="37" t="s">
        <v>53</v>
      </c>
      <c r="O601" s="37" t="s">
        <v>728</v>
      </c>
      <c r="P601" s="37">
        <v>90066</v>
      </c>
      <c r="Q601" s="37" t="s">
        <v>55</v>
      </c>
    </row>
    <row r="602" spans="1:17" hidden="1" x14ac:dyDescent="0.3">
      <c r="A602" s="47" t="s">
        <v>2906</v>
      </c>
      <c r="B602" s="37" t="s">
        <v>2907</v>
      </c>
      <c r="C602" s="37" t="s">
        <v>50</v>
      </c>
      <c r="D602" s="37" t="s">
        <v>2835</v>
      </c>
      <c r="E602" s="37" t="s">
        <v>761</v>
      </c>
      <c r="F602" s="37"/>
      <c r="G602" s="37" t="s">
        <v>2859</v>
      </c>
      <c r="H602" s="37" t="s">
        <v>39</v>
      </c>
      <c r="I602" s="38" t="s">
        <v>1190</v>
      </c>
      <c r="J602" s="11" t="str">
        <f>VLOOKUP(K602,'PN Dictionary'!A:B,2,FALSE)</f>
        <v>GB300 L10</v>
      </c>
      <c r="K602" s="37" t="s">
        <v>36</v>
      </c>
      <c r="L602" s="37" t="s">
        <v>2950</v>
      </c>
      <c r="M602" s="37" t="s">
        <v>2946</v>
      </c>
      <c r="N602" s="37" t="s">
        <v>53</v>
      </c>
      <c r="O602" s="37" t="s">
        <v>728</v>
      </c>
      <c r="P602" s="37">
        <v>90066</v>
      </c>
      <c r="Q602" s="37" t="s">
        <v>55</v>
      </c>
    </row>
    <row r="603" spans="1:17" hidden="1" x14ac:dyDescent="0.3">
      <c r="A603" s="47" t="s">
        <v>2908</v>
      </c>
      <c r="B603" s="37" t="s">
        <v>2909</v>
      </c>
      <c r="C603" s="37" t="s">
        <v>50</v>
      </c>
      <c r="D603" s="37" t="s">
        <v>2835</v>
      </c>
      <c r="E603" s="37" t="s">
        <v>761</v>
      </c>
      <c r="F603" s="37"/>
      <c r="G603" s="37" t="s">
        <v>2859</v>
      </c>
      <c r="H603" s="37" t="s">
        <v>39</v>
      </c>
      <c r="I603" s="38" t="s">
        <v>1190</v>
      </c>
      <c r="J603" s="11" t="str">
        <f>VLOOKUP(K603,'PN Dictionary'!A:B,2,FALSE)</f>
        <v>GB300 L10</v>
      </c>
      <c r="K603" s="37" t="s">
        <v>36</v>
      </c>
      <c r="L603" s="37" t="s">
        <v>2951</v>
      </c>
      <c r="M603" s="37" t="s">
        <v>2947</v>
      </c>
      <c r="N603" s="37" t="s">
        <v>53</v>
      </c>
      <c r="O603" s="37" t="s">
        <v>728</v>
      </c>
      <c r="P603" s="37">
        <v>90066</v>
      </c>
      <c r="Q603" s="37" t="s">
        <v>55</v>
      </c>
    </row>
    <row r="604" spans="1:17" ht="27" hidden="1" x14ac:dyDescent="0.3">
      <c r="A604" s="47" t="s">
        <v>2910</v>
      </c>
      <c r="B604" s="37" t="s">
        <v>2911</v>
      </c>
      <c r="C604" s="37" t="s">
        <v>50</v>
      </c>
      <c r="D604" s="37" t="s">
        <v>2734</v>
      </c>
      <c r="E604" s="37" t="s">
        <v>761</v>
      </c>
      <c r="F604" s="37"/>
      <c r="G604" s="37" t="s">
        <v>2859</v>
      </c>
      <c r="H604" s="37" t="s">
        <v>39</v>
      </c>
      <c r="I604" s="38" t="s">
        <v>2912</v>
      </c>
      <c r="J604" s="11" t="str">
        <f>VLOOKUP(K604,'PN Dictionary'!A:B,2,FALSE)</f>
        <v>GB300 L10</v>
      </c>
      <c r="K604" s="37" t="s">
        <v>36</v>
      </c>
      <c r="L604" s="37" t="s">
        <v>2952</v>
      </c>
      <c r="M604" s="37" t="s">
        <v>2948</v>
      </c>
      <c r="N604" s="37" t="s">
        <v>53</v>
      </c>
      <c r="O604" s="37" t="s">
        <v>728</v>
      </c>
      <c r="P604" s="37">
        <v>90131</v>
      </c>
      <c r="Q604" s="37" t="s">
        <v>55</v>
      </c>
    </row>
    <row r="605" spans="1:17" hidden="1" x14ac:dyDescent="0.3">
      <c r="A605" s="47" t="s">
        <v>2913</v>
      </c>
      <c r="B605" s="37" t="s">
        <v>2914</v>
      </c>
      <c r="C605" s="37" t="s">
        <v>50</v>
      </c>
      <c r="D605" s="37" t="s">
        <v>2858</v>
      </c>
      <c r="E605" s="37" t="s">
        <v>87</v>
      </c>
      <c r="F605" s="37"/>
      <c r="G605" s="37" t="s">
        <v>2859</v>
      </c>
      <c r="H605" s="37" t="s">
        <v>39</v>
      </c>
      <c r="I605" s="38" t="s">
        <v>2915</v>
      </c>
      <c r="J605" s="11" t="str">
        <f>VLOOKUP(K605,'PN Dictionary'!A:B,2,FALSE)</f>
        <v>GB300 L10</v>
      </c>
      <c r="K605" s="37" t="s">
        <v>36</v>
      </c>
      <c r="L605" s="37" t="s">
        <v>2953</v>
      </c>
      <c r="M605" s="37" t="s">
        <v>2916</v>
      </c>
      <c r="N605" s="37" t="s">
        <v>53</v>
      </c>
      <c r="O605" s="37" t="s">
        <v>728</v>
      </c>
      <c r="P605" s="37">
        <v>3908</v>
      </c>
      <c r="Q605" s="37" t="s">
        <v>55</v>
      </c>
    </row>
    <row r="606" spans="1:17" hidden="1" x14ac:dyDescent="0.3">
      <c r="A606" s="47" t="s">
        <v>2917</v>
      </c>
      <c r="B606" s="37" t="s">
        <v>2918</v>
      </c>
      <c r="C606" s="37" t="s">
        <v>50</v>
      </c>
      <c r="D606" s="37" t="s">
        <v>2899</v>
      </c>
      <c r="E606" s="37" t="s">
        <v>128</v>
      </c>
      <c r="F606" s="37"/>
      <c r="G606" s="37" t="s">
        <v>2859</v>
      </c>
      <c r="H606" s="37" t="s">
        <v>39</v>
      </c>
      <c r="I606" s="38" t="s">
        <v>2010</v>
      </c>
      <c r="J606" s="11" t="str">
        <f>VLOOKUP(K606,'PN Dictionary'!A:B,2,FALSE)</f>
        <v>Cable Cartridge</v>
      </c>
      <c r="K606" s="37" t="s">
        <v>6</v>
      </c>
      <c r="L606" s="37">
        <v>2024025350190</v>
      </c>
      <c r="M606" s="37">
        <v>2024225880878</v>
      </c>
      <c r="N606" s="37" t="s">
        <v>53</v>
      </c>
      <c r="O606" s="37" t="s">
        <v>728</v>
      </c>
      <c r="P606" s="37">
        <v>90138</v>
      </c>
      <c r="Q606" s="37" t="s">
        <v>55</v>
      </c>
    </row>
    <row r="607" spans="1:17" hidden="1" x14ac:dyDescent="0.3">
      <c r="A607" s="47" t="s">
        <v>2919</v>
      </c>
      <c r="B607" s="37" t="s">
        <v>2920</v>
      </c>
      <c r="C607" s="37" t="s">
        <v>1309</v>
      </c>
      <c r="D607" s="37" t="s">
        <v>2921</v>
      </c>
      <c r="E607" s="37" t="s">
        <v>52</v>
      </c>
      <c r="F607" s="37"/>
      <c r="G607" s="37" t="s">
        <v>2922</v>
      </c>
      <c r="H607" s="37" t="s">
        <v>39</v>
      </c>
      <c r="I607" s="38" t="s">
        <v>2955</v>
      </c>
      <c r="J607" s="11" t="str">
        <f>VLOOKUP(K607,'PN Dictionary'!A:B,2,FALSE)</f>
        <v>GB300 L10</v>
      </c>
      <c r="K607" s="37" t="s">
        <v>1340</v>
      </c>
      <c r="L607" s="37" t="s">
        <v>2954</v>
      </c>
      <c r="M607" s="37" t="s">
        <v>2923</v>
      </c>
      <c r="N607" s="37" t="s">
        <v>53</v>
      </c>
      <c r="O607" s="37" t="s">
        <v>728</v>
      </c>
      <c r="P607" s="37">
        <v>640</v>
      </c>
      <c r="Q607" s="37" t="s">
        <v>55</v>
      </c>
    </row>
    <row r="608" spans="1:17" ht="27" hidden="1" x14ac:dyDescent="0.3">
      <c r="A608" s="47" t="s">
        <v>2924</v>
      </c>
      <c r="B608" s="37" t="s">
        <v>2925</v>
      </c>
      <c r="C608" s="37" t="s">
        <v>50</v>
      </c>
      <c r="D608" s="37" t="s">
        <v>2926</v>
      </c>
      <c r="E608" s="37" t="s">
        <v>259</v>
      </c>
      <c r="F608" s="37"/>
      <c r="G608" s="37" t="s">
        <v>2922</v>
      </c>
      <c r="H608" s="37" t="s">
        <v>39</v>
      </c>
      <c r="I608" s="38" t="s">
        <v>2957</v>
      </c>
      <c r="J608" s="11" t="str">
        <f>VLOOKUP(K608,'PN Dictionary'!A:B,2,FALSE)</f>
        <v>GB300 L10</v>
      </c>
      <c r="K608" s="37" t="s">
        <v>36</v>
      </c>
      <c r="L608" s="37" t="s">
        <v>2956</v>
      </c>
      <c r="M608" s="37" t="s">
        <v>2927</v>
      </c>
      <c r="N608" s="37" t="s">
        <v>53</v>
      </c>
      <c r="O608" s="37" t="s">
        <v>728</v>
      </c>
      <c r="P608" s="37">
        <v>640</v>
      </c>
      <c r="Q608" s="37" t="s">
        <v>55</v>
      </c>
    </row>
    <row r="609" spans="1:17" hidden="1" x14ac:dyDescent="0.3">
      <c r="A609" s="47" t="s">
        <v>2928</v>
      </c>
      <c r="B609" s="37" t="s">
        <v>2929</v>
      </c>
      <c r="C609" s="37" t="s">
        <v>50</v>
      </c>
      <c r="D609" s="37" t="s">
        <v>2683</v>
      </c>
      <c r="E609" s="37" t="s">
        <v>128</v>
      </c>
      <c r="F609" s="37"/>
      <c r="G609" s="37" t="s">
        <v>2922</v>
      </c>
      <c r="H609" s="37" t="s">
        <v>39</v>
      </c>
      <c r="I609" s="38" t="s">
        <v>205</v>
      </c>
      <c r="J609" s="11" t="str">
        <f>VLOOKUP(K609,'PN Dictionary'!A:B,2,FALSE)</f>
        <v>Cable Cartridge</v>
      </c>
      <c r="K609" s="37" t="s">
        <v>6</v>
      </c>
      <c r="L609" s="37">
        <v>1823725356388</v>
      </c>
      <c r="M609" s="37">
        <v>2024025350070</v>
      </c>
      <c r="N609" s="37" t="s">
        <v>53</v>
      </c>
      <c r="O609" s="37" t="s">
        <v>728</v>
      </c>
      <c r="P609" s="37">
        <v>640</v>
      </c>
      <c r="Q609" s="37" t="s">
        <v>55</v>
      </c>
    </row>
    <row r="610" spans="1:17" hidden="1" x14ac:dyDescent="0.3">
      <c r="A610" s="47" t="s">
        <v>2930</v>
      </c>
      <c r="B610" s="37" t="s">
        <v>2931</v>
      </c>
      <c r="C610" s="37" t="s">
        <v>50</v>
      </c>
      <c r="D610" s="37" t="s">
        <v>2522</v>
      </c>
      <c r="E610" s="37" t="s">
        <v>128</v>
      </c>
      <c r="F610" s="37"/>
      <c r="G610" s="37" t="s">
        <v>2922</v>
      </c>
      <c r="H610" s="37" t="s">
        <v>39</v>
      </c>
      <c r="I610" s="38" t="s">
        <v>205</v>
      </c>
      <c r="J610" s="11" t="str">
        <f>VLOOKUP(K610,'PN Dictionary'!A:B,2,FALSE)</f>
        <v>Cable Cartridge</v>
      </c>
      <c r="K610" s="37" t="s">
        <v>6</v>
      </c>
      <c r="L610" s="37">
        <v>2024225880940</v>
      </c>
      <c r="M610" s="37">
        <v>2024025350116</v>
      </c>
      <c r="N610" s="37" t="s">
        <v>53</v>
      </c>
      <c r="O610" s="37" t="s">
        <v>728</v>
      </c>
      <c r="P610" s="37">
        <v>640</v>
      </c>
      <c r="Q610" s="37" t="s">
        <v>55</v>
      </c>
    </row>
    <row r="611" spans="1:17" hidden="1" x14ac:dyDescent="0.3">
      <c r="A611" s="47" t="s">
        <v>2932</v>
      </c>
      <c r="B611" s="37" t="s">
        <v>2933</v>
      </c>
      <c r="C611" s="37" t="s">
        <v>50</v>
      </c>
      <c r="D611" s="37" t="s">
        <v>2934</v>
      </c>
      <c r="E611" s="37" t="s">
        <v>87</v>
      </c>
      <c r="F611" s="37"/>
      <c r="G611" s="37" t="s">
        <v>2922</v>
      </c>
      <c r="H611" s="37" t="s">
        <v>39</v>
      </c>
      <c r="I611" s="38" t="s">
        <v>2935</v>
      </c>
      <c r="J611" s="11" t="str">
        <f>VLOOKUP(K611,'PN Dictionary'!A:B,2,FALSE)</f>
        <v>GB300 L10</v>
      </c>
      <c r="K611" s="37" t="s">
        <v>36</v>
      </c>
      <c r="L611" s="37" t="s">
        <v>2958</v>
      </c>
      <c r="M611" s="37" t="s">
        <v>2936</v>
      </c>
      <c r="N611" s="37" t="s">
        <v>53</v>
      </c>
      <c r="O611" s="37" t="s">
        <v>728</v>
      </c>
      <c r="P611" s="37">
        <v>90168</v>
      </c>
      <c r="Q611" s="37" t="s">
        <v>55</v>
      </c>
    </row>
    <row r="612" spans="1:17" hidden="1" x14ac:dyDescent="0.3">
      <c r="A612" s="47" t="s">
        <v>2937</v>
      </c>
      <c r="B612" s="37" t="s">
        <v>2938</v>
      </c>
      <c r="C612" s="37" t="s">
        <v>50</v>
      </c>
      <c r="D612" s="37" t="s">
        <v>2926</v>
      </c>
      <c r="E612" s="37" t="s">
        <v>259</v>
      </c>
      <c r="F612" s="37"/>
      <c r="G612" s="37" t="s">
        <v>2922</v>
      </c>
      <c r="H612" s="37" t="s">
        <v>39</v>
      </c>
      <c r="I612" s="38" t="s">
        <v>526</v>
      </c>
      <c r="J612" s="11" t="str">
        <f>VLOOKUP(K612,'PN Dictionary'!A:B,2,FALSE)</f>
        <v>GB300 L10</v>
      </c>
      <c r="K612" s="37" t="s">
        <v>36</v>
      </c>
      <c r="L612" s="37" t="s">
        <v>2942</v>
      </c>
      <c r="M612" s="37" t="s">
        <v>2939</v>
      </c>
      <c r="N612" s="37" t="s">
        <v>53</v>
      </c>
      <c r="O612" s="37" t="s">
        <v>728</v>
      </c>
      <c r="P612" s="37">
        <v>90131</v>
      </c>
      <c r="Q612" s="37" t="s">
        <v>55</v>
      </c>
    </row>
    <row r="613" spans="1:17" hidden="1" x14ac:dyDescent="0.3">
      <c r="A613" s="26" t="s">
        <v>2959</v>
      </c>
      <c r="B613" s="26" t="s">
        <v>2960</v>
      </c>
      <c r="C613" s="26" t="s">
        <v>50</v>
      </c>
      <c r="D613" s="26" t="s">
        <v>2926</v>
      </c>
      <c r="E613" s="26" t="s">
        <v>81</v>
      </c>
      <c r="G613" s="26" t="s">
        <v>2922</v>
      </c>
      <c r="H613" s="26" t="s">
        <v>39</v>
      </c>
      <c r="I613" s="26" t="s">
        <v>2961</v>
      </c>
      <c r="J613" s="11" t="str">
        <f>VLOOKUP(K613,'PN Dictionary'!A:B,2,FALSE)</f>
        <v>GB300 L10</v>
      </c>
      <c r="K613" s="26" t="s">
        <v>36</v>
      </c>
      <c r="L613" s="37" t="s">
        <v>3338</v>
      </c>
      <c r="M613" s="44" t="s">
        <v>2962</v>
      </c>
      <c r="N613" s="26" t="s">
        <v>53</v>
      </c>
      <c r="O613" s="26" t="s">
        <v>728</v>
      </c>
      <c r="P613" s="26">
        <v>90131</v>
      </c>
      <c r="Q613" s="26" t="s">
        <v>55</v>
      </c>
    </row>
    <row r="614" spans="1:17" hidden="1" x14ac:dyDescent="0.3">
      <c r="A614" s="26" t="s">
        <v>2963</v>
      </c>
      <c r="B614" s="26" t="s">
        <v>2964</v>
      </c>
      <c r="C614" s="26" t="s">
        <v>50</v>
      </c>
      <c r="D614" s="26" t="s">
        <v>2965</v>
      </c>
      <c r="E614" s="26" t="s">
        <v>128</v>
      </c>
      <c r="G614" s="26" t="s">
        <v>2922</v>
      </c>
      <c r="H614" s="26" t="s">
        <v>39</v>
      </c>
      <c r="I614" s="26" t="s">
        <v>2966</v>
      </c>
      <c r="J614" s="11" t="str">
        <f>VLOOKUP(K614,'PN Dictionary'!A:B,2,FALSE)</f>
        <v>Cable Cartridge</v>
      </c>
      <c r="K614" s="26" t="s">
        <v>6</v>
      </c>
      <c r="L614" s="26">
        <v>2024025350281</v>
      </c>
      <c r="M614" s="44">
        <v>2024025350267</v>
      </c>
      <c r="N614" s="26" t="s">
        <v>53</v>
      </c>
      <c r="O614" s="26" t="s">
        <v>728</v>
      </c>
      <c r="P614" s="26">
        <v>90066</v>
      </c>
      <c r="Q614" s="26" t="s">
        <v>55</v>
      </c>
    </row>
    <row r="615" spans="1:17" hidden="1" x14ac:dyDescent="0.3">
      <c r="A615" s="26" t="s">
        <v>2967</v>
      </c>
      <c r="B615" s="26" t="s">
        <v>2968</v>
      </c>
      <c r="C615" s="26" t="s">
        <v>50</v>
      </c>
      <c r="D615" s="26" t="s">
        <v>2934</v>
      </c>
      <c r="E615" s="26" t="s">
        <v>230</v>
      </c>
      <c r="G615" s="26" t="s">
        <v>2922</v>
      </c>
      <c r="H615" s="26" t="s">
        <v>39</v>
      </c>
      <c r="I615" s="26" t="s">
        <v>2969</v>
      </c>
      <c r="J615" s="11" t="str">
        <f>VLOOKUP(K615,'PN Dictionary'!A:B,2,FALSE)</f>
        <v>NVSwitch</v>
      </c>
      <c r="K615" s="26" t="s">
        <v>7</v>
      </c>
      <c r="L615" s="26" t="s">
        <v>2970</v>
      </c>
      <c r="M615" s="44" t="s">
        <v>2971</v>
      </c>
      <c r="N615" s="26" t="s">
        <v>53</v>
      </c>
      <c r="O615" s="26" t="s">
        <v>728</v>
      </c>
      <c r="P615" s="26">
        <v>90131</v>
      </c>
      <c r="Q615" s="26" t="s">
        <v>55</v>
      </c>
    </row>
    <row r="616" spans="1:17" hidden="1" x14ac:dyDescent="0.3">
      <c r="A616" s="26" t="s">
        <v>2972</v>
      </c>
      <c r="B616" s="26" t="s">
        <v>2973</v>
      </c>
      <c r="C616" s="26" t="s">
        <v>1309</v>
      </c>
      <c r="D616" s="26" t="s">
        <v>2974</v>
      </c>
      <c r="E616" s="26" t="s">
        <v>128</v>
      </c>
      <c r="G616" s="26" t="s">
        <v>2922</v>
      </c>
      <c r="H616" s="26" t="s">
        <v>39</v>
      </c>
      <c r="I616" s="26" t="s">
        <v>2975</v>
      </c>
      <c r="J616" s="11" t="str">
        <f>VLOOKUP(K616,'PN Dictionary'!A:B,2,FALSE)</f>
        <v>Cable Cartridge</v>
      </c>
      <c r="K616" s="26" t="s">
        <v>6</v>
      </c>
      <c r="L616" s="26">
        <v>1824125354025</v>
      </c>
      <c r="M616" s="44">
        <v>2024225880752</v>
      </c>
      <c r="N616" s="26" t="s">
        <v>53</v>
      </c>
      <c r="O616" s="26" t="s">
        <v>728</v>
      </c>
      <c r="P616" s="26">
        <v>90168</v>
      </c>
      <c r="Q616" s="26" t="s">
        <v>55</v>
      </c>
    </row>
    <row r="617" spans="1:17" hidden="1" x14ac:dyDescent="0.3">
      <c r="A617" s="26" t="s">
        <v>2976</v>
      </c>
      <c r="B617" s="26" t="s">
        <v>2977</v>
      </c>
      <c r="C617" s="26" t="s">
        <v>1309</v>
      </c>
      <c r="D617" s="26" t="s">
        <v>2974</v>
      </c>
      <c r="E617" s="26" t="s">
        <v>81</v>
      </c>
      <c r="G617" s="26" t="s">
        <v>2922</v>
      </c>
      <c r="H617" s="26" t="s">
        <v>39</v>
      </c>
      <c r="I617" s="26" t="s">
        <v>2978</v>
      </c>
      <c r="J617" s="11" t="str">
        <f>VLOOKUP(K617,'PN Dictionary'!A:B,2,FALSE)</f>
        <v>GB300 L10</v>
      </c>
      <c r="K617" s="26" t="s">
        <v>1340</v>
      </c>
      <c r="L617" s="26" t="s">
        <v>3036</v>
      </c>
      <c r="M617" s="44" t="s">
        <v>2979</v>
      </c>
      <c r="N617" s="26" t="s">
        <v>53</v>
      </c>
      <c r="O617" s="26" t="s">
        <v>728</v>
      </c>
      <c r="P617" s="26">
        <v>90168</v>
      </c>
      <c r="Q617" s="26" t="s">
        <v>55</v>
      </c>
    </row>
    <row r="618" spans="1:17" hidden="1" x14ac:dyDescent="0.3">
      <c r="A618" s="26" t="s">
        <v>2980</v>
      </c>
      <c r="B618" s="26" t="s">
        <v>2981</v>
      </c>
      <c r="C618" s="26" t="s">
        <v>50</v>
      </c>
      <c r="D618" s="26" t="s">
        <v>2982</v>
      </c>
      <c r="E618" s="26" t="s">
        <v>242</v>
      </c>
      <c r="G618" s="26" t="s">
        <v>2983</v>
      </c>
      <c r="H618" s="26" t="s">
        <v>39</v>
      </c>
      <c r="I618" s="26" t="s">
        <v>2984</v>
      </c>
      <c r="J618" s="11" t="str">
        <f>VLOOKUP(K618,'PN Dictionary'!A:B,2,FALSE)</f>
        <v>Power Shelf Control Module</v>
      </c>
      <c r="K618" s="26" t="s">
        <v>11</v>
      </c>
      <c r="L618" s="26" t="s">
        <v>2985</v>
      </c>
      <c r="M618" s="44" t="s">
        <v>2986</v>
      </c>
      <c r="N618" s="26" t="s">
        <v>53</v>
      </c>
      <c r="O618" s="26" t="s">
        <v>728</v>
      </c>
      <c r="P618" s="26">
        <v>1519</v>
      </c>
      <c r="Q618" s="26" t="s">
        <v>55</v>
      </c>
    </row>
    <row r="619" spans="1:17" hidden="1" x14ac:dyDescent="0.3">
      <c r="A619" s="26" t="s">
        <v>2987</v>
      </c>
      <c r="B619" s="26" t="s">
        <v>2988</v>
      </c>
      <c r="C619" s="26" t="s">
        <v>50</v>
      </c>
      <c r="D619" s="26" t="s">
        <v>2989</v>
      </c>
      <c r="E619" s="26" t="s">
        <v>2990</v>
      </c>
      <c r="G619" s="26" t="s">
        <v>2983</v>
      </c>
      <c r="H619" s="26" t="s">
        <v>39</v>
      </c>
      <c r="I619" s="26" t="s">
        <v>2991</v>
      </c>
      <c r="J619" s="11" t="str">
        <f>VLOOKUP(K619,'PN Dictionary'!A:B,2,FALSE)</f>
        <v>GB300 L10</v>
      </c>
      <c r="K619" s="26" t="s">
        <v>36</v>
      </c>
      <c r="L619" s="26" t="s">
        <v>3037</v>
      </c>
      <c r="M619" s="44" t="s">
        <v>2992</v>
      </c>
      <c r="N619" s="26" t="s">
        <v>53</v>
      </c>
      <c r="O619" s="26" t="s">
        <v>728</v>
      </c>
      <c r="P619" s="26">
        <v>90131</v>
      </c>
      <c r="Q619" s="26" t="s">
        <v>55</v>
      </c>
    </row>
    <row r="620" spans="1:17" hidden="1" x14ac:dyDescent="0.3">
      <c r="A620" s="26" t="s">
        <v>2993</v>
      </c>
      <c r="B620" s="26" t="s">
        <v>2994</v>
      </c>
      <c r="C620" s="26" t="s">
        <v>50</v>
      </c>
      <c r="D620" s="26" t="s">
        <v>2965</v>
      </c>
      <c r="E620" s="26" t="s">
        <v>761</v>
      </c>
      <c r="G620" s="26" t="s">
        <v>2983</v>
      </c>
      <c r="H620" s="26" t="s">
        <v>39</v>
      </c>
      <c r="I620" s="26" t="s">
        <v>3039</v>
      </c>
      <c r="J620" s="11" t="str">
        <f>VLOOKUP(K620,'PN Dictionary'!A:B,2,FALSE)</f>
        <v>GB300 L10</v>
      </c>
      <c r="K620" s="26" t="s">
        <v>36</v>
      </c>
      <c r="L620" s="42" t="s">
        <v>3038</v>
      </c>
      <c r="M620" s="44" t="s">
        <v>2995</v>
      </c>
      <c r="N620" s="26" t="s">
        <v>53</v>
      </c>
      <c r="O620" s="26" t="s">
        <v>728</v>
      </c>
      <c r="P620" s="26">
        <v>90066</v>
      </c>
      <c r="Q620" s="26" t="s">
        <v>55</v>
      </c>
    </row>
    <row r="621" spans="1:17" hidden="1" x14ac:dyDescent="0.3">
      <c r="A621" s="26" t="s">
        <v>2996</v>
      </c>
      <c r="B621" s="26" t="s">
        <v>2997</v>
      </c>
      <c r="C621" s="26" t="s">
        <v>50</v>
      </c>
      <c r="D621" s="26" t="s">
        <v>2998</v>
      </c>
      <c r="E621" s="26" t="s">
        <v>761</v>
      </c>
      <c r="G621" s="26" t="s">
        <v>2983</v>
      </c>
      <c r="H621" s="26" t="s">
        <v>39</v>
      </c>
      <c r="I621" s="26" t="s">
        <v>3039</v>
      </c>
      <c r="J621" s="11" t="str">
        <f>VLOOKUP(K621,'PN Dictionary'!A:B,2,FALSE)</f>
        <v>GB300 L10</v>
      </c>
      <c r="K621" s="26" t="s">
        <v>36</v>
      </c>
      <c r="L621" s="26" t="s">
        <v>3040</v>
      </c>
      <c r="M621" s="44" t="s">
        <v>2999</v>
      </c>
      <c r="N621" s="26" t="s">
        <v>53</v>
      </c>
      <c r="O621" s="26" t="s">
        <v>728</v>
      </c>
      <c r="P621" s="26">
        <v>90066</v>
      </c>
      <c r="Q621" s="26" t="s">
        <v>55</v>
      </c>
    </row>
    <row r="622" spans="1:17" hidden="1" x14ac:dyDescent="0.3">
      <c r="A622" s="26" t="s">
        <v>3000</v>
      </c>
      <c r="B622" s="26" t="s">
        <v>3001</v>
      </c>
      <c r="C622" s="26" t="s">
        <v>1309</v>
      </c>
      <c r="D622" s="26" t="s">
        <v>3002</v>
      </c>
      <c r="E622" s="26" t="s">
        <v>322</v>
      </c>
      <c r="G622" s="26" t="s">
        <v>2983</v>
      </c>
      <c r="H622" s="26" t="s">
        <v>39</v>
      </c>
      <c r="I622" s="26" t="s">
        <v>1048</v>
      </c>
      <c r="J622" s="11" t="str">
        <f>VLOOKUP(K622,'PN Dictionary'!A:B,2,FALSE)</f>
        <v>GB300 L10</v>
      </c>
      <c r="K622" s="26" t="s">
        <v>1340</v>
      </c>
      <c r="L622" s="26" t="s">
        <v>3041</v>
      </c>
      <c r="M622" s="44" t="s">
        <v>3003</v>
      </c>
      <c r="N622" s="26" t="s">
        <v>53</v>
      </c>
      <c r="O622" s="26" t="s">
        <v>728</v>
      </c>
      <c r="P622" s="26">
        <v>3908</v>
      </c>
      <c r="Q622" s="26" t="s">
        <v>55</v>
      </c>
    </row>
    <row r="623" spans="1:17" hidden="1" x14ac:dyDescent="0.3">
      <c r="A623" s="26" t="s">
        <v>3004</v>
      </c>
      <c r="B623" s="26" t="s">
        <v>3005</v>
      </c>
      <c r="C623" s="26" t="s">
        <v>50</v>
      </c>
      <c r="D623" s="26" t="s">
        <v>2926</v>
      </c>
      <c r="E623" s="26" t="s">
        <v>761</v>
      </c>
      <c r="G623" s="26" t="s">
        <v>2983</v>
      </c>
      <c r="H623" s="26" t="s">
        <v>39</v>
      </c>
      <c r="I623" s="26" t="s">
        <v>3006</v>
      </c>
      <c r="J623" s="11" t="str">
        <f>VLOOKUP(K623,'PN Dictionary'!A:B,2,FALSE)</f>
        <v>GB300 L10</v>
      </c>
      <c r="K623" s="26" t="s">
        <v>36</v>
      </c>
      <c r="L623" s="26" t="s">
        <v>3042</v>
      </c>
      <c r="M623" s="44" t="s">
        <v>3007</v>
      </c>
      <c r="N623" s="26" t="s">
        <v>53</v>
      </c>
      <c r="O623" s="26" t="s">
        <v>728</v>
      </c>
      <c r="P623" s="26">
        <v>3908</v>
      </c>
      <c r="Q623" s="26" t="s">
        <v>55</v>
      </c>
    </row>
    <row r="624" spans="1:17" hidden="1" x14ac:dyDescent="0.3">
      <c r="A624" s="26" t="s">
        <v>3008</v>
      </c>
      <c r="B624" s="26" t="s">
        <v>3009</v>
      </c>
      <c r="C624" s="26" t="s">
        <v>50</v>
      </c>
      <c r="D624" s="26" t="s">
        <v>2998</v>
      </c>
      <c r="E624" s="26" t="s">
        <v>761</v>
      </c>
      <c r="G624" s="26" t="s">
        <v>2983</v>
      </c>
      <c r="H624" s="26" t="s">
        <v>39</v>
      </c>
      <c r="I624" s="26" t="s">
        <v>1190</v>
      </c>
      <c r="J624" s="11" t="str">
        <f>VLOOKUP(K624,'PN Dictionary'!A:B,2,FALSE)</f>
        <v>GB300 L10</v>
      </c>
      <c r="K624" s="26" t="s">
        <v>36</v>
      </c>
      <c r="L624" s="26" t="s">
        <v>2752</v>
      </c>
      <c r="M624" s="44" t="s">
        <v>3010</v>
      </c>
      <c r="N624" s="26" t="s">
        <v>53</v>
      </c>
      <c r="O624" s="26" t="s">
        <v>728</v>
      </c>
      <c r="P624" s="26">
        <v>90066</v>
      </c>
      <c r="Q624" s="26" t="s">
        <v>55</v>
      </c>
    </row>
    <row r="625" spans="1:17" hidden="1" x14ac:dyDescent="0.3">
      <c r="A625" s="26" t="s">
        <v>3011</v>
      </c>
      <c r="B625" s="26" t="s">
        <v>3012</v>
      </c>
      <c r="C625" s="26" t="s">
        <v>50</v>
      </c>
      <c r="D625" s="26" t="s">
        <v>2770</v>
      </c>
      <c r="E625" s="26" t="s">
        <v>761</v>
      </c>
      <c r="G625" s="26" t="s">
        <v>2983</v>
      </c>
      <c r="H625" s="26" t="s">
        <v>39</v>
      </c>
      <c r="I625" s="26" t="s">
        <v>3039</v>
      </c>
      <c r="J625" s="11" t="str">
        <f>VLOOKUP(K625,'PN Dictionary'!A:B,2,FALSE)</f>
        <v>GB300 L10</v>
      </c>
      <c r="K625" s="26" t="s">
        <v>36</v>
      </c>
      <c r="L625" s="26" t="s">
        <v>3043</v>
      </c>
      <c r="M625" s="44" t="s">
        <v>3013</v>
      </c>
      <c r="N625" s="26" t="s">
        <v>53</v>
      </c>
      <c r="O625" s="26" t="s">
        <v>728</v>
      </c>
      <c r="P625" s="26">
        <v>90066</v>
      </c>
      <c r="Q625" s="26" t="s">
        <v>55</v>
      </c>
    </row>
    <row r="626" spans="1:17" hidden="1" x14ac:dyDescent="0.3">
      <c r="A626" s="26" t="s">
        <v>3014</v>
      </c>
      <c r="B626" s="26" t="s">
        <v>3015</v>
      </c>
      <c r="C626" s="26" t="s">
        <v>50</v>
      </c>
      <c r="D626" s="26" t="s">
        <v>2982</v>
      </c>
      <c r="E626" s="26" t="s">
        <v>761</v>
      </c>
      <c r="G626" s="26" t="s">
        <v>2983</v>
      </c>
      <c r="H626" s="26" t="s">
        <v>39</v>
      </c>
      <c r="I626" s="26" t="s">
        <v>1190</v>
      </c>
      <c r="J626" s="11" t="str">
        <f>VLOOKUP(K626,'PN Dictionary'!A:B,2,FALSE)</f>
        <v>GB300 L10</v>
      </c>
      <c r="K626" s="26" t="s">
        <v>36</v>
      </c>
      <c r="L626" s="26" t="s">
        <v>3044</v>
      </c>
      <c r="M626" s="44" t="s">
        <v>3016</v>
      </c>
      <c r="N626" s="26" t="s">
        <v>53</v>
      </c>
      <c r="O626" s="26" t="s">
        <v>728</v>
      </c>
      <c r="P626" s="26">
        <v>90066</v>
      </c>
      <c r="Q626" s="26" t="s">
        <v>55</v>
      </c>
    </row>
    <row r="627" spans="1:17" hidden="1" x14ac:dyDescent="0.3">
      <c r="A627" s="26" t="s">
        <v>3017</v>
      </c>
      <c r="B627" s="26" t="s">
        <v>3018</v>
      </c>
      <c r="C627" s="26" t="s">
        <v>1309</v>
      </c>
      <c r="D627" s="26" t="s">
        <v>3019</v>
      </c>
      <c r="E627" s="26" t="s">
        <v>128</v>
      </c>
      <c r="G627" s="26" t="s">
        <v>3020</v>
      </c>
      <c r="H627" s="26" t="s">
        <v>39</v>
      </c>
      <c r="I627" s="26" t="s">
        <v>2714</v>
      </c>
      <c r="J627" s="11" t="str">
        <f>VLOOKUP(K627,'PN Dictionary'!A:B,2,FALSE)</f>
        <v>Cable Cartridge</v>
      </c>
      <c r="K627" s="26" t="s">
        <v>6</v>
      </c>
      <c r="L627" s="26">
        <v>1824025354398</v>
      </c>
      <c r="M627" s="44">
        <v>2024225881070</v>
      </c>
      <c r="N627" s="26" t="s">
        <v>53</v>
      </c>
      <c r="O627" s="26" t="s">
        <v>728</v>
      </c>
      <c r="P627" s="26">
        <v>1237</v>
      </c>
      <c r="Q627" s="26" t="s">
        <v>55</v>
      </c>
    </row>
    <row r="628" spans="1:17" hidden="1" x14ac:dyDescent="0.3">
      <c r="A628" s="26" t="s">
        <v>3021</v>
      </c>
      <c r="B628" s="26" t="s">
        <v>3022</v>
      </c>
      <c r="C628" s="26" t="s">
        <v>1309</v>
      </c>
      <c r="D628" s="26" t="s">
        <v>3019</v>
      </c>
      <c r="E628" s="26" t="s">
        <v>128</v>
      </c>
      <c r="G628" s="26" t="s">
        <v>3020</v>
      </c>
      <c r="H628" s="26" t="s">
        <v>39</v>
      </c>
      <c r="I628" s="26" t="s">
        <v>2714</v>
      </c>
      <c r="J628" s="11" t="str">
        <f>VLOOKUP(K628,'PN Dictionary'!A:B,2,FALSE)</f>
        <v>Cable Cartridge</v>
      </c>
      <c r="K628" s="26" t="s">
        <v>6</v>
      </c>
      <c r="L628" s="26">
        <v>1823725356361</v>
      </c>
      <c r="M628" s="44">
        <v>2024225881070</v>
      </c>
      <c r="N628" s="26" t="s">
        <v>53</v>
      </c>
      <c r="O628" s="26" t="s">
        <v>728</v>
      </c>
      <c r="P628" s="26">
        <v>1237</v>
      </c>
      <c r="Q628" s="26" t="s">
        <v>55</v>
      </c>
    </row>
    <row r="629" spans="1:17" hidden="1" x14ac:dyDescent="0.3">
      <c r="A629" s="26" t="s">
        <v>3023</v>
      </c>
      <c r="B629" s="26" t="s">
        <v>3024</v>
      </c>
      <c r="C629" s="26" t="s">
        <v>50</v>
      </c>
      <c r="D629" s="26" t="s">
        <v>2734</v>
      </c>
      <c r="E629" s="26" t="s">
        <v>128</v>
      </c>
      <c r="G629" s="26" t="s">
        <v>3020</v>
      </c>
      <c r="H629" s="26" t="s">
        <v>39</v>
      </c>
      <c r="I629" s="26" t="s">
        <v>2714</v>
      </c>
      <c r="J629" s="11" t="str">
        <f>VLOOKUP(K629,'PN Dictionary'!A:B,2,FALSE)</f>
        <v>Cable Cartridge</v>
      </c>
      <c r="K629" s="26" t="s">
        <v>6</v>
      </c>
      <c r="L629" s="26">
        <v>1823725356361</v>
      </c>
      <c r="M629" s="44">
        <v>2024225881077</v>
      </c>
      <c r="N629" s="26" t="s">
        <v>53</v>
      </c>
      <c r="O629" s="26" t="s">
        <v>728</v>
      </c>
      <c r="P629" s="26">
        <v>1237</v>
      </c>
      <c r="Q629" s="26" t="s">
        <v>55</v>
      </c>
    </row>
    <row r="630" spans="1:17" hidden="1" x14ac:dyDescent="0.3">
      <c r="A630" s="26" t="s">
        <v>3025</v>
      </c>
      <c r="B630" s="26" t="s">
        <v>3026</v>
      </c>
      <c r="C630" s="26" t="s">
        <v>50</v>
      </c>
      <c r="D630" s="26" t="s">
        <v>2830</v>
      </c>
      <c r="E630" s="26" t="s">
        <v>52</v>
      </c>
      <c r="G630" s="26" t="s">
        <v>3020</v>
      </c>
      <c r="H630" s="26" t="s">
        <v>39</v>
      </c>
      <c r="I630" s="26" t="s">
        <v>3027</v>
      </c>
      <c r="J630" s="11" t="str">
        <f>VLOOKUP(K630,'PN Dictionary'!A:B,2,FALSE)</f>
        <v>GB300 L10</v>
      </c>
      <c r="K630" s="26" t="s">
        <v>36</v>
      </c>
      <c r="L630" s="26" t="s">
        <v>3045</v>
      </c>
      <c r="M630" s="44" t="s">
        <v>3028</v>
      </c>
      <c r="N630" s="26" t="s">
        <v>53</v>
      </c>
      <c r="O630" s="26" t="s">
        <v>728</v>
      </c>
      <c r="P630" s="26">
        <v>718</v>
      </c>
      <c r="Q630" s="26" t="s">
        <v>55</v>
      </c>
    </row>
    <row r="631" spans="1:17" hidden="1" x14ac:dyDescent="0.3">
      <c r="A631" s="26" t="s">
        <v>3029</v>
      </c>
      <c r="B631" s="26" t="s">
        <v>3030</v>
      </c>
      <c r="C631" s="26" t="s">
        <v>50</v>
      </c>
      <c r="D631" s="26" t="s">
        <v>2926</v>
      </c>
      <c r="E631" s="26" t="s">
        <v>761</v>
      </c>
      <c r="G631" s="26" t="s">
        <v>3020</v>
      </c>
      <c r="H631" s="26" t="s">
        <v>39</v>
      </c>
      <c r="I631" s="26" t="s">
        <v>3031</v>
      </c>
      <c r="J631" s="11" t="str">
        <f>VLOOKUP(K631,'PN Dictionary'!A:B,2,FALSE)</f>
        <v>GB300 L10</v>
      </c>
      <c r="K631" s="26" t="s">
        <v>36</v>
      </c>
      <c r="L631" s="26" t="s">
        <v>3046</v>
      </c>
      <c r="M631" s="44" t="s">
        <v>3032</v>
      </c>
      <c r="N631" s="26" t="s">
        <v>53</v>
      </c>
      <c r="O631" s="26" t="s">
        <v>728</v>
      </c>
      <c r="P631" s="26">
        <v>90131</v>
      </c>
      <c r="Q631" s="26" t="s">
        <v>55</v>
      </c>
    </row>
    <row r="632" spans="1:17" hidden="1" x14ac:dyDescent="0.3">
      <c r="A632" s="26" t="s">
        <v>3033</v>
      </c>
      <c r="B632" s="26" t="s">
        <v>3034</v>
      </c>
      <c r="C632" s="26" t="s">
        <v>50</v>
      </c>
      <c r="D632" s="26" t="s">
        <v>2926</v>
      </c>
      <c r="E632" s="26" t="s">
        <v>87</v>
      </c>
      <c r="G632" s="26" t="s">
        <v>3020</v>
      </c>
      <c r="H632" s="26" t="s">
        <v>39</v>
      </c>
      <c r="I632" s="26" t="s">
        <v>990</v>
      </c>
      <c r="J632" s="11" t="str">
        <f>VLOOKUP(K632,'PN Dictionary'!A:B,2,FALSE)</f>
        <v>GB300 L10</v>
      </c>
      <c r="K632" s="26" t="s">
        <v>36</v>
      </c>
      <c r="L632" s="26" t="s">
        <v>3047</v>
      </c>
      <c r="M632" s="44" t="s">
        <v>3035</v>
      </c>
      <c r="N632" s="26" t="s">
        <v>53</v>
      </c>
      <c r="O632" s="26" t="s">
        <v>728</v>
      </c>
      <c r="P632" s="26">
        <v>90131</v>
      </c>
      <c r="Q632" s="26" t="s">
        <v>55</v>
      </c>
    </row>
    <row r="633" spans="1:17" hidden="1" x14ac:dyDescent="0.3">
      <c r="A633" s="26" t="s">
        <v>3048</v>
      </c>
      <c r="B633" s="26" t="s">
        <v>3049</v>
      </c>
      <c r="C633" s="26" t="s">
        <v>50</v>
      </c>
      <c r="D633" s="26" t="s">
        <v>2926</v>
      </c>
      <c r="E633" s="26" t="s">
        <v>87</v>
      </c>
      <c r="G633" s="26" t="s">
        <v>3020</v>
      </c>
      <c r="H633" s="26" t="s">
        <v>39</v>
      </c>
      <c r="I633" s="26" t="s">
        <v>990</v>
      </c>
      <c r="J633" s="11" t="str">
        <f>VLOOKUP(K633,'PN Dictionary'!A:B,2,FALSE)</f>
        <v>GB300 L10</v>
      </c>
      <c r="K633" s="26" t="s">
        <v>36</v>
      </c>
      <c r="L633" s="26" t="s">
        <v>3106</v>
      </c>
      <c r="M633" s="44" t="s">
        <v>3050</v>
      </c>
      <c r="N633" s="26" t="s">
        <v>53</v>
      </c>
      <c r="O633" s="26" t="s">
        <v>728</v>
      </c>
      <c r="P633" s="26">
        <v>90131</v>
      </c>
      <c r="Q633" s="26" t="s">
        <v>55</v>
      </c>
    </row>
    <row r="634" spans="1:17" hidden="1" x14ac:dyDescent="0.3">
      <c r="A634" s="26" t="s">
        <v>3051</v>
      </c>
      <c r="B634" s="26" t="s">
        <v>3052</v>
      </c>
      <c r="C634" s="26" t="s">
        <v>50</v>
      </c>
      <c r="D634" s="26" t="s">
        <v>2830</v>
      </c>
      <c r="E634" s="26" t="s">
        <v>761</v>
      </c>
      <c r="G634" s="26" t="s">
        <v>3020</v>
      </c>
      <c r="H634" s="26" t="s">
        <v>39</v>
      </c>
      <c r="I634" s="26" t="s">
        <v>375</v>
      </c>
      <c r="J634" s="11" t="str">
        <f>VLOOKUP(K634,'PN Dictionary'!A:B,2,FALSE)</f>
        <v>GB300 L10</v>
      </c>
      <c r="K634" s="26" t="s">
        <v>36</v>
      </c>
      <c r="L634" s="26" t="s">
        <v>3107</v>
      </c>
      <c r="M634" s="44" t="s">
        <v>3053</v>
      </c>
      <c r="N634" s="26" t="s">
        <v>53</v>
      </c>
      <c r="O634" s="26" t="s">
        <v>728</v>
      </c>
      <c r="P634" s="26">
        <v>90131</v>
      </c>
      <c r="Q634" s="26" t="s">
        <v>55</v>
      </c>
    </row>
    <row r="635" spans="1:17" hidden="1" x14ac:dyDescent="0.3">
      <c r="A635" s="26" t="s">
        <v>3054</v>
      </c>
      <c r="B635" s="26" t="s">
        <v>3055</v>
      </c>
      <c r="C635" s="26" t="s">
        <v>50</v>
      </c>
      <c r="D635" s="26" t="s">
        <v>2826</v>
      </c>
      <c r="E635" s="26" t="s">
        <v>128</v>
      </c>
      <c r="G635" s="26" t="s">
        <v>3020</v>
      </c>
      <c r="H635" s="26" t="s">
        <v>39</v>
      </c>
      <c r="I635" s="26" t="s">
        <v>2010</v>
      </c>
      <c r="J635" s="11" t="str">
        <f>VLOOKUP(K635,'PN Dictionary'!A:B,2,FALSE)</f>
        <v>Cable Cartridge</v>
      </c>
      <c r="K635" s="26" t="s">
        <v>6</v>
      </c>
      <c r="L635" s="26">
        <v>2024025350463</v>
      </c>
      <c r="M635" s="44">
        <v>2024025350255</v>
      </c>
      <c r="N635" s="26" t="s">
        <v>53</v>
      </c>
      <c r="O635" s="26" t="s">
        <v>728</v>
      </c>
      <c r="P635" s="26">
        <v>90066</v>
      </c>
      <c r="Q635" s="26" t="s">
        <v>55</v>
      </c>
    </row>
    <row r="636" spans="1:17" hidden="1" x14ac:dyDescent="0.3">
      <c r="A636" s="26" t="s">
        <v>3056</v>
      </c>
      <c r="B636" s="26" t="s">
        <v>3057</v>
      </c>
      <c r="C636" s="26" t="s">
        <v>50</v>
      </c>
      <c r="D636" s="26" t="s">
        <v>2926</v>
      </c>
      <c r="E636" s="26" t="s">
        <v>322</v>
      </c>
      <c r="G636" s="26" t="s">
        <v>3020</v>
      </c>
      <c r="H636" s="26" t="s">
        <v>39</v>
      </c>
      <c r="I636" s="26" t="s">
        <v>1900</v>
      </c>
      <c r="J636" s="11" t="str">
        <f>VLOOKUP(K636,'PN Dictionary'!A:B,2,FALSE)</f>
        <v>GB300 L10</v>
      </c>
      <c r="K636" s="26" t="s">
        <v>36</v>
      </c>
      <c r="L636" s="26" t="s">
        <v>3108</v>
      </c>
      <c r="M636" s="44" t="s">
        <v>3058</v>
      </c>
      <c r="N636" s="26" t="s">
        <v>53</v>
      </c>
      <c r="O636" s="26" t="s">
        <v>728</v>
      </c>
      <c r="P636" s="26">
        <v>90131</v>
      </c>
      <c r="Q636" s="26" t="s">
        <v>55</v>
      </c>
    </row>
    <row r="637" spans="1:17" hidden="1" x14ac:dyDescent="0.3">
      <c r="A637" s="26" t="s">
        <v>3059</v>
      </c>
      <c r="B637" s="26" t="s">
        <v>3060</v>
      </c>
      <c r="C637" s="26" t="s">
        <v>1309</v>
      </c>
      <c r="D637" s="26" t="s">
        <v>3061</v>
      </c>
      <c r="E637" s="26" t="s">
        <v>761</v>
      </c>
      <c r="G637" s="26" t="s">
        <v>3020</v>
      </c>
      <c r="H637" s="26" t="s">
        <v>39</v>
      </c>
      <c r="I637" s="26" t="s">
        <v>1190</v>
      </c>
      <c r="J637" s="11" t="str">
        <f>VLOOKUP(K637,'PN Dictionary'!A:B,2,FALSE)</f>
        <v>GB300 L10</v>
      </c>
      <c r="K637" s="26" t="s">
        <v>1340</v>
      </c>
      <c r="L637" s="26" t="s">
        <v>3109</v>
      </c>
      <c r="M637" s="44" t="s">
        <v>3062</v>
      </c>
      <c r="N637" s="26" t="s">
        <v>53</v>
      </c>
      <c r="O637" s="26" t="s">
        <v>728</v>
      </c>
      <c r="P637" s="26">
        <v>90066</v>
      </c>
      <c r="Q637" s="26" t="s">
        <v>55</v>
      </c>
    </row>
    <row r="638" spans="1:17" hidden="1" x14ac:dyDescent="0.3">
      <c r="A638" s="26" t="s">
        <v>3063</v>
      </c>
      <c r="B638" s="26" t="s">
        <v>3064</v>
      </c>
      <c r="C638" s="26" t="s">
        <v>50</v>
      </c>
      <c r="D638" s="26" t="s">
        <v>2830</v>
      </c>
      <c r="E638" s="26" t="s">
        <v>81</v>
      </c>
      <c r="G638" s="26" t="s">
        <v>3020</v>
      </c>
      <c r="H638" s="26" t="s">
        <v>39</v>
      </c>
      <c r="I638" s="26" t="s">
        <v>3065</v>
      </c>
      <c r="J638" s="11" t="str">
        <f>VLOOKUP(K638,'PN Dictionary'!A:B,2,FALSE)</f>
        <v>GB300 L10</v>
      </c>
      <c r="K638" s="26" t="s">
        <v>36</v>
      </c>
      <c r="L638" s="26" t="s">
        <v>3110</v>
      </c>
      <c r="M638" s="44" t="s">
        <v>3066</v>
      </c>
      <c r="N638" s="26" t="s">
        <v>53</v>
      </c>
      <c r="O638" s="26" t="s">
        <v>728</v>
      </c>
      <c r="P638" s="26">
        <v>90131</v>
      </c>
      <c r="Q638" s="26" t="s">
        <v>55</v>
      </c>
    </row>
    <row r="639" spans="1:17" hidden="1" x14ac:dyDescent="0.3">
      <c r="A639" s="26" t="s">
        <v>3067</v>
      </c>
      <c r="B639" s="26" t="s">
        <v>3068</v>
      </c>
      <c r="C639" s="26" t="s">
        <v>50</v>
      </c>
      <c r="D639" s="26" t="s">
        <v>3069</v>
      </c>
      <c r="E639" s="26" t="s">
        <v>411</v>
      </c>
      <c r="G639" s="26" t="s">
        <v>3020</v>
      </c>
      <c r="H639" s="26" t="s">
        <v>39</v>
      </c>
      <c r="I639" s="26" t="s">
        <v>3070</v>
      </c>
      <c r="J639" s="11" t="str">
        <f>VLOOKUP(K639,'PN Dictionary'!A:B,2,FALSE)</f>
        <v>NVSwitch</v>
      </c>
      <c r="K639" s="26" t="s">
        <v>7</v>
      </c>
      <c r="L639" s="26" t="s">
        <v>3071</v>
      </c>
      <c r="M639" s="44" t="s">
        <v>3072</v>
      </c>
      <c r="N639" s="26" t="s">
        <v>53</v>
      </c>
      <c r="O639" s="26" t="s">
        <v>728</v>
      </c>
      <c r="P639" s="26">
        <v>90066</v>
      </c>
      <c r="Q639" s="26" t="s">
        <v>55</v>
      </c>
    </row>
    <row r="640" spans="1:17" hidden="1" x14ac:dyDescent="0.3">
      <c r="A640" s="26" t="s">
        <v>3073</v>
      </c>
      <c r="B640" s="26" t="s">
        <v>3074</v>
      </c>
      <c r="C640" s="26" t="s">
        <v>1309</v>
      </c>
      <c r="D640" s="26" t="s">
        <v>3075</v>
      </c>
      <c r="E640" s="26" t="s">
        <v>761</v>
      </c>
      <c r="G640" s="26" t="s">
        <v>3020</v>
      </c>
      <c r="H640" s="26" t="s">
        <v>39</v>
      </c>
      <c r="I640" s="26" t="s">
        <v>1190</v>
      </c>
      <c r="J640" s="11" t="str">
        <f>VLOOKUP(K640,'PN Dictionary'!A:B,2,FALSE)</f>
        <v>GB300 L10</v>
      </c>
      <c r="K640" s="26" t="s">
        <v>1340</v>
      </c>
      <c r="L640" s="26" t="s">
        <v>3111</v>
      </c>
      <c r="M640" s="44" t="s">
        <v>3076</v>
      </c>
      <c r="N640" s="26" t="s">
        <v>53</v>
      </c>
      <c r="O640" s="26" t="s">
        <v>728</v>
      </c>
      <c r="P640" s="26">
        <v>90066</v>
      </c>
      <c r="Q640" s="26" t="s">
        <v>55</v>
      </c>
    </row>
    <row r="641" spans="1:17" hidden="1" x14ac:dyDescent="0.3">
      <c r="A641" s="26" t="s">
        <v>3077</v>
      </c>
      <c r="B641" s="26" t="s">
        <v>3078</v>
      </c>
      <c r="C641" s="26" t="s">
        <v>50</v>
      </c>
      <c r="D641" s="26" t="s">
        <v>2734</v>
      </c>
      <c r="E641" s="26" t="s">
        <v>761</v>
      </c>
      <c r="G641" s="26" t="s">
        <v>3079</v>
      </c>
      <c r="H641" s="26" t="s">
        <v>39</v>
      </c>
      <c r="I641" s="26" t="s">
        <v>3080</v>
      </c>
      <c r="J641" s="11" t="str">
        <f>VLOOKUP(K641,'PN Dictionary'!A:B,2,FALSE)</f>
        <v>GB300 L10</v>
      </c>
      <c r="K641" s="26" t="s">
        <v>36</v>
      </c>
      <c r="L641" s="26" t="s">
        <v>3112</v>
      </c>
      <c r="M641" s="44" t="s">
        <v>3081</v>
      </c>
      <c r="N641" s="26" t="s">
        <v>53</v>
      </c>
      <c r="O641" s="26" t="s">
        <v>728</v>
      </c>
      <c r="P641" s="26">
        <v>3908</v>
      </c>
      <c r="Q641" s="26" t="s">
        <v>55</v>
      </c>
    </row>
    <row r="642" spans="1:17" hidden="1" x14ac:dyDescent="0.3">
      <c r="A642" s="26" t="s">
        <v>3082</v>
      </c>
      <c r="B642" s="26" t="s">
        <v>3083</v>
      </c>
      <c r="C642" s="26" t="s">
        <v>1309</v>
      </c>
      <c r="D642" s="26" t="s">
        <v>3084</v>
      </c>
      <c r="E642" s="26" t="s">
        <v>117</v>
      </c>
      <c r="G642" s="26" t="s">
        <v>3079</v>
      </c>
      <c r="H642" s="26" t="s">
        <v>39</v>
      </c>
      <c r="I642" s="26" t="s">
        <v>3085</v>
      </c>
      <c r="J642" s="11" t="str">
        <f>VLOOKUP(K642,'PN Dictionary'!A:B,2,FALSE)</f>
        <v>GB300 L10</v>
      </c>
      <c r="K642" s="26" t="s">
        <v>1340</v>
      </c>
      <c r="L642" s="26" t="s">
        <v>3113</v>
      </c>
      <c r="M642" s="44" t="s">
        <v>3086</v>
      </c>
      <c r="N642" s="26" t="s">
        <v>53</v>
      </c>
      <c r="O642" s="26" t="s">
        <v>728</v>
      </c>
      <c r="P642" s="26">
        <v>718</v>
      </c>
      <c r="Q642" s="26" t="s">
        <v>55</v>
      </c>
    </row>
    <row r="643" spans="1:17" hidden="1" x14ac:dyDescent="0.3">
      <c r="A643" s="26" t="s">
        <v>3087</v>
      </c>
      <c r="B643" s="26" t="s">
        <v>3088</v>
      </c>
      <c r="C643" s="26" t="s">
        <v>50</v>
      </c>
      <c r="D643" s="26" t="s">
        <v>2683</v>
      </c>
      <c r="E643" s="26" t="s">
        <v>128</v>
      </c>
      <c r="G643" s="26" t="s">
        <v>3079</v>
      </c>
      <c r="H643" s="26" t="s">
        <v>39</v>
      </c>
      <c r="I643" s="26" t="s">
        <v>3089</v>
      </c>
      <c r="J643" s="11" t="str">
        <f>VLOOKUP(K643,'PN Dictionary'!A:B,2,FALSE)</f>
        <v>Cable Cartridge</v>
      </c>
      <c r="K643" s="26" t="s">
        <v>6</v>
      </c>
      <c r="L643" s="26">
        <v>1823725356323</v>
      </c>
      <c r="M643" s="44">
        <v>2024225880927</v>
      </c>
      <c r="N643" s="26" t="s">
        <v>53</v>
      </c>
      <c r="O643" s="26" t="s">
        <v>728</v>
      </c>
      <c r="P643" s="26">
        <v>640</v>
      </c>
      <c r="Q643" s="26" t="s">
        <v>55</v>
      </c>
    </row>
    <row r="644" spans="1:17" hidden="1" x14ac:dyDescent="0.3">
      <c r="A644" s="26" t="s">
        <v>3090</v>
      </c>
      <c r="B644" s="26" t="s">
        <v>3091</v>
      </c>
      <c r="C644" s="26" t="s">
        <v>1309</v>
      </c>
      <c r="D644" s="26" t="s">
        <v>3092</v>
      </c>
      <c r="E644" s="26" t="s">
        <v>230</v>
      </c>
      <c r="G644" s="26" t="s">
        <v>3079</v>
      </c>
      <c r="H644" s="26" t="s">
        <v>39</v>
      </c>
      <c r="I644" s="26" t="s">
        <v>3093</v>
      </c>
      <c r="J644" s="11" t="str">
        <f>VLOOKUP(K644,'PN Dictionary'!A:B,2,FALSE)</f>
        <v>NVSwitch</v>
      </c>
      <c r="K644" s="26" t="s">
        <v>7</v>
      </c>
      <c r="L644" s="26" t="s">
        <v>3094</v>
      </c>
      <c r="M644" s="44" t="s">
        <v>3095</v>
      </c>
      <c r="N644" s="26" t="s">
        <v>53</v>
      </c>
      <c r="O644" s="26" t="s">
        <v>728</v>
      </c>
      <c r="P644" s="26">
        <v>640</v>
      </c>
      <c r="Q644" s="26" t="s">
        <v>55</v>
      </c>
    </row>
    <row r="645" spans="1:17" hidden="1" x14ac:dyDescent="0.3">
      <c r="A645" s="26" t="s">
        <v>3096</v>
      </c>
      <c r="B645" s="26" t="s">
        <v>3097</v>
      </c>
      <c r="C645" s="26" t="s">
        <v>1309</v>
      </c>
      <c r="D645" s="26" t="s">
        <v>3098</v>
      </c>
      <c r="E645" s="26" t="s">
        <v>3099</v>
      </c>
      <c r="G645" s="26" t="s">
        <v>3079</v>
      </c>
      <c r="H645" s="26" t="s">
        <v>39</v>
      </c>
      <c r="I645" s="26" t="s">
        <v>3100</v>
      </c>
      <c r="J645" s="11" t="str">
        <f>VLOOKUP(K645,'PN Dictionary'!A:B,2,FALSE)</f>
        <v>GB300 L10</v>
      </c>
      <c r="K645" s="26" t="s">
        <v>1340</v>
      </c>
      <c r="L645" s="26" t="s">
        <v>3114</v>
      </c>
      <c r="M645" s="44" t="s">
        <v>3101</v>
      </c>
      <c r="N645" s="26" t="s">
        <v>53</v>
      </c>
      <c r="O645" s="26" t="s">
        <v>728</v>
      </c>
      <c r="P645" s="26">
        <v>640</v>
      </c>
      <c r="Q645" s="26" t="s">
        <v>55</v>
      </c>
    </row>
    <row r="646" spans="1:17" hidden="1" x14ac:dyDescent="0.3">
      <c r="A646" s="26" t="s">
        <v>3102</v>
      </c>
      <c r="B646" s="26" t="s">
        <v>3103</v>
      </c>
      <c r="C646" s="26" t="s">
        <v>50</v>
      </c>
      <c r="D646" s="26" t="s">
        <v>2683</v>
      </c>
      <c r="E646" s="26" t="s">
        <v>128</v>
      </c>
      <c r="G646" s="26" t="s">
        <v>3079</v>
      </c>
      <c r="H646" s="26" t="s">
        <v>39</v>
      </c>
      <c r="I646" s="26" t="s">
        <v>205</v>
      </c>
      <c r="J646" s="11" t="str">
        <f>VLOOKUP(K646,'PN Dictionary'!A:B,2,FALSE)</f>
        <v>Cable Cartridge</v>
      </c>
      <c r="K646" s="26" t="s">
        <v>6</v>
      </c>
      <c r="L646" s="26">
        <v>2024025350070</v>
      </c>
      <c r="M646" s="44">
        <v>1822725186515</v>
      </c>
      <c r="N646" s="26" t="s">
        <v>53</v>
      </c>
      <c r="O646" s="26" t="s">
        <v>728</v>
      </c>
      <c r="P646" s="26">
        <v>640</v>
      </c>
      <c r="Q646" s="26" t="s">
        <v>55</v>
      </c>
    </row>
    <row r="647" spans="1:17" hidden="1" x14ac:dyDescent="0.3">
      <c r="A647" s="26" t="s">
        <v>3104</v>
      </c>
      <c r="B647" s="26" t="s">
        <v>3105</v>
      </c>
      <c r="C647" s="26" t="s">
        <v>1309</v>
      </c>
      <c r="D647" s="26" t="s">
        <v>3084</v>
      </c>
      <c r="E647" s="26" t="s">
        <v>128</v>
      </c>
      <c r="G647" s="26" t="s">
        <v>3079</v>
      </c>
      <c r="H647" s="26" t="s">
        <v>39</v>
      </c>
      <c r="I647" s="26" t="s">
        <v>205</v>
      </c>
      <c r="J647" s="11" t="str">
        <f>VLOOKUP(K647,'PN Dictionary'!A:B,2,FALSE)</f>
        <v>Cable Cartridge</v>
      </c>
      <c r="K647" s="26" t="s">
        <v>6</v>
      </c>
      <c r="L647" s="26">
        <v>2024025350042</v>
      </c>
      <c r="M647" s="44">
        <v>1822725186525</v>
      </c>
      <c r="N647" s="26" t="s">
        <v>53</v>
      </c>
      <c r="O647" s="26" t="s">
        <v>728</v>
      </c>
      <c r="P647" s="26">
        <v>640</v>
      </c>
      <c r="Q647" s="26" t="s">
        <v>55</v>
      </c>
    </row>
    <row r="648" spans="1:17" hidden="1" x14ac:dyDescent="0.3">
      <c r="A648" s="26" t="s">
        <v>3115</v>
      </c>
      <c r="B648" s="26" t="s">
        <v>3116</v>
      </c>
      <c r="C648" s="26" t="s">
        <v>1309</v>
      </c>
      <c r="D648" s="26" t="s">
        <v>3092</v>
      </c>
      <c r="E648" s="26" t="s">
        <v>761</v>
      </c>
      <c r="G648" s="26" t="s">
        <v>3079</v>
      </c>
      <c r="H648" s="26" t="s">
        <v>39</v>
      </c>
      <c r="I648" s="26" t="s">
        <v>878</v>
      </c>
      <c r="J648" s="11" t="str">
        <f>VLOOKUP(K648,'PN Dictionary'!A:B,2,FALSE)</f>
        <v>GB300 L10</v>
      </c>
      <c r="K648" s="26" t="s">
        <v>1340</v>
      </c>
      <c r="L648" s="26" t="s">
        <v>3117</v>
      </c>
      <c r="M648" s="44" t="s">
        <v>3118</v>
      </c>
      <c r="N648" s="26" t="s">
        <v>53</v>
      </c>
      <c r="O648" s="26" t="s">
        <v>728</v>
      </c>
      <c r="P648" s="26">
        <v>90131</v>
      </c>
      <c r="Q648" s="26" t="s">
        <v>55</v>
      </c>
    </row>
    <row r="649" spans="1:17" hidden="1" x14ac:dyDescent="0.3">
      <c r="A649" s="26" t="s">
        <v>3119</v>
      </c>
      <c r="B649" s="26" t="s">
        <v>3120</v>
      </c>
      <c r="C649" s="26" t="s">
        <v>1309</v>
      </c>
      <c r="D649" s="26" t="s">
        <v>3121</v>
      </c>
      <c r="E649" s="26" t="s">
        <v>3122</v>
      </c>
      <c r="G649" s="26" t="s">
        <v>3079</v>
      </c>
      <c r="H649" s="26" t="s">
        <v>39</v>
      </c>
      <c r="I649" s="26" t="s">
        <v>3123</v>
      </c>
      <c r="J649" s="11" t="str">
        <f>VLOOKUP(K649,'PN Dictionary'!A:B,2,FALSE)</f>
        <v>Cable Cartridge</v>
      </c>
      <c r="K649" s="26" t="s">
        <v>6</v>
      </c>
      <c r="L649" s="26">
        <v>2024025350107</v>
      </c>
      <c r="M649" s="44">
        <v>2024025350536</v>
      </c>
      <c r="N649" s="26" t="s">
        <v>53</v>
      </c>
      <c r="O649" s="26" t="s">
        <v>728</v>
      </c>
      <c r="P649" s="26">
        <v>90160</v>
      </c>
      <c r="Q649" s="26" t="s">
        <v>55</v>
      </c>
    </row>
    <row r="650" spans="1:17" hidden="1" x14ac:dyDescent="0.3">
      <c r="A650" s="26" t="s">
        <v>3124</v>
      </c>
      <c r="B650" s="26" t="s">
        <v>3125</v>
      </c>
      <c r="C650" s="26" t="s">
        <v>50</v>
      </c>
      <c r="D650" s="26" t="s">
        <v>3126</v>
      </c>
      <c r="E650" s="26" t="s">
        <v>761</v>
      </c>
      <c r="G650" s="26" t="s">
        <v>3079</v>
      </c>
      <c r="H650" s="26" t="s">
        <v>39</v>
      </c>
      <c r="I650" s="26" t="s">
        <v>1190</v>
      </c>
      <c r="J650" s="11" t="str">
        <f>VLOOKUP(K650,'PN Dictionary'!A:B,2,FALSE)</f>
        <v>GB300 L10</v>
      </c>
      <c r="K650" s="26" t="s">
        <v>36</v>
      </c>
      <c r="L650" s="26" t="s">
        <v>3127</v>
      </c>
      <c r="M650" s="44" t="s">
        <v>2582</v>
      </c>
      <c r="N650" s="26" t="s">
        <v>53</v>
      </c>
      <c r="O650" s="26" t="s">
        <v>728</v>
      </c>
      <c r="P650" s="26">
        <v>90066</v>
      </c>
      <c r="Q650" s="26" t="s">
        <v>55</v>
      </c>
    </row>
    <row r="651" spans="1:17" hidden="1" x14ac:dyDescent="0.3">
      <c r="A651" s="26" t="s">
        <v>3128</v>
      </c>
      <c r="B651" s="26" t="s">
        <v>3129</v>
      </c>
      <c r="C651" s="26" t="s">
        <v>1309</v>
      </c>
      <c r="D651" s="26" t="s">
        <v>3130</v>
      </c>
      <c r="E651" s="26" t="s">
        <v>761</v>
      </c>
      <c r="G651" s="26" t="s">
        <v>3131</v>
      </c>
      <c r="H651" s="26" t="s">
        <v>39</v>
      </c>
      <c r="I651" s="26" t="s">
        <v>928</v>
      </c>
      <c r="J651" s="11" t="str">
        <f>VLOOKUP(K651,'PN Dictionary'!A:B,2,FALSE)</f>
        <v>GB300 L10</v>
      </c>
      <c r="K651" s="26" t="s">
        <v>1340</v>
      </c>
      <c r="L651" s="26" t="s">
        <v>3132</v>
      </c>
      <c r="M651" s="44" t="s">
        <v>3133</v>
      </c>
      <c r="N651" s="26" t="s">
        <v>53</v>
      </c>
      <c r="O651" s="26" t="s">
        <v>728</v>
      </c>
      <c r="P651" s="26">
        <v>90131</v>
      </c>
      <c r="Q651" s="26" t="s">
        <v>55</v>
      </c>
    </row>
    <row r="652" spans="1:17" hidden="1" x14ac:dyDescent="0.3">
      <c r="A652" s="26" t="s">
        <v>3134</v>
      </c>
      <c r="B652" s="26" t="s">
        <v>3135</v>
      </c>
      <c r="C652" s="26" t="s">
        <v>1309</v>
      </c>
      <c r="D652" s="26" t="s">
        <v>3130</v>
      </c>
      <c r="E652" s="26" t="s">
        <v>761</v>
      </c>
      <c r="G652" s="26" t="s">
        <v>3131</v>
      </c>
      <c r="H652" s="26" t="s">
        <v>39</v>
      </c>
      <c r="I652" s="26" t="s">
        <v>928</v>
      </c>
      <c r="J652" s="11" t="str">
        <f>VLOOKUP(K652,'PN Dictionary'!A:B,2,FALSE)</f>
        <v>GB300 L10</v>
      </c>
      <c r="K652" s="26" t="s">
        <v>1340</v>
      </c>
      <c r="L652" s="26" t="s">
        <v>2193</v>
      </c>
      <c r="M652" s="44" t="s">
        <v>3136</v>
      </c>
      <c r="N652" s="26" t="s">
        <v>53</v>
      </c>
      <c r="O652" s="26" t="s">
        <v>728</v>
      </c>
      <c r="P652" s="26">
        <v>90131</v>
      </c>
      <c r="Q652" s="26" t="s">
        <v>55</v>
      </c>
    </row>
    <row r="653" spans="1:17" hidden="1" x14ac:dyDescent="0.3">
      <c r="A653" s="26" t="s">
        <v>3137</v>
      </c>
      <c r="B653" s="26" t="s">
        <v>3138</v>
      </c>
      <c r="C653" s="26" t="s">
        <v>50</v>
      </c>
      <c r="D653" s="26" t="s">
        <v>2522</v>
      </c>
      <c r="E653" s="26" t="s">
        <v>128</v>
      </c>
      <c r="G653" s="26" t="s">
        <v>3131</v>
      </c>
      <c r="H653" s="26" t="s">
        <v>39</v>
      </c>
      <c r="I653" s="26" t="s">
        <v>205</v>
      </c>
      <c r="J653" s="11" t="str">
        <f>VLOOKUP(K653,'PN Dictionary'!A:B,2,FALSE)</f>
        <v>Cable Cartridge</v>
      </c>
      <c r="K653" s="26" t="s">
        <v>6</v>
      </c>
      <c r="L653" s="26">
        <v>2024225881118</v>
      </c>
      <c r="M653" s="44">
        <v>1822725186466</v>
      </c>
      <c r="N653" s="26" t="s">
        <v>53</v>
      </c>
      <c r="O653" s="26" t="s">
        <v>728</v>
      </c>
      <c r="P653" s="26">
        <v>640</v>
      </c>
      <c r="Q653" s="26" t="s">
        <v>55</v>
      </c>
    </row>
    <row r="654" spans="1:17" hidden="1" x14ac:dyDescent="0.3">
      <c r="A654" s="26" t="s">
        <v>3139</v>
      </c>
      <c r="B654" s="26" t="s">
        <v>3138</v>
      </c>
      <c r="C654" s="26" t="s">
        <v>50</v>
      </c>
      <c r="D654" s="26" t="s">
        <v>2522</v>
      </c>
      <c r="E654" s="26" t="s">
        <v>128</v>
      </c>
      <c r="G654" s="26" t="s">
        <v>3131</v>
      </c>
      <c r="H654" s="26" t="s">
        <v>39</v>
      </c>
      <c r="I654" s="26" t="s">
        <v>205</v>
      </c>
      <c r="J654" s="11" t="str">
        <f>VLOOKUP(K654,'PN Dictionary'!A:B,2,FALSE)</f>
        <v>Cable Cartridge</v>
      </c>
      <c r="K654" s="26" t="s">
        <v>6</v>
      </c>
      <c r="L654" s="26">
        <v>2024225880908</v>
      </c>
      <c r="M654" s="44">
        <v>1822725186520</v>
      </c>
      <c r="N654" s="26" t="s">
        <v>53</v>
      </c>
      <c r="O654" s="26" t="s">
        <v>728</v>
      </c>
      <c r="P654" s="26">
        <v>640</v>
      </c>
      <c r="Q654" s="26" t="s">
        <v>55</v>
      </c>
    </row>
    <row r="655" spans="1:17" hidden="1" x14ac:dyDescent="0.3">
      <c r="A655" s="26" t="s">
        <v>3140</v>
      </c>
      <c r="B655" s="26" t="s">
        <v>3141</v>
      </c>
      <c r="C655" s="26" t="s">
        <v>1309</v>
      </c>
      <c r="D655" s="26" t="s">
        <v>3142</v>
      </c>
      <c r="E655" s="26" t="s">
        <v>128</v>
      </c>
      <c r="G655" s="26" t="s">
        <v>3131</v>
      </c>
      <c r="H655" s="26" t="s">
        <v>39</v>
      </c>
      <c r="I655" s="26" t="s">
        <v>3143</v>
      </c>
      <c r="J655" s="11" t="str">
        <f>VLOOKUP(K655,'PN Dictionary'!A:B,2,FALSE)</f>
        <v>Cable Cartridge</v>
      </c>
      <c r="K655" s="26" t="s">
        <v>6</v>
      </c>
      <c r="L655" s="26">
        <v>2024025350534</v>
      </c>
      <c r="M655" s="44">
        <v>2024025350543</v>
      </c>
      <c r="N655" s="26" t="s">
        <v>53</v>
      </c>
      <c r="O655" s="26" t="s">
        <v>728</v>
      </c>
      <c r="P655" s="26">
        <v>1519</v>
      </c>
      <c r="Q655" s="26" t="s">
        <v>55</v>
      </c>
    </row>
    <row r="656" spans="1:17" hidden="1" x14ac:dyDescent="0.3">
      <c r="A656" s="26" t="s">
        <v>3144</v>
      </c>
      <c r="B656" s="26" t="s">
        <v>3145</v>
      </c>
      <c r="C656" s="26" t="s">
        <v>1309</v>
      </c>
      <c r="D656" s="26" t="s">
        <v>3146</v>
      </c>
      <c r="E656" s="26" t="s">
        <v>259</v>
      </c>
      <c r="G656" s="26" t="s">
        <v>3131</v>
      </c>
      <c r="H656" s="26" t="s">
        <v>39</v>
      </c>
      <c r="I656" s="26" t="s">
        <v>3147</v>
      </c>
      <c r="J656" s="11" t="str">
        <f>VLOOKUP(K656,'PN Dictionary'!A:B,2,FALSE)</f>
        <v>GB300 L10</v>
      </c>
      <c r="K656" s="26" t="s">
        <v>1340</v>
      </c>
      <c r="L656" s="26" t="s">
        <v>3148</v>
      </c>
      <c r="M656" s="44" t="s">
        <v>3149</v>
      </c>
      <c r="N656" s="26" t="s">
        <v>53</v>
      </c>
      <c r="O656" s="26" t="s">
        <v>728</v>
      </c>
      <c r="P656" s="26">
        <v>640</v>
      </c>
      <c r="Q656" s="26" t="s">
        <v>55</v>
      </c>
    </row>
    <row r="657" spans="1:17" hidden="1" x14ac:dyDescent="0.3">
      <c r="A657" s="26" t="s">
        <v>3247</v>
      </c>
      <c r="B657" s="26" t="s">
        <v>3248</v>
      </c>
      <c r="C657" s="26" t="s">
        <v>50</v>
      </c>
      <c r="D657" s="26" t="s">
        <v>2683</v>
      </c>
      <c r="E657" s="26" t="s">
        <v>128</v>
      </c>
      <c r="G657" s="26" t="s">
        <v>3131</v>
      </c>
      <c r="H657" s="26" t="s">
        <v>39</v>
      </c>
      <c r="I657" s="26" t="s">
        <v>3249</v>
      </c>
      <c r="J657" s="11" t="str">
        <f>VLOOKUP(K657,'PN Dictionary'!A:B,2,FALSE)</f>
        <v>Cable Cartridge</v>
      </c>
      <c r="K657" s="26" t="s">
        <v>6</v>
      </c>
      <c r="L657" s="26">
        <v>1823725356372</v>
      </c>
      <c r="M657" s="44">
        <v>1823725356323</v>
      </c>
      <c r="N657" s="26" t="s">
        <v>53</v>
      </c>
      <c r="O657" s="26" t="s">
        <v>728</v>
      </c>
      <c r="P657" s="26">
        <v>90131</v>
      </c>
      <c r="Q657" s="26" t="s">
        <v>55</v>
      </c>
    </row>
    <row r="658" spans="1:17" hidden="1" x14ac:dyDescent="0.3">
      <c r="A658" s="26" t="s">
        <v>3250</v>
      </c>
      <c r="B658" s="26" t="s">
        <v>3251</v>
      </c>
      <c r="C658" s="26" t="s">
        <v>50</v>
      </c>
      <c r="D658" s="26" t="s">
        <v>2522</v>
      </c>
      <c r="E658" s="26" t="s">
        <v>128</v>
      </c>
      <c r="G658" s="26" t="s">
        <v>3131</v>
      </c>
      <c r="H658" s="26" t="s">
        <v>39</v>
      </c>
      <c r="I658" s="26" t="s">
        <v>205</v>
      </c>
      <c r="J658" s="11" t="str">
        <f>VLOOKUP(K658,'PN Dictionary'!A:B,2,FALSE)</f>
        <v>Cable Cartridge</v>
      </c>
      <c r="K658" s="26" t="s">
        <v>6</v>
      </c>
      <c r="L658" s="26">
        <v>2024225881123</v>
      </c>
      <c r="M658" s="44">
        <v>1822725186228</v>
      </c>
      <c r="N658" s="26" t="s">
        <v>53</v>
      </c>
      <c r="O658" s="26" t="s">
        <v>728</v>
      </c>
      <c r="P658" s="26">
        <v>90131</v>
      </c>
      <c r="Q658" s="26" t="s">
        <v>55</v>
      </c>
    </row>
    <row r="659" spans="1:17" hidden="1" x14ac:dyDescent="0.3">
      <c r="A659" s="26" t="s">
        <v>3252</v>
      </c>
      <c r="B659" s="26" t="s">
        <v>3253</v>
      </c>
      <c r="C659" s="26" t="s">
        <v>50</v>
      </c>
      <c r="D659" s="26" t="s">
        <v>2522</v>
      </c>
      <c r="E659" s="26" t="s">
        <v>230</v>
      </c>
      <c r="G659" s="26" t="s">
        <v>3131</v>
      </c>
      <c r="H659" s="26" t="s">
        <v>39</v>
      </c>
      <c r="I659" s="26" t="s">
        <v>238</v>
      </c>
      <c r="J659" s="11" t="str">
        <f>VLOOKUP(K659,'PN Dictionary'!A:B,2,FALSE)</f>
        <v>NVSwitch</v>
      </c>
      <c r="K659" s="26" t="s">
        <v>7</v>
      </c>
      <c r="L659" s="26" t="s">
        <v>3254</v>
      </c>
      <c r="M659" s="44" t="s">
        <v>3255</v>
      </c>
      <c r="N659" s="26" t="s">
        <v>53</v>
      </c>
      <c r="O659" s="26" t="s">
        <v>728</v>
      </c>
      <c r="P659" s="26">
        <v>3908</v>
      </c>
      <c r="Q659" s="26" t="s">
        <v>55</v>
      </c>
    </row>
    <row r="660" spans="1:17" hidden="1" x14ac:dyDescent="0.3">
      <c r="A660" s="26" t="s">
        <v>3256</v>
      </c>
      <c r="B660" s="26" t="s">
        <v>3257</v>
      </c>
      <c r="C660" s="26" t="s">
        <v>1309</v>
      </c>
      <c r="D660" s="26" t="s">
        <v>3146</v>
      </c>
      <c r="E660" s="26" t="s">
        <v>322</v>
      </c>
      <c r="G660" s="26" t="s">
        <v>3131</v>
      </c>
      <c r="H660" s="26" t="s">
        <v>39</v>
      </c>
      <c r="I660" s="26" t="s">
        <v>3258</v>
      </c>
      <c r="J660" s="11" t="str">
        <f>VLOOKUP(K660,'PN Dictionary'!A:B,2,FALSE)</f>
        <v>GB300 L10</v>
      </c>
      <c r="K660" s="26" t="s">
        <v>1340</v>
      </c>
      <c r="L660" s="26" t="s">
        <v>3339</v>
      </c>
      <c r="M660" s="44" t="s">
        <v>3259</v>
      </c>
      <c r="N660" s="26" t="s">
        <v>53</v>
      </c>
      <c r="O660" s="26" t="s">
        <v>728</v>
      </c>
      <c r="P660" s="26">
        <v>90131</v>
      </c>
      <c r="Q660" s="26" t="s">
        <v>55</v>
      </c>
    </row>
    <row r="661" spans="1:17" hidden="1" x14ac:dyDescent="0.3">
      <c r="A661" s="26" t="s">
        <v>3260</v>
      </c>
      <c r="B661" s="26" t="s">
        <v>3261</v>
      </c>
      <c r="C661" s="26" t="s">
        <v>50</v>
      </c>
      <c r="D661" s="26" t="s">
        <v>3262</v>
      </c>
      <c r="E661" s="26" t="s">
        <v>761</v>
      </c>
      <c r="G661" s="26" t="s">
        <v>3131</v>
      </c>
      <c r="H661" s="26" t="s">
        <v>39</v>
      </c>
      <c r="I661" s="26" t="s">
        <v>1190</v>
      </c>
      <c r="J661" s="11" t="str">
        <f>VLOOKUP(K661,'PN Dictionary'!A:B,2,FALSE)</f>
        <v>GB300 L10</v>
      </c>
      <c r="K661" s="26" t="s">
        <v>36</v>
      </c>
      <c r="L661" s="26" t="s">
        <v>3340</v>
      </c>
      <c r="M661" s="44" t="s">
        <v>3263</v>
      </c>
      <c r="N661" s="26" t="s">
        <v>53</v>
      </c>
      <c r="O661" s="26" t="s">
        <v>728</v>
      </c>
      <c r="P661" s="26">
        <v>90066</v>
      </c>
      <c r="Q661" s="26" t="s">
        <v>55</v>
      </c>
    </row>
    <row r="662" spans="1:17" hidden="1" x14ac:dyDescent="0.3">
      <c r="A662" s="26" t="s">
        <v>3264</v>
      </c>
      <c r="B662" s="26" t="s">
        <v>3265</v>
      </c>
      <c r="C662" s="26" t="s">
        <v>1309</v>
      </c>
      <c r="D662" s="26" t="s">
        <v>3146</v>
      </c>
      <c r="E662" s="26" t="s">
        <v>3266</v>
      </c>
      <c r="G662" s="26" t="s">
        <v>3267</v>
      </c>
      <c r="H662" s="26" t="s">
        <v>39</v>
      </c>
      <c r="I662" s="26" t="s">
        <v>3268</v>
      </c>
      <c r="J662" s="11" t="str">
        <f>VLOOKUP(K662,'PN Dictionary'!A:B,2,FALSE)</f>
        <v>GB300 L10</v>
      </c>
      <c r="K662" s="26" t="s">
        <v>1340</v>
      </c>
      <c r="L662" s="26" t="s">
        <v>3341</v>
      </c>
      <c r="M662" s="44" t="s">
        <v>3269</v>
      </c>
      <c r="N662" s="26" t="s">
        <v>53</v>
      </c>
      <c r="O662" s="26" t="s">
        <v>728</v>
      </c>
      <c r="P662" s="26">
        <v>1237</v>
      </c>
      <c r="Q662" s="26" t="s">
        <v>55</v>
      </c>
    </row>
    <row r="663" spans="1:17" hidden="1" x14ac:dyDescent="0.3">
      <c r="A663" s="26" t="s">
        <v>3270</v>
      </c>
      <c r="B663" s="26" t="s">
        <v>3271</v>
      </c>
      <c r="C663" s="26" t="s">
        <v>50</v>
      </c>
      <c r="D663" s="26" t="s">
        <v>2683</v>
      </c>
      <c r="E663" s="26" t="s">
        <v>128</v>
      </c>
      <c r="G663" s="26" t="s">
        <v>3267</v>
      </c>
      <c r="H663" s="26" t="s">
        <v>39</v>
      </c>
      <c r="I663" s="26" t="s">
        <v>3272</v>
      </c>
      <c r="J663" s="11" t="str">
        <f>VLOOKUP(K663,'PN Dictionary'!A:B,2,FALSE)</f>
        <v>Cable Cartridge</v>
      </c>
      <c r="K663" s="26" t="s">
        <v>6</v>
      </c>
      <c r="L663" s="26">
        <v>2024225880927</v>
      </c>
      <c r="M663" s="44">
        <v>2024025350042</v>
      </c>
      <c r="N663" s="26" t="s">
        <v>53</v>
      </c>
      <c r="O663" s="26" t="s">
        <v>728</v>
      </c>
      <c r="P663" s="26">
        <v>1237</v>
      </c>
      <c r="Q663" s="26" t="s">
        <v>55</v>
      </c>
    </row>
    <row r="664" spans="1:17" hidden="1" x14ac:dyDescent="0.3">
      <c r="A664" s="26" t="s">
        <v>3273</v>
      </c>
      <c r="B664" s="26" t="s">
        <v>3271</v>
      </c>
      <c r="C664" s="26" t="s">
        <v>50</v>
      </c>
      <c r="D664" s="26" t="s">
        <v>2683</v>
      </c>
      <c r="E664" s="26" t="s">
        <v>128</v>
      </c>
      <c r="G664" s="26" t="s">
        <v>3267</v>
      </c>
      <c r="H664" s="26" t="s">
        <v>39</v>
      </c>
      <c r="I664" s="26" t="s">
        <v>3274</v>
      </c>
      <c r="J664" s="11" t="str">
        <f>VLOOKUP(K664,'PN Dictionary'!A:B,2,FALSE)</f>
        <v>Cable Cartridge</v>
      </c>
      <c r="K664" s="26" t="s">
        <v>6</v>
      </c>
      <c r="L664" s="26">
        <v>1823725356323</v>
      </c>
      <c r="M664" s="44">
        <v>1823725356395</v>
      </c>
      <c r="N664" s="26" t="s">
        <v>53</v>
      </c>
      <c r="O664" s="26" t="s">
        <v>728</v>
      </c>
      <c r="P664" s="26">
        <v>1237</v>
      </c>
      <c r="Q664" s="26" t="s">
        <v>55</v>
      </c>
    </row>
    <row r="665" spans="1:17" hidden="1" x14ac:dyDescent="0.3">
      <c r="A665" s="26" t="s">
        <v>3275</v>
      </c>
      <c r="B665" s="26" t="s">
        <v>3276</v>
      </c>
      <c r="C665" s="26" t="s">
        <v>50</v>
      </c>
      <c r="D665" s="26" t="s">
        <v>2830</v>
      </c>
      <c r="E665" s="26" t="s">
        <v>81</v>
      </c>
      <c r="G665" s="26" t="s">
        <v>3267</v>
      </c>
      <c r="H665" s="26" t="s">
        <v>39</v>
      </c>
      <c r="I665" s="26" t="s">
        <v>3277</v>
      </c>
      <c r="J665" s="11" t="str">
        <f>VLOOKUP(K665,'PN Dictionary'!A:B,2,FALSE)</f>
        <v>GB300 L10</v>
      </c>
      <c r="K665" s="26" t="s">
        <v>36</v>
      </c>
      <c r="L665" s="26" t="s">
        <v>3342</v>
      </c>
      <c r="M665" s="44" t="s">
        <v>3278</v>
      </c>
      <c r="N665" s="26" t="s">
        <v>53</v>
      </c>
      <c r="O665" s="26" t="s">
        <v>728</v>
      </c>
      <c r="P665" s="26">
        <v>1237</v>
      </c>
      <c r="Q665" s="26" t="s">
        <v>55</v>
      </c>
    </row>
    <row r="666" spans="1:17" hidden="1" x14ac:dyDescent="0.3">
      <c r="A666" s="26" t="s">
        <v>3279</v>
      </c>
      <c r="B666" s="26" t="s">
        <v>3280</v>
      </c>
      <c r="C666" s="26" t="s">
        <v>1309</v>
      </c>
      <c r="D666" s="26" t="s">
        <v>3281</v>
      </c>
      <c r="E666" s="26" t="s">
        <v>307</v>
      </c>
      <c r="G666" s="26" t="s">
        <v>3267</v>
      </c>
      <c r="H666" s="26" t="s">
        <v>39</v>
      </c>
      <c r="I666" s="26" t="s">
        <v>1117</v>
      </c>
      <c r="J666" s="11" t="str">
        <f>VLOOKUP(K666,'PN Dictionary'!A:B,2,FALSE)</f>
        <v>GB300 L10</v>
      </c>
      <c r="K666" s="26" t="s">
        <v>1340</v>
      </c>
      <c r="L666" s="26" t="s">
        <v>3343</v>
      </c>
      <c r="M666" s="44" t="s">
        <v>3282</v>
      </c>
      <c r="N666" s="26" t="s">
        <v>53</v>
      </c>
      <c r="O666" s="26" t="s">
        <v>728</v>
      </c>
      <c r="P666" s="26">
        <v>90131</v>
      </c>
      <c r="Q666" s="26" t="s">
        <v>55</v>
      </c>
    </row>
    <row r="667" spans="1:17" hidden="1" x14ac:dyDescent="0.3">
      <c r="A667" s="26" t="s">
        <v>3283</v>
      </c>
      <c r="B667" s="26" t="s">
        <v>3284</v>
      </c>
      <c r="C667" s="26" t="s">
        <v>50</v>
      </c>
      <c r="D667" s="26" t="s">
        <v>2830</v>
      </c>
      <c r="E667" s="26" t="s">
        <v>653</v>
      </c>
      <c r="G667" s="26" t="s">
        <v>3267</v>
      </c>
      <c r="H667" s="26" t="s">
        <v>39</v>
      </c>
      <c r="I667" s="26" t="s">
        <v>3285</v>
      </c>
      <c r="J667" s="11" t="str">
        <f>VLOOKUP(K667,'PN Dictionary'!A:B,2,FALSE)</f>
        <v>GB300 L10</v>
      </c>
      <c r="K667" s="26" t="s">
        <v>36</v>
      </c>
      <c r="L667" s="26" t="s">
        <v>3344</v>
      </c>
      <c r="M667" s="44" t="s">
        <v>3286</v>
      </c>
      <c r="N667" s="26" t="s">
        <v>53</v>
      </c>
      <c r="O667" s="26" t="s">
        <v>728</v>
      </c>
      <c r="P667" s="26">
        <v>3908</v>
      </c>
      <c r="Q667" s="26" t="s">
        <v>55</v>
      </c>
    </row>
    <row r="668" spans="1:17" hidden="1" x14ac:dyDescent="0.3">
      <c r="A668" s="26" t="s">
        <v>3287</v>
      </c>
      <c r="B668" s="26" t="s">
        <v>3288</v>
      </c>
      <c r="C668" s="26" t="s">
        <v>50</v>
      </c>
      <c r="D668" s="26" t="s">
        <v>2683</v>
      </c>
      <c r="E668" s="26" t="s">
        <v>128</v>
      </c>
      <c r="G668" s="26" t="s">
        <v>3267</v>
      </c>
      <c r="H668" s="26" t="s">
        <v>39</v>
      </c>
      <c r="I668" s="26" t="s">
        <v>3289</v>
      </c>
      <c r="J668" s="11" t="str">
        <f>VLOOKUP(K668,'PN Dictionary'!A:B,2,FALSE)</f>
        <v>Cable Cartridge</v>
      </c>
      <c r="K668" s="26" t="s">
        <v>6</v>
      </c>
      <c r="L668" s="26">
        <v>1823725356395</v>
      </c>
      <c r="M668" s="44">
        <v>2024225881118</v>
      </c>
      <c r="N668" s="26" t="s">
        <v>53</v>
      </c>
      <c r="O668" s="26" t="s">
        <v>728</v>
      </c>
      <c r="P668" s="26">
        <v>3908</v>
      </c>
      <c r="Q668" s="26" t="s">
        <v>55</v>
      </c>
    </row>
    <row r="669" spans="1:17" hidden="1" x14ac:dyDescent="0.3">
      <c r="A669" s="26" t="s">
        <v>3290</v>
      </c>
      <c r="B669" s="26" t="s">
        <v>3291</v>
      </c>
      <c r="C669" s="26" t="s">
        <v>50</v>
      </c>
      <c r="D669" s="26" t="s">
        <v>2683</v>
      </c>
      <c r="E669" s="26" t="s">
        <v>374</v>
      </c>
      <c r="G669" s="26" t="s">
        <v>3267</v>
      </c>
      <c r="H669" s="26" t="s">
        <v>39</v>
      </c>
      <c r="I669" s="26" t="s">
        <v>3292</v>
      </c>
      <c r="J669" s="11" t="str">
        <f>VLOOKUP(K669,'PN Dictionary'!A:B,2,FALSE)</f>
        <v>NVSwitch</v>
      </c>
      <c r="K669" s="26" t="s">
        <v>7</v>
      </c>
      <c r="L669" s="26" t="s">
        <v>3293</v>
      </c>
      <c r="M669" s="44" t="s">
        <v>3294</v>
      </c>
      <c r="N669" s="26" t="s">
        <v>53</v>
      </c>
      <c r="O669" s="26" t="s">
        <v>728</v>
      </c>
      <c r="P669" s="26">
        <v>3908</v>
      </c>
      <c r="Q669" s="26" t="s">
        <v>55</v>
      </c>
    </row>
    <row r="670" spans="1:17" hidden="1" x14ac:dyDescent="0.3">
      <c r="A670" s="26" t="s">
        <v>3295</v>
      </c>
      <c r="B670" s="26" t="s">
        <v>3296</v>
      </c>
      <c r="C670" s="26" t="s">
        <v>50</v>
      </c>
      <c r="D670" s="26" t="s">
        <v>2683</v>
      </c>
      <c r="E670" s="26" t="s">
        <v>653</v>
      </c>
      <c r="G670" s="26" t="s">
        <v>3267</v>
      </c>
      <c r="H670" s="26" t="s">
        <v>39</v>
      </c>
      <c r="I670" s="26" t="s">
        <v>3297</v>
      </c>
      <c r="J670" s="11" t="str">
        <f>VLOOKUP(K670,'PN Dictionary'!A:B,2,FALSE)</f>
        <v>GB300 L10</v>
      </c>
      <c r="K670" s="26" t="s">
        <v>36</v>
      </c>
      <c r="L670" s="26" t="s">
        <v>3345</v>
      </c>
      <c r="M670" s="44" t="s">
        <v>3298</v>
      </c>
      <c r="N670" s="26" t="s">
        <v>53</v>
      </c>
      <c r="O670" s="26" t="s">
        <v>728</v>
      </c>
      <c r="P670" s="26">
        <v>3908</v>
      </c>
      <c r="Q670" s="26" t="s">
        <v>55</v>
      </c>
    </row>
    <row r="671" spans="1:17" hidden="1" x14ac:dyDescent="0.3">
      <c r="A671" s="26" t="s">
        <v>3299</v>
      </c>
      <c r="B671" s="26" t="s">
        <v>3300</v>
      </c>
      <c r="C671" s="26" t="s">
        <v>50</v>
      </c>
      <c r="D671" s="26" t="s">
        <v>2683</v>
      </c>
      <c r="E671" s="26" t="s">
        <v>761</v>
      </c>
      <c r="G671" s="26" t="s">
        <v>3267</v>
      </c>
      <c r="H671" s="26" t="s">
        <v>39</v>
      </c>
      <c r="I671" s="26" t="s">
        <v>3301</v>
      </c>
      <c r="J671" s="11" t="str">
        <f>VLOOKUP(K671,'PN Dictionary'!A:B,2,FALSE)</f>
        <v>GB300 L10</v>
      </c>
      <c r="K671" s="26" t="s">
        <v>36</v>
      </c>
      <c r="L671" s="26" t="s">
        <v>3346</v>
      </c>
      <c r="M671" s="44" t="s">
        <v>3302</v>
      </c>
      <c r="N671" s="26" t="s">
        <v>53</v>
      </c>
      <c r="O671" s="26" t="s">
        <v>728</v>
      </c>
      <c r="P671" s="26">
        <v>3908</v>
      </c>
      <c r="Q671" s="26" t="s">
        <v>55</v>
      </c>
    </row>
    <row r="672" spans="1:17" hidden="1" x14ac:dyDescent="0.3">
      <c r="A672" s="26" t="s">
        <v>3303</v>
      </c>
      <c r="B672" s="26" t="s">
        <v>3304</v>
      </c>
      <c r="C672" s="26" t="s">
        <v>50</v>
      </c>
      <c r="D672" s="26" t="s">
        <v>2683</v>
      </c>
      <c r="E672" s="26" t="s">
        <v>761</v>
      </c>
      <c r="G672" s="26" t="s">
        <v>3267</v>
      </c>
      <c r="H672" s="26" t="s">
        <v>39</v>
      </c>
      <c r="I672" s="26" t="s">
        <v>3301</v>
      </c>
      <c r="J672" s="11" t="str">
        <f>VLOOKUP(K672,'PN Dictionary'!A:B,2,FALSE)</f>
        <v>GB300 L10</v>
      </c>
      <c r="K672" s="26" t="s">
        <v>36</v>
      </c>
      <c r="L672" s="26" t="s">
        <v>3347</v>
      </c>
      <c r="M672" s="44" t="s">
        <v>3305</v>
      </c>
      <c r="N672" s="26" t="s">
        <v>53</v>
      </c>
      <c r="O672" s="26" t="s">
        <v>728</v>
      </c>
      <c r="P672" s="26">
        <v>3908</v>
      </c>
      <c r="Q672" s="26" t="s">
        <v>55</v>
      </c>
    </row>
    <row r="673" spans="1:17" hidden="1" x14ac:dyDescent="0.3">
      <c r="A673" s="26" t="s">
        <v>3306</v>
      </c>
      <c r="B673" s="26" t="s">
        <v>3307</v>
      </c>
      <c r="C673" s="26" t="s">
        <v>50</v>
      </c>
      <c r="D673" s="26" t="s">
        <v>2683</v>
      </c>
      <c r="E673" s="26" t="s">
        <v>761</v>
      </c>
      <c r="G673" s="26" t="s">
        <v>3267</v>
      </c>
      <c r="H673" s="26" t="s">
        <v>39</v>
      </c>
      <c r="I673" s="26" t="s">
        <v>3301</v>
      </c>
      <c r="J673" s="11" t="str">
        <f>VLOOKUP(K673,'PN Dictionary'!A:B,2,FALSE)</f>
        <v>GB300 L10</v>
      </c>
      <c r="K673" s="26" t="s">
        <v>36</v>
      </c>
      <c r="L673" s="26" t="s">
        <v>3346</v>
      </c>
      <c r="M673" s="44" t="s">
        <v>3302</v>
      </c>
      <c r="N673" s="26" t="s">
        <v>53</v>
      </c>
      <c r="O673" s="26" t="s">
        <v>728</v>
      </c>
      <c r="P673" s="26">
        <v>3908</v>
      </c>
      <c r="Q673" s="26" t="s">
        <v>55</v>
      </c>
    </row>
    <row r="674" spans="1:17" hidden="1" x14ac:dyDescent="0.3">
      <c r="A674" s="26" t="s">
        <v>3308</v>
      </c>
      <c r="B674" s="26" t="s">
        <v>3309</v>
      </c>
      <c r="C674" s="26" t="s">
        <v>1309</v>
      </c>
      <c r="D674" s="26" t="s">
        <v>3310</v>
      </c>
      <c r="E674" s="26" t="s">
        <v>3122</v>
      </c>
      <c r="G674" s="26" t="s">
        <v>3267</v>
      </c>
      <c r="H674" s="26" t="s">
        <v>39</v>
      </c>
      <c r="I674" s="26" t="s">
        <v>3123</v>
      </c>
      <c r="J674" s="11" t="str">
        <f>VLOOKUP(K674,'PN Dictionary'!A:B,2,FALSE)</f>
        <v>Cable Cartridge</v>
      </c>
      <c r="K674" s="26" t="s">
        <v>6</v>
      </c>
      <c r="L674" s="26">
        <v>1824825354656</v>
      </c>
      <c r="M674" s="44">
        <v>2024025350520</v>
      </c>
      <c r="N674" s="26" t="s">
        <v>53</v>
      </c>
      <c r="O674" s="26" t="s">
        <v>728</v>
      </c>
      <c r="P674" s="26">
        <v>90066</v>
      </c>
      <c r="Q674" s="26" t="s">
        <v>55</v>
      </c>
    </row>
    <row r="675" spans="1:17" hidden="1" x14ac:dyDescent="0.3">
      <c r="A675" s="26" t="s">
        <v>3311</v>
      </c>
      <c r="B675" s="26" t="s">
        <v>3312</v>
      </c>
      <c r="C675" s="26" t="s">
        <v>1309</v>
      </c>
      <c r="D675" s="26" t="s">
        <v>3313</v>
      </c>
      <c r="E675" s="26" t="s">
        <v>761</v>
      </c>
      <c r="G675" s="26" t="s">
        <v>3267</v>
      </c>
      <c r="H675" s="26" t="s">
        <v>39</v>
      </c>
      <c r="I675" s="26" t="s">
        <v>1190</v>
      </c>
      <c r="J675" s="11" t="str">
        <f>VLOOKUP(K675,'PN Dictionary'!A:B,2,FALSE)</f>
        <v>GB300 L10</v>
      </c>
      <c r="K675" s="26" t="s">
        <v>1340</v>
      </c>
      <c r="L675" s="26" t="s">
        <v>3348</v>
      </c>
      <c r="M675" s="44" t="s">
        <v>3314</v>
      </c>
      <c r="N675" s="26" t="s">
        <v>53</v>
      </c>
      <c r="O675" s="26" t="s">
        <v>728</v>
      </c>
      <c r="P675" s="26">
        <v>90066</v>
      </c>
      <c r="Q675" s="26" t="s">
        <v>55</v>
      </c>
    </row>
    <row r="676" spans="1:17" hidden="1" x14ac:dyDescent="0.3">
      <c r="A676" s="26" t="s">
        <v>3315</v>
      </c>
      <c r="B676" s="26" t="s">
        <v>3316</v>
      </c>
      <c r="C676" s="26" t="s">
        <v>50</v>
      </c>
      <c r="D676" s="26" t="s">
        <v>3317</v>
      </c>
      <c r="E676" s="26" t="s">
        <v>761</v>
      </c>
      <c r="G676" s="26" t="s">
        <v>3267</v>
      </c>
      <c r="H676" s="26" t="s">
        <v>39</v>
      </c>
      <c r="I676" s="26" t="s">
        <v>1190</v>
      </c>
      <c r="J676" s="11" t="str">
        <f>VLOOKUP(K676,'PN Dictionary'!A:B,2,FALSE)</f>
        <v>GB300 L10</v>
      </c>
      <c r="K676" s="26" t="s">
        <v>36</v>
      </c>
      <c r="L676" s="26" t="s">
        <v>3349</v>
      </c>
      <c r="M676" s="44" t="s">
        <v>2823</v>
      </c>
      <c r="N676" s="26" t="s">
        <v>53</v>
      </c>
      <c r="O676" s="26" t="s">
        <v>728</v>
      </c>
      <c r="P676" s="26">
        <v>90160</v>
      </c>
      <c r="Q676" s="26" t="s">
        <v>55</v>
      </c>
    </row>
    <row r="677" spans="1:17" hidden="1" x14ac:dyDescent="0.3">
      <c r="A677" s="26" t="s">
        <v>3318</v>
      </c>
      <c r="B677" s="26" t="s">
        <v>3319</v>
      </c>
      <c r="C677" s="26" t="s">
        <v>50</v>
      </c>
      <c r="D677" s="26" t="s">
        <v>3320</v>
      </c>
      <c r="E677" s="26" t="s">
        <v>761</v>
      </c>
      <c r="G677" s="26" t="s">
        <v>3267</v>
      </c>
      <c r="H677" s="26" t="s">
        <v>39</v>
      </c>
      <c r="I677" s="26" t="s">
        <v>1190</v>
      </c>
      <c r="J677" s="11" t="str">
        <f>VLOOKUP(K677,'PN Dictionary'!A:B,2,FALSE)</f>
        <v>GB300 L10</v>
      </c>
      <c r="K677" s="26" t="s">
        <v>36</v>
      </c>
      <c r="L677" s="26" t="s">
        <v>3350</v>
      </c>
      <c r="M677" s="44" t="s">
        <v>3321</v>
      </c>
      <c r="N677" s="26" t="s">
        <v>53</v>
      </c>
      <c r="O677" s="26" t="s">
        <v>728</v>
      </c>
      <c r="P677" s="26">
        <v>90160</v>
      </c>
      <c r="Q677" s="26" t="s">
        <v>55</v>
      </c>
    </row>
    <row r="678" spans="1:17" hidden="1" x14ac:dyDescent="0.3">
      <c r="A678" s="26" t="s">
        <v>3322</v>
      </c>
      <c r="B678" s="26" t="s">
        <v>3323</v>
      </c>
      <c r="C678" s="26" t="s">
        <v>50</v>
      </c>
      <c r="D678" s="26" t="s">
        <v>3320</v>
      </c>
      <c r="E678" s="26" t="s">
        <v>761</v>
      </c>
      <c r="G678" s="26" t="s">
        <v>3267</v>
      </c>
      <c r="H678" s="26" t="s">
        <v>39</v>
      </c>
      <c r="I678" s="26" t="s">
        <v>1190</v>
      </c>
      <c r="J678" s="11" t="str">
        <f>VLOOKUP(K678,'PN Dictionary'!A:B,2,FALSE)</f>
        <v>GB300 L10</v>
      </c>
      <c r="K678" s="26" t="s">
        <v>36</v>
      </c>
      <c r="L678" s="26" t="s">
        <v>3351</v>
      </c>
      <c r="M678" s="44" t="s">
        <v>3324</v>
      </c>
      <c r="N678" s="26" t="s">
        <v>53</v>
      </c>
      <c r="O678" s="26" t="s">
        <v>728</v>
      </c>
      <c r="P678" s="26">
        <v>90160</v>
      </c>
      <c r="Q678" s="26" t="s">
        <v>55</v>
      </c>
    </row>
    <row r="679" spans="1:17" hidden="1" x14ac:dyDescent="0.3">
      <c r="A679" s="26" t="s">
        <v>3325</v>
      </c>
      <c r="B679" s="26" t="s">
        <v>3326</v>
      </c>
      <c r="C679" s="26" t="s">
        <v>50</v>
      </c>
      <c r="D679" s="26" t="s">
        <v>2683</v>
      </c>
      <c r="E679" s="26" t="s">
        <v>761</v>
      </c>
      <c r="G679" s="26" t="s">
        <v>3267</v>
      </c>
      <c r="H679" s="26" t="s">
        <v>39</v>
      </c>
      <c r="I679" s="26" t="s">
        <v>3327</v>
      </c>
      <c r="J679" s="11" t="str">
        <f>VLOOKUP(K679,'PN Dictionary'!A:B,2,FALSE)</f>
        <v>GB300 L10</v>
      </c>
      <c r="K679" s="26" t="s">
        <v>36</v>
      </c>
      <c r="L679" s="26" t="s">
        <v>3352</v>
      </c>
      <c r="M679" s="44" t="s">
        <v>3328</v>
      </c>
      <c r="N679" s="26" t="s">
        <v>53</v>
      </c>
      <c r="O679" s="26" t="s">
        <v>728</v>
      </c>
      <c r="P679" s="26">
        <v>90168</v>
      </c>
      <c r="Q679" s="26" t="s">
        <v>55</v>
      </c>
    </row>
    <row r="680" spans="1:17" hidden="1" x14ac:dyDescent="0.3">
      <c r="A680" s="26" t="s">
        <v>3329</v>
      </c>
      <c r="B680" s="26" t="s">
        <v>3330</v>
      </c>
      <c r="C680" s="26" t="s">
        <v>50</v>
      </c>
      <c r="D680" s="26" t="s">
        <v>2683</v>
      </c>
      <c r="E680" s="26" t="s">
        <v>128</v>
      </c>
      <c r="G680" s="26" t="s">
        <v>3331</v>
      </c>
      <c r="H680" s="26" t="s">
        <v>39</v>
      </c>
      <c r="I680" s="26" t="s">
        <v>3332</v>
      </c>
      <c r="J680" s="11" t="str">
        <f>VLOOKUP(K680,'PN Dictionary'!A:B,2,FALSE)</f>
        <v>Cable Cartridge</v>
      </c>
      <c r="K680" s="26" t="s">
        <v>6</v>
      </c>
      <c r="L680" s="26">
        <v>2024025350042</v>
      </c>
      <c r="M680" s="44">
        <v>2024025350583</v>
      </c>
      <c r="N680" s="26" t="s">
        <v>53</v>
      </c>
      <c r="O680" s="26" t="s">
        <v>728</v>
      </c>
      <c r="P680" s="26">
        <v>3908</v>
      </c>
      <c r="Q680" s="26" t="s">
        <v>55</v>
      </c>
    </row>
    <row r="681" spans="1:17" hidden="1" x14ac:dyDescent="0.3">
      <c r="A681" s="26" t="s">
        <v>3333</v>
      </c>
      <c r="B681" s="26" t="s">
        <v>3334</v>
      </c>
      <c r="C681" s="26" t="s">
        <v>1309</v>
      </c>
      <c r="D681" s="26" t="s">
        <v>3281</v>
      </c>
      <c r="E681" s="26" t="s">
        <v>52</v>
      </c>
      <c r="G681" s="26" t="s">
        <v>3331</v>
      </c>
      <c r="H681" s="26" t="s">
        <v>39</v>
      </c>
      <c r="I681" s="26" t="s">
        <v>3354</v>
      </c>
      <c r="J681" s="11" t="str">
        <f>VLOOKUP(K681,'PN Dictionary'!A:B,2,FALSE)</f>
        <v>GB300 L10</v>
      </c>
      <c r="K681" s="26" t="s">
        <v>1340</v>
      </c>
      <c r="L681" s="26" t="s">
        <v>3353</v>
      </c>
      <c r="M681" s="44" t="s">
        <v>3335</v>
      </c>
      <c r="N681" s="26" t="s">
        <v>53</v>
      </c>
      <c r="O681" s="26" t="s">
        <v>728</v>
      </c>
      <c r="P681" s="26">
        <v>718</v>
      </c>
      <c r="Q681" s="26" t="s">
        <v>55</v>
      </c>
    </row>
    <row r="682" spans="1:17" hidden="1" x14ac:dyDescent="0.3">
      <c r="A682" s="26" t="s">
        <v>3336</v>
      </c>
      <c r="B682" s="26" t="s">
        <v>3337</v>
      </c>
      <c r="C682" s="26" t="s">
        <v>50</v>
      </c>
      <c r="D682" s="26" t="s">
        <v>2683</v>
      </c>
      <c r="E682" s="26" t="s">
        <v>128</v>
      </c>
      <c r="G682" s="26" t="s">
        <v>3331</v>
      </c>
      <c r="H682" s="26" t="s">
        <v>39</v>
      </c>
      <c r="I682" s="26" t="s">
        <v>3332</v>
      </c>
      <c r="J682" s="11" t="str">
        <f>VLOOKUP(K682,'PN Dictionary'!A:B,2,FALSE)</f>
        <v>Cable Cartridge</v>
      </c>
      <c r="K682" s="26" t="s">
        <v>6</v>
      </c>
      <c r="L682" s="26">
        <v>2024225881118</v>
      </c>
      <c r="M682" s="44">
        <v>2024025352041</v>
      </c>
      <c r="N682" s="26" t="s">
        <v>53</v>
      </c>
      <c r="O682" s="26" t="s">
        <v>728</v>
      </c>
      <c r="P682" s="26">
        <v>3908</v>
      </c>
      <c r="Q682" s="26" t="s">
        <v>55</v>
      </c>
    </row>
    <row r="683" spans="1:17" hidden="1" x14ac:dyDescent="0.3">
      <c r="A683" s="26" t="s">
        <v>3355</v>
      </c>
      <c r="B683" s="26" t="s">
        <v>3356</v>
      </c>
      <c r="C683" s="26" t="s">
        <v>1309</v>
      </c>
      <c r="D683" s="26" t="s">
        <v>3357</v>
      </c>
      <c r="E683" s="26" t="s">
        <v>761</v>
      </c>
      <c r="G683" s="26" t="s">
        <v>3358</v>
      </c>
      <c r="H683" s="26" t="s">
        <v>39</v>
      </c>
      <c r="I683" s="26" t="s">
        <v>1190</v>
      </c>
      <c r="J683" s="11" t="str">
        <f>VLOOKUP(K683,'PN Dictionary'!A:B,2,FALSE)</f>
        <v>GB300 L10</v>
      </c>
      <c r="K683" s="26" t="s">
        <v>1340</v>
      </c>
      <c r="L683" s="26" t="s">
        <v>3369</v>
      </c>
      <c r="M683" s="44" t="s">
        <v>3335</v>
      </c>
      <c r="N683" s="26" t="s">
        <v>53</v>
      </c>
      <c r="O683" s="26" t="s">
        <v>728</v>
      </c>
      <c r="P683" s="26">
        <v>90160</v>
      </c>
      <c r="Q683" s="26" t="s">
        <v>55</v>
      </c>
    </row>
    <row r="684" spans="1:17" hidden="1" x14ac:dyDescent="0.3">
      <c r="A684" s="26" t="s">
        <v>3359</v>
      </c>
      <c r="B684" s="26" t="s">
        <v>3360</v>
      </c>
      <c r="C684" s="26" t="s">
        <v>1309</v>
      </c>
      <c r="D684" s="26" t="s">
        <v>3357</v>
      </c>
      <c r="E684" s="26" t="s">
        <v>87</v>
      </c>
      <c r="G684" s="26" t="s">
        <v>3358</v>
      </c>
      <c r="H684" s="26" t="s">
        <v>39</v>
      </c>
      <c r="I684" s="26" t="s">
        <v>1117</v>
      </c>
      <c r="J684" s="11" t="str">
        <f>VLOOKUP(K684,'PN Dictionary'!A:B,2,FALSE)</f>
        <v>GB300 L10</v>
      </c>
      <c r="K684" s="26" t="s">
        <v>1340</v>
      </c>
      <c r="L684" s="26" t="s">
        <v>3370</v>
      </c>
      <c r="M684" s="44" t="s">
        <v>3361</v>
      </c>
      <c r="N684" s="26" t="s">
        <v>53</v>
      </c>
      <c r="O684" s="26" t="s">
        <v>728</v>
      </c>
      <c r="P684" s="26">
        <v>924</v>
      </c>
      <c r="Q684" s="26" t="s">
        <v>55</v>
      </c>
    </row>
    <row r="685" spans="1:17" hidden="1" x14ac:dyDescent="0.3">
      <c r="A685" s="26" t="s">
        <v>3362</v>
      </c>
      <c r="B685" s="26" t="s">
        <v>3363</v>
      </c>
      <c r="C685" s="26" t="s">
        <v>1309</v>
      </c>
      <c r="D685" s="26" t="s">
        <v>3281</v>
      </c>
      <c r="E685" s="26" t="s">
        <v>52</v>
      </c>
      <c r="G685" s="26" t="s">
        <v>3358</v>
      </c>
      <c r="H685" s="26" t="s">
        <v>39</v>
      </c>
      <c r="I685" s="26" t="s">
        <v>3364</v>
      </c>
      <c r="J685" s="11" t="str">
        <f>VLOOKUP(K685,'PN Dictionary'!A:B,2,FALSE)</f>
        <v>GB300 L10</v>
      </c>
      <c r="K685" s="26" t="s">
        <v>1340</v>
      </c>
      <c r="L685" s="26" t="s">
        <v>3371</v>
      </c>
      <c r="M685" s="44" t="s">
        <v>3365</v>
      </c>
      <c r="N685" s="26" t="s">
        <v>53</v>
      </c>
      <c r="O685" s="26" t="s">
        <v>728</v>
      </c>
      <c r="P685" s="26">
        <v>3908</v>
      </c>
      <c r="Q685" s="26" t="s">
        <v>55</v>
      </c>
    </row>
    <row r="686" spans="1:17" hidden="1" x14ac:dyDescent="0.3">
      <c r="A686" s="26" t="s">
        <v>3366</v>
      </c>
      <c r="B686" s="26" t="s">
        <v>3367</v>
      </c>
      <c r="C686" s="26" t="s">
        <v>50</v>
      </c>
      <c r="D686" s="26" t="s">
        <v>3368</v>
      </c>
      <c r="E686" s="26" t="s">
        <v>761</v>
      </c>
      <c r="G686" s="26" t="s">
        <v>3358</v>
      </c>
      <c r="H686" s="26" t="s">
        <v>39</v>
      </c>
      <c r="I686" s="26" t="s">
        <v>1190</v>
      </c>
      <c r="J686" s="11" t="str">
        <f>VLOOKUP(K686,'PN Dictionary'!A:B,2,FALSE)</f>
        <v>GB300 L10</v>
      </c>
      <c r="K686" s="26" t="s">
        <v>36</v>
      </c>
      <c r="L686" s="26" t="s">
        <v>3372</v>
      </c>
      <c r="M686" s="44" t="s">
        <v>3321</v>
      </c>
      <c r="N686" s="26" t="s">
        <v>53</v>
      </c>
      <c r="O686" s="26" t="s">
        <v>728</v>
      </c>
      <c r="P686" s="26">
        <v>90160</v>
      </c>
      <c r="Q686" s="26" t="s">
        <v>55</v>
      </c>
    </row>
    <row r="687" spans="1:17" hidden="1" x14ac:dyDescent="0.3">
      <c r="A687" s="26" t="s">
        <v>3373</v>
      </c>
      <c r="B687" s="26" t="s">
        <v>3374</v>
      </c>
      <c r="C687" s="26" t="s">
        <v>50</v>
      </c>
      <c r="D687" s="26" t="s">
        <v>3375</v>
      </c>
      <c r="E687" s="26" t="s">
        <v>761</v>
      </c>
      <c r="G687" s="26" t="s">
        <v>3358</v>
      </c>
      <c r="H687" s="26" t="s">
        <v>39</v>
      </c>
      <c r="I687" s="26" t="s">
        <v>1190</v>
      </c>
      <c r="J687" s="11" t="str">
        <f>VLOOKUP(K687,'PN Dictionary'!A:B,2,FALSE)</f>
        <v>GB300 L10</v>
      </c>
      <c r="K687" s="26" t="s">
        <v>36</v>
      </c>
      <c r="L687" s="26" t="s">
        <v>3381</v>
      </c>
      <c r="M687" s="44" t="s">
        <v>3376</v>
      </c>
      <c r="N687" s="26" t="s">
        <v>53</v>
      </c>
      <c r="O687" s="26" t="s">
        <v>728</v>
      </c>
      <c r="P687" s="26">
        <v>90160</v>
      </c>
      <c r="Q687" s="26" t="s">
        <v>55</v>
      </c>
    </row>
    <row r="688" spans="1:17" hidden="1" x14ac:dyDescent="0.3">
      <c r="A688" s="26" t="s">
        <v>3377</v>
      </c>
      <c r="B688" s="26" t="s">
        <v>3378</v>
      </c>
      <c r="C688" s="26" t="s">
        <v>50</v>
      </c>
      <c r="D688" s="26" t="s">
        <v>3375</v>
      </c>
      <c r="E688" s="26" t="s">
        <v>128</v>
      </c>
      <c r="G688" s="26" t="s">
        <v>3379</v>
      </c>
      <c r="H688" s="26" t="s">
        <v>39</v>
      </c>
      <c r="I688" s="26" t="s">
        <v>3380</v>
      </c>
      <c r="J688" s="11" t="str">
        <f>VLOOKUP(K688,'PN Dictionary'!A:B,2,FALSE)</f>
        <v>Cable Cartridge</v>
      </c>
      <c r="K688" s="26" t="s">
        <v>6</v>
      </c>
      <c r="L688" s="26">
        <v>2024225881343</v>
      </c>
      <c r="M688" s="44">
        <v>2024025350540</v>
      </c>
      <c r="N688" s="26" t="s">
        <v>53</v>
      </c>
      <c r="O688" s="26" t="s">
        <v>728</v>
      </c>
      <c r="P688" s="26">
        <v>1519</v>
      </c>
      <c r="Q688" s="26" t="s">
        <v>55</v>
      </c>
    </row>
    <row r="689" spans="1:17" hidden="1" x14ac:dyDescent="0.3">
      <c r="A689" s="26" t="s">
        <v>3382</v>
      </c>
      <c r="B689" s="26" t="s">
        <v>3383</v>
      </c>
      <c r="C689" s="26" t="s">
        <v>1309</v>
      </c>
      <c r="D689" s="26" t="s">
        <v>3384</v>
      </c>
      <c r="E689" s="26" t="s">
        <v>761</v>
      </c>
      <c r="G689" s="26" t="s">
        <v>3385</v>
      </c>
      <c r="H689" s="26" t="s">
        <v>39</v>
      </c>
      <c r="I689" s="26" t="s">
        <v>1190</v>
      </c>
      <c r="J689" s="11" t="str">
        <f>VLOOKUP(K689,'PN Dictionary'!A:B,2,FALSE)</f>
        <v>GB300 L10</v>
      </c>
      <c r="K689" s="26" t="s">
        <v>1340</v>
      </c>
      <c r="L689" s="26" t="s">
        <v>1520</v>
      </c>
      <c r="M689" s="44" t="s">
        <v>3386</v>
      </c>
      <c r="N689" s="26" t="s">
        <v>53</v>
      </c>
      <c r="O689" s="26" t="s">
        <v>728</v>
      </c>
      <c r="P689" s="26">
        <v>90160</v>
      </c>
      <c r="Q689" s="26" t="s">
        <v>55</v>
      </c>
    </row>
    <row r="690" spans="1:17" hidden="1" x14ac:dyDescent="0.3">
      <c r="A690" s="26" t="s">
        <v>3387</v>
      </c>
      <c r="B690" s="26" t="s">
        <v>3388</v>
      </c>
      <c r="C690" s="26" t="s">
        <v>1309</v>
      </c>
      <c r="D690" s="26" t="s">
        <v>3389</v>
      </c>
      <c r="E690" s="26" t="s">
        <v>3390</v>
      </c>
      <c r="G690" s="26" t="s">
        <v>3391</v>
      </c>
      <c r="H690" s="26" t="s">
        <v>39</v>
      </c>
      <c r="I690" s="26" t="s">
        <v>3392</v>
      </c>
      <c r="J690" s="11" t="str">
        <f>VLOOKUP(K690,'PN Dictionary'!A:B,2,FALSE)</f>
        <v>RJ45</v>
      </c>
      <c r="K690" s="26" t="s">
        <v>3417</v>
      </c>
      <c r="L690" s="26" t="s">
        <v>3394</v>
      </c>
      <c r="M690" s="44" t="s">
        <v>3395</v>
      </c>
      <c r="N690" s="26" t="s">
        <v>53</v>
      </c>
      <c r="O690" s="26" t="s">
        <v>728</v>
      </c>
      <c r="P690" s="26">
        <v>90160</v>
      </c>
      <c r="Q690" s="26" t="s">
        <v>55</v>
      </c>
    </row>
    <row r="691" spans="1:17" hidden="1" x14ac:dyDescent="0.3">
      <c r="A691" s="26" t="s">
        <v>3396</v>
      </c>
      <c r="B691" s="26" t="s">
        <v>3397</v>
      </c>
      <c r="C691" s="26" t="s">
        <v>1309</v>
      </c>
      <c r="D691" s="26" t="s">
        <v>3398</v>
      </c>
      <c r="E691" s="26" t="s">
        <v>411</v>
      </c>
      <c r="G691" s="26" t="s">
        <v>3391</v>
      </c>
      <c r="H691" s="26" t="s">
        <v>39</v>
      </c>
      <c r="I691" s="26" t="s">
        <v>3399</v>
      </c>
      <c r="J691" s="11" t="str">
        <f>VLOOKUP(K691,'PN Dictionary'!A:B,2,FALSE)</f>
        <v>NVSwitch</v>
      </c>
      <c r="K691" s="26" t="s">
        <v>7</v>
      </c>
      <c r="L691" s="26" t="s">
        <v>3400</v>
      </c>
      <c r="M691" s="44" t="s">
        <v>3401</v>
      </c>
      <c r="N691" s="26" t="s">
        <v>53</v>
      </c>
      <c r="O691" s="26" t="s">
        <v>728</v>
      </c>
      <c r="P691" s="26">
        <v>90160</v>
      </c>
      <c r="Q691" s="26" t="s">
        <v>55</v>
      </c>
    </row>
    <row r="692" spans="1:17" hidden="1" x14ac:dyDescent="0.3">
      <c r="A692" s="26" t="s">
        <v>3402</v>
      </c>
      <c r="B692" s="26" t="s">
        <v>3403</v>
      </c>
      <c r="C692" s="26" t="s">
        <v>1309</v>
      </c>
      <c r="D692" s="26" t="s">
        <v>3404</v>
      </c>
      <c r="E692" s="26" t="s">
        <v>761</v>
      </c>
      <c r="G692" s="26" t="s">
        <v>3391</v>
      </c>
      <c r="H692" s="26" t="s">
        <v>39</v>
      </c>
      <c r="I692" s="26" t="s">
        <v>1190</v>
      </c>
      <c r="J692" s="11" t="str">
        <f>VLOOKUP(K692,'PN Dictionary'!A:B,2,FALSE)</f>
        <v>GB300 L10</v>
      </c>
      <c r="K692" s="26" t="s">
        <v>1340</v>
      </c>
      <c r="L692" s="26" t="s">
        <v>3419</v>
      </c>
      <c r="M692" s="44" t="s">
        <v>3405</v>
      </c>
      <c r="N692" s="26" t="s">
        <v>53</v>
      </c>
      <c r="O692" s="26" t="s">
        <v>728</v>
      </c>
      <c r="P692" s="26">
        <v>90160</v>
      </c>
      <c r="Q692" s="26" t="s">
        <v>55</v>
      </c>
    </row>
    <row r="693" spans="1:17" hidden="1" x14ac:dyDescent="0.3">
      <c r="A693" s="26" t="s">
        <v>3406</v>
      </c>
      <c r="B693" s="26" t="s">
        <v>3407</v>
      </c>
      <c r="C693" s="26" t="s">
        <v>1309</v>
      </c>
      <c r="D693" s="26" t="s">
        <v>3404</v>
      </c>
      <c r="E693" s="26" t="s">
        <v>761</v>
      </c>
      <c r="G693" s="26" t="s">
        <v>3391</v>
      </c>
      <c r="H693" s="26" t="s">
        <v>39</v>
      </c>
      <c r="I693" s="26" t="s">
        <v>1190</v>
      </c>
      <c r="J693" s="11" t="str">
        <f>VLOOKUP(K693,'PN Dictionary'!A:B,2,FALSE)</f>
        <v>GB300 L10</v>
      </c>
      <c r="K693" s="26" t="s">
        <v>1340</v>
      </c>
      <c r="L693" s="26" t="s">
        <v>3420</v>
      </c>
      <c r="M693" s="44" t="s">
        <v>3408</v>
      </c>
      <c r="N693" s="26" t="s">
        <v>53</v>
      </c>
      <c r="O693" s="26" t="s">
        <v>728</v>
      </c>
      <c r="P693" s="26">
        <v>90160</v>
      </c>
      <c r="Q693" s="26" t="s">
        <v>55</v>
      </c>
    </row>
    <row r="694" spans="1:17" hidden="1" x14ac:dyDescent="0.3">
      <c r="A694" s="26" t="s">
        <v>3409</v>
      </c>
      <c r="B694" s="26" t="s">
        <v>3410</v>
      </c>
      <c r="C694" s="26" t="s">
        <v>1309</v>
      </c>
      <c r="D694" s="26" t="s">
        <v>3411</v>
      </c>
      <c r="E694" s="26" t="s">
        <v>761</v>
      </c>
      <c r="G694" s="26" t="s">
        <v>3412</v>
      </c>
      <c r="H694" s="26" t="s">
        <v>39</v>
      </c>
      <c r="I694" s="26" t="s">
        <v>1190</v>
      </c>
      <c r="J694" s="11" t="str">
        <f>VLOOKUP(K694,'PN Dictionary'!A:B,2,FALSE)</f>
        <v>GB300 L10</v>
      </c>
      <c r="K694" s="26" t="s">
        <v>1340</v>
      </c>
      <c r="L694" s="26" t="s">
        <v>3421</v>
      </c>
      <c r="M694" s="44" t="s">
        <v>3413</v>
      </c>
      <c r="N694" s="26" t="s">
        <v>53</v>
      </c>
      <c r="O694" s="26" t="s">
        <v>728</v>
      </c>
      <c r="P694" s="26">
        <v>90160</v>
      </c>
      <c r="Q694" s="26" t="s">
        <v>55</v>
      </c>
    </row>
    <row r="695" spans="1:17" hidden="1" x14ac:dyDescent="0.3">
      <c r="A695" s="26" t="s">
        <v>3414</v>
      </c>
      <c r="B695" s="26" t="s">
        <v>3415</v>
      </c>
      <c r="C695" s="26" t="s">
        <v>1309</v>
      </c>
      <c r="D695" s="26" t="s">
        <v>3398</v>
      </c>
      <c r="E695" s="26" t="s">
        <v>761</v>
      </c>
      <c r="G695" s="26" t="s">
        <v>3412</v>
      </c>
      <c r="H695" s="26" t="s">
        <v>39</v>
      </c>
      <c r="I695" s="26" t="s">
        <v>1190</v>
      </c>
      <c r="J695" s="41" t="str">
        <f>VLOOKUP(K695,'PN Dictionary'!A:B,2,FALSE)</f>
        <v>GB300 L10</v>
      </c>
      <c r="K695" s="26" t="s">
        <v>1340</v>
      </c>
      <c r="L695" s="26" t="s">
        <v>3422</v>
      </c>
      <c r="M695" s="44" t="s">
        <v>3416</v>
      </c>
      <c r="N695" s="26" t="s">
        <v>53</v>
      </c>
      <c r="O695" s="26" t="s">
        <v>728</v>
      </c>
      <c r="P695" s="26">
        <v>90160</v>
      </c>
      <c r="Q695" s="26" t="s">
        <v>55</v>
      </c>
    </row>
    <row r="696" spans="1:17" hidden="1" x14ac:dyDescent="0.3">
      <c r="A696" s="26" t="s">
        <v>3425</v>
      </c>
      <c r="B696" s="26" t="s">
        <v>3426</v>
      </c>
      <c r="C696" s="26" t="s">
        <v>1309</v>
      </c>
      <c r="D696" s="26" t="s">
        <v>3427</v>
      </c>
      <c r="E696" s="26" t="s">
        <v>761</v>
      </c>
      <c r="G696" s="26" t="s">
        <v>3412</v>
      </c>
      <c r="H696" s="26" t="s">
        <v>39</v>
      </c>
      <c r="I696" s="26" t="s">
        <v>1190</v>
      </c>
      <c r="J696" s="11" t="str">
        <f>VLOOKUP(K696,'PN Dictionary'!A:B,2,FALSE)</f>
        <v>GB300 L10</v>
      </c>
      <c r="K696" s="26" t="s">
        <v>1340</v>
      </c>
      <c r="L696" s="26" t="s">
        <v>3450</v>
      </c>
      <c r="M696" s="44" t="s">
        <v>3428</v>
      </c>
      <c r="N696" s="26" t="s">
        <v>53</v>
      </c>
      <c r="O696" s="26" t="s">
        <v>728</v>
      </c>
      <c r="P696" s="26">
        <v>90160</v>
      </c>
      <c r="Q696" s="26" t="s">
        <v>55</v>
      </c>
    </row>
    <row r="697" spans="1:17" hidden="1" x14ac:dyDescent="0.3">
      <c r="A697" s="26" t="s">
        <v>3429</v>
      </c>
      <c r="B697" s="26" t="s">
        <v>3430</v>
      </c>
      <c r="C697" s="26" t="s">
        <v>1309</v>
      </c>
      <c r="D697" s="26" t="s">
        <v>3431</v>
      </c>
      <c r="E697" s="26" t="s">
        <v>81</v>
      </c>
      <c r="G697" s="26" t="s">
        <v>3412</v>
      </c>
      <c r="H697" s="26" t="s">
        <v>39</v>
      </c>
      <c r="I697" s="26" t="s">
        <v>3432</v>
      </c>
      <c r="J697" s="11" t="str">
        <f>VLOOKUP(K697,'PN Dictionary'!A:B,2,FALSE)</f>
        <v>GB300 L10</v>
      </c>
      <c r="K697" s="26" t="s">
        <v>1340</v>
      </c>
      <c r="L697" s="26" t="s">
        <v>3451</v>
      </c>
      <c r="M697" s="44" t="s">
        <v>3433</v>
      </c>
      <c r="N697" s="26" t="s">
        <v>53</v>
      </c>
      <c r="O697" s="26" t="s">
        <v>728</v>
      </c>
      <c r="P697" s="26">
        <v>90160</v>
      </c>
      <c r="Q697" s="26" t="s">
        <v>55</v>
      </c>
    </row>
    <row r="698" spans="1:17" hidden="1" x14ac:dyDescent="0.3">
      <c r="A698" s="26" t="s">
        <v>3434</v>
      </c>
      <c r="B698" s="26" t="s">
        <v>3435</v>
      </c>
      <c r="C698" s="26" t="s">
        <v>1309</v>
      </c>
      <c r="D698" s="26" t="s">
        <v>3431</v>
      </c>
      <c r="E698" s="26" t="s">
        <v>761</v>
      </c>
      <c r="G698" s="26" t="s">
        <v>3436</v>
      </c>
      <c r="H698" s="26" t="s">
        <v>39</v>
      </c>
      <c r="I698" s="26" t="s">
        <v>1190</v>
      </c>
      <c r="J698" s="11" t="str">
        <f>VLOOKUP(K698,'PN Dictionary'!A:B,2,FALSE)</f>
        <v>GB300 L10</v>
      </c>
      <c r="K698" s="26" t="s">
        <v>1340</v>
      </c>
      <c r="L698" s="26" t="s">
        <v>3452</v>
      </c>
      <c r="M698" s="44" t="s">
        <v>3437</v>
      </c>
      <c r="N698" s="26" t="s">
        <v>53</v>
      </c>
      <c r="O698" s="26" t="s">
        <v>728</v>
      </c>
      <c r="P698" s="26">
        <v>90160</v>
      </c>
      <c r="Q698" s="26" t="s">
        <v>55</v>
      </c>
    </row>
    <row r="699" spans="1:17" hidden="1" x14ac:dyDescent="0.3">
      <c r="A699" s="26" t="s">
        <v>3438</v>
      </c>
      <c r="B699" s="26" t="s">
        <v>3439</v>
      </c>
      <c r="C699" s="26" t="s">
        <v>1309</v>
      </c>
      <c r="D699" s="26" t="s">
        <v>3427</v>
      </c>
      <c r="E699" s="26" t="s">
        <v>761</v>
      </c>
      <c r="G699" s="26" t="s">
        <v>3436</v>
      </c>
      <c r="H699" s="26" t="s">
        <v>39</v>
      </c>
      <c r="I699" s="26" t="s">
        <v>1190</v>
      </c>
      <c r="J699" s="11" t="str">
        <f>VLOOKUP(K699,'PN Dictionary'!A:B,2,FALSE)</f>
        <v>GB300 L10</v>
      </c>
      <c r="K699" s="26" t="s">
        <v>1340</v>
      </c>
      <c r="L699" s="26" t="s">
        <v>3453</v>
      </c>
      <c r="M699" s="44" t="s">
        <v>3440</v>
      </c>
      <c r="N699" s="26" t="s">
        <v>53</v>
      </c>
      <c r="O699" s="26" t="s">
        <v>728</v>
      </c>
      <c r="P699" s="26">
        <v>90160</v>
      </c>
      <c r="Q699" s="26" t="s">
        <v>55</v>
      </c>
    </row>
    <row r="700" spans="1:17" hidden="1" x14ac:dyDescent="0.3">
      <c r="A700" s="26" t="s">
        <v>3441</v>
      </c>
      <c r="B700" s="26" t="s">
        <v>3442</v>
      </c>
      <c r="C700" s="26" t="s">
        <v>1309</v>
      </c>
      <c r="D700" s="26" t="s">
        <v>3443</v>
      </c>
      <c r="E700" s="26" t="s">
        <v>3122</v>
      </c>
      <c r="G700" s="26" t="s">
        <v>3436</v>
      </c>
      <c r="H700" s="26" t="s">
        <v>39</v>
      </c>
      <c r="I700" s="26" t="s">
        <v>3123</v>
      </c>
      <c r="J700" s="11" t="str">
        <f>VLOOKUP(K700,'PN Dictionary'!A:B,2,FALSE)</f>
        <v>Cable Cartridge</v>
      </c>
      <c r="K700" s="26" t="s">
        <v>6</v>
      </c>
      <c r="L700" s="26">
        <v>1824825354932</v>
      </c>
      <c r="M700" s="44">
        <v>2024025350513</v>
      </c>
      <c r="N700" s="26" t="s">
        <v>53</v>
      </c>
      <c r="O700" s="26" t="s">
        <v>728</v>
      </c>
      <c r="P700" s="26">
        <v>90160</v>
      </c>
      <c r="Q700" s="26" t="s">
        <v>55</v>
      </c>
    </row>
    <row r="701" spans="1:17" hidden="1" x14ac:dyDescent="0.3">
      <c r="A701" s="26" t="s">
        <v>3444</v>
      </c>
      <c r="B701" s="26" t="s">
        <v>3445</v>
      </c>
      <c r="C701" s="26" t="s">
        <v>1309</v>
      </c>
      <c r="D701" s="26" t="s">
        <v>3446</v>
      </c>
      <c r="E701" s="26" t="s">
        <v>230</v>
      </c>
      <c r="G701" s="26" t="s">
        <v>3436</v>
      </c>
      <c r="H701" s="26" t="s">
        <v>39</v>
      </c>
      <c r="I701" s="26" t="s">
        <v>3447</v>
      </c>
      <c r="J701" s="11" t="str">
        <f>VLOOKUP(K701,'PN Dictionary'!A:B,2,FALSE)</f>
        <v>NVSwitch</v>
      </c>
      <c r="K701" s="26" t="s">
        <v>7</v>
      </c>
      <c r="L701" s="26" t="s">
        <v>3448</v>
      </c>
      <c r="M701" s="44" t="s">
        <v>3449</v>
      </c>
      <c r="N701" s="26" t="s">
        <v>53</v>
      </c>
      <c r="O701" s="26" t="s">
        <v>728</v>
      </c>
      <c r="P701" s="26">
        <v>3908</v>
      </c>
      <c r="Q701" s="26" t="s">
        <v>55</v>
      </c>
    </row>
    <row r="702" spans="1:17" hidden="1" x14ac:dyDescent="0.3">
      <c r="A702" s="26" t="s">
        <v>3454</v>
      </c>
      <c r="B702" s="26" t="s">
        <v>3455</v>
      </c>
      <c r="C702" s="26" t="s">
        <v>1309</v>
      </c>
      <c r="D702" s="26" t="s">
        <v>3456</v>
      </c>
      <c r="E702" s="26" t="s">
        <v>242</v>
      </c>
      <c r="G702" s="26" t="s">
        <v>3457</v>
      </c>
      <c r="H702" s="26" t="s">
        <v>619</v>
      </c>
      <c r="I702" s="26" t="s">
        <v>3458</v>
      </c>
      <c r="J702" s="11" t="str">
        <f>VLOOKUP(K702,'PN Dictionary'!A:B,2,FALSE)</f>
        <v>LiteOn Power Shelf Right Input</v>
      </c>
      <c r="K702" s="26" t="s">
        <v>30</v>
      </c>
      <c r="L702" s="26" t="s">
        <v>3459</v>
      </c>
      <c r="M702" s="44"/>
      <c r="N702" s="26" t="s">
        <v>53</v>
      </c>
      <c r="O702" s="26" t="s">
        <v>728</v>
      </c>
      <c r="P702" s="26">
        <v>1519</v>
      </c>
      <c r="Q702" s="26" t="s">
        <v>55</v>
      </c>
    </row>
    <row r="703" spans="1:17" hidden="1" x14ac:dyDescent="0.3">
      <c r="A703" s="26" t="s">
        <v>3460</v>
      </c>
      <c r="B703" s="26" t="s">
        <v>3461</v>
      </c>
      <c r="C703" s="26" t="s">
        <v>1309</v>
      </c>
      <c r="D703" s="26" t="s">
        <v>3456</v>
      </c>
      <c r="E703" s="26" t="s">
        <v>242</v>
      </c>
      <c r="G703" s="26" t="s">
        <v>3457</v>
      </c>
      <c r="H703" s="26" t="s">
        <v>39</v>
      </c>
      <c r="I703" s="26" t="s">
        <v>3462</v>
      </c>
      <c r="J703" s="11" t="str">
        <f>VLOOKUP(K703,'PN Dictionary'!A:B,2,FALSE)</f>
        <v>LiteOn Power Shelf Right Input</v>
      </c>
      <c r="K703" s="26" t="s">
        <v>30</v>
      </c>
      <c r="L703" s="26" t="s">
        <v>3459</v>
      </c>
      <c r="M703" s="44" t="s">
        <v>3463</v>
      </c>
      <c r="N703" s="26" t="s">
        <v>53</v>
      </c>
      <c r="O703" s="26" t="s">
        <v>728</v>
      </c>
      <c r="P703" s="26">
        <v>924</v>
      </c>
      <c r="Q703" s="26" t="s">
        <v>55</v>
      </c>
    </row>
    <row r="704" spans="1:17" hidden="1" x14ac:dyDescent="0.3">
      <c r="A704" s="26" t="s">
        <v>3464</v>
      </c>
      <c r="B704" s="26" t="s">
        <v>3461</v>
      </c>
      <c r="C704" s="26" t="s">
        <v>1309</v>
      </c>
      <c r="D704" s="26" t="s">
        <v>3456</v>
      </c>
      <c r="E704" s="26" t="s">
        <v>242</v>
      </c>
      <c r="G704" s="26" t="s">
        <v>3457</v>
      </c>
      <c r="H704" s="26" t="s">
        <v>39</v>
      </c>
      <c r="I704" s="26" t="s">
        <v>3465</v>
      </c>
      <c r="J704" s="11" t="str">
        <f>VLOOKUP(K704,'PN Dictionary'!A:B,2,FALSE)</f>
        <v>LiteOn power shelf control module</v>
      </c>
      <c r="K704" s="26" t="s">
        <v>1324</v>
      </c>
      <c r="L704" s="26" t="s">
        <v>3466</v>
      </c>
      <c r="M704" s="44" t="s">
        <v>3467</v>
      </c>
      <c r="N704" s="26" t="s">
        <v>53</v>
      </c>
      <c r="O704" s="26" t="s">
        <v>728</v>
      </c>
      <c r="P704" s="26">
        <v>924</v>
      </c>
      <c r="Q704" s="26" t="s">
        <v>55</v>
      </c>
    </row>
    <row r="705" spans="1:17" hidden="1" x14ac:dyDescent="0.3">
      <c r="A705" s="26" t="s">
        <v>3468</v>
      </c>
      <c r="B705" s="26" t="s">
        <v>3469</v>
      </c>
      <c r="C705" s="26" t="s">
        <v>1309</v>
      </c>
      <c r="D705" s="26" t="s">
        <v>3470</v>
      </c>
      <c r="E705" s="26" t="s">
        <v>128</v>
      </c>
      <c r="G705" s="26" t="s">
        <v>3457</v>
      </c>
      <c r="H705" s="26" t="s">
        <v>39</v>
      </c>
      <c r="I705" s="26" t="s">
        <v>3471</v>
      </c>
      <c r="J705" s="11" t="str">
        <f>VLOOKUP(K705,'PN Dictionary'!A:B,2,FALSE)</f>
        <v>Cable Cartridge</v>
      </c>
      <c r="K705" s="26" t="s">
        <v>6</v>
      </c>
      <c r="L705" s="26">
        <v>2024325880474</v>
      </c>
      <c r="M705" s="44">
        <v>1824725354786</v>
      </c>
      <c r="N705" s="26" t="s">
        <v>53</v>
      </c>
      <c r="O705" s="26" t="s">
        <v>728</v>
      </c>
      <c r="P705" s="26">
        <v>1519</v>
      </c>
      <c r="Q705" s="26" t="s">
        <v>55</v>
      </c>
    </row>
    <row r="706" spans="1:17" hidden="1" x14ac:dyDescent="0.3">
      <c r="A706" s="26" t="s">
        <v>3472</v>
      </c>
      <c r="B706" s="26" t="s">
        <v>3473</v>
      </c>
      <c r="C706" s="26" t="s">
        <v>1309</v>
      </c>
      <c r="D706" s="26" t="s">
        <v>3474</v>
      </c>
      <c r="E706" s="26" t="s">
        <v>761</v>
      </c>
      <c r="G706" s="26" t="s">
        <v>3457</v>
      </c>
      <c r="H706" s="26" t="s">
        <v>39</v>
      </c>
      <c r="I706" s="26" t="s">
        <v>1190</v>
      </c>
      <c r="J706" s="11" t="str">
        <f>VLOOKUP(K706,'PN Dictionary'!A:B,2,FALSE)</f>
        <v>GB300 L10</v>
      </c>
      <c r="K706" s="26" t="s">
        <v>1340</v>
      </c>
      <c r="L706" s="26" t="s">
        <v>3475</v>
      </c>
      <c r="M706" s="44" t="s">
        <v>3476</v>
      </c>
      <c r="N706" s="26" t="s">
        <v>53</v>
      </c>
      <c r="O706" s="26" t="s">
        <v>728</v>
      </c>
      <c r="P706" s="26">
        <v>90160</v>
      </c>
      <c r="Q706" s="26" t="s">
        <v>55</v>
      </c>
    </row>
    <row r="707" spans="1:17" hidden="1" x14ac:dyDescent="0.3">
      <c r="A707" s="26" t="s">
        <v>3477</v>
      </c>
      <c r="B707" s="26" t="s">
        <v>3478</v>
      </c>
      <c r="C707" s="26" t="s">
        <v>1309</v>
      </c>
      <c r="D707" s="26" t="s">
        <v>3474</v>
      </c>
      <c r="E707" s="26" t="s">
        <v>761</v>
      </c>
      <c r="G707" s="26" t="s">
        <v>3457</v>
      </c>
      <c r="H707" s="26" t="s">
        <v>39</v>
      </c>
      <c r="I707" s="26" t="s">
        <v>1190</v>
      </c>
      <c r="J707" s="11" t="str">
        <f>VLOOKUP(K707,'PN Dictionary'!A:B,2,FALSE)</f>
        <v>GB300 L10</v>
      </c>
      <c r="K707" s="26" t="s">
        <v>1340</v>
      </c>
      <c r="L707" s="26" t="s">
        <v>3479</v>
      </c>
      <c r="M707" s="44" t="s">
        <v>3480</v>
      </c>
      <c r="N707" s="26" t="s">
        <v>53</v>
      </c>
      <c r="O707" s="26" t="s">
        <v>728</v>
      </c>
      <c r="P707" s="26">
        <v>90160</v>
      </c>
      <c r="Q707" s="26" t="s">
        <v>55</v>
      </c>
    </row>
    <row r="708" spans="1:17" hidden="1" x14ac:dyDescent="0.3">
      <c r="A708" s="26" t="s">
        <v>3481</v>
      </c>
      <c r="B708" s="26" t="s">
        <v>3482</v>
      </c>
      <c r="C708" s="26" t="s">
        <v>1309</v>
      </c>
      <c r="D708" s="26" t="s">
        <v>3474</v>
      </c>
      <c r="E708" s="26" t="s">
        <v>761</v>
      </c>
      <c r="G708" s="26" t="s">
        <v>3457</v>
      </c>
      <c r="H708" s="26" t="s">
        <v>39</v>
      </c>
      <c r="I708" s="26" t="s">
        <v>1190</v>
      </c>
      <c r="J708" s="11" t="str">
        <f>VLOOKUP(K708,'PN Dictionary'!A:B,2,FALSE)</f>
        <v>GB300 L10</v>
      </c>
      <c r="K708" s="26" t="s">
        <v>1340</v>
      </c>
      <c r="L708" s="26" t="s">
        <v>3483</v>
      </c>
      <c r="M708" s="44" t="s">
        <v>3484</v>
      </c>
      <c r="N708" s="26" t="s">
        <v>53</v>
      </c>
      <c r="O708" s="26" t="s">
        <v>728</v>
      </c>
      <c r="P708" s="26">
        <v>90160</v>
      </c>
      <c r="Q708" s="26" t="s">
        <v>55</v>
      </c>
    </row>
    <row r="709" spans="1:17" hidden="1" x14ac:dyDescent="0.3">
      <c r="A709" s="26" t="s">
        <v>3485</v>
      </c>
      <c r="B709" s="26" t="s">
        <v>3486</v>
      </c>
      <c r="C709" s="26" t="s">
        <v>1309</v>
      </c>
      <c r="D709" s="26" t="s">
        <v>3487</v>
      </c>
      <c r="E709" s="26" t="s">
        <v>230</v>
      </c>
      <c r="G709" s="26" t="s">
        <v>3488</v>
      </c>
      <c r="H709" s="26" t="s">
        <v>39</v>
      </c>
      <c r="I709" s="26" t="s">
        <v>3489</v>
      </c>
      <c r="J709" s="11" t="str">
        <f>VLOOKUP(K709,'PN Dictionary'!A:B,2,FALSE)</f>
        <v>NVSwitch</v>
      </c>
      <c r="K709" s="26" t="s">
        <v>7</v>
      </c>
      <c r="L709" s="26" t="s">
        <v>3490</v>
      </c>
      <c r="M709" s="44" t="s">
        <v>3491</v>
      </c>
      <c r="N709" s="26" t="s">
        <v>53</v>
      </c>
      <c r="O709" s="26" t="s">
        <v>728</v>
      </c>
      <c r="P709" s="26">
        <v>1519</v>
      </c>
      <c r="Q709" s="26" t="s">
        <v>55</v>
      </c>
    </row>
    <row r="710" spans="1:17" hidden="1" x14ac:dyDescent="0.3">
      <c r="A710" s="26" t="s">
        <v>3492</v>
      </c>
      <c r="B710" s="26" t="s">
        <v>3486</v>
      </c>
      <c r="C710" s="26" t="s">
        <v>1309</v>
      </c>
      <c r="D710" s="26" t="s">
        <v>3487</v>
      </c>
      <c r="E710" s="26" t="s">
        <v>230</v>
      </c>
      <c r="G710" s="26" t="s">
        <v>3488</v>
      </c>
      <c r="H710" s="26" t="s">
        <v>39</v>
      </c>
      <c r="I710" s="26" t="s">
        <v>3493</v>
      </c>
      <c r="J710" s="11" t="str">
        <f>VLOOKUP(K710,'PN Dictionary'!A:B,2,FALSE)</f>
        <v>NVSwitch</v>
      </c>
      <c r="K710" s="26" t="s">
        <v>7</v>
      </c>
      <c r="L710" s="26" t="s">
        <v>3494</v>
      </c>
      <c r="M710" s="44" t="s">
        <v>3495</v>
      </c>
      <c r="N710" s="26" t="s">
        <v>53</v>
      </c>
      <c r="O710" s="26" t="s">
        <v>728</v>
      </c>
      <c r="P710" s="26">
        <v>1519</v>
      </c>
      <c r="Q710" s="26" t="s">
        <v>55</v>
      </c>
    </row>
    <row r="711" spans="1:17" hidden="1" x14ac:dyDescent="0.3">
      <c r="A711" s="26" t="s">
        <v>3496</v>
      </c>
      <c r="B711" s="26" t="s">
        <v>3497</v>
      </c>
      <c r="C711" s="26" t="s">
        <v>1309</v>
      </c>
      <c r="D711" s="26" t="s">
        <v>3498</v>
      </c>
      <c r="E711" s="26" t="s">
        <v>761</v>
      </c>
      <c r="G711" s="26" t="s">
        <v>3488</v>
      </c>
      <c r="H711" s="26" t="s">
        <v>39</v>
      </c>
      <c r="I711" s="26" t="s">
        <v>1190</v>
      </c>
      <c r="J711" s="11" t="str">
        <f>VLOOKUP(K711,'PN Dictionary'!A:B,2,FALSE)</f>
        <v>GB300 L10</v>
      </c>
      <c r="K711" s="26" t="s">
        <v>1340</v>
      </c>
      <c r="L711" s="26" t="s">
        <v>3499</v>
      </c>
      <c r="M711" s="44" t="s">
        <v>3500</v>
      </c>
      <c r="N711" s="26" t="s">
        <v>53</v>
      </c>
      <c r="O711" s="26" t="s">
        <v>728</v>
      </c>
      <c r="P711" s="26">
        <v>90160</v>
      </c>
      <c r="Q711" s="26" t="s">
        <v>55</v>
      </c>
    </row>
    <row r="712" spans="1:17" hidden="1" x14ac:dyDescent="0.3">
      <c r="A712" s="26" t="s">
        <v>3501</v>
      </c>
      <c r="B712" s="26" t="s">
        <v>3502</v>
      </c>
      <c r="C712" s="26" t="s">
        <v>1309</v>
      </c>
      <c r="D712" s="26" t="s">
        <v>3503</v>
      </c>
      <c r="E712" s="26" t="s">
        <v>761</v>
      </c>
      <c r="G712" s="26" t="s">
        <v>3488</v>
      </c>
      <c r="H712" s="26" t="s">
        <v>39</v>
      </c>
      <c r="I712" s="26" t="s">
        <v>1190</v>
      </c>
      <c r="J712" s="11" t="str">
        <f>VLOOKUP(K712,'PN Dictionary'!A:B,2,FALSE)</f>
        <v>GB300 L10</v>
      </c>
      <c r="K712" s="26" t="s">
        <v>1340</v>
      </c>
      <c r="L712" s="26" t="s">
        <v>3504</v>
      </c>
      <c r="M712" s="44" t="s">
        <v>3505</v>
      </c>
      <c r="N712" s="26" t="s">
        <v>53</v>
      </c>
      <c r="O712" s="26" t="s">
        <v>728</v>
      </c>
      <c r="P712" s="26">
        <v>90160</v>
      </c>
      <c r="Q712" s="26" t="s">
        <v>55</v>
      </c>
    </row>
    <row r="713" spans="1:17" hidden="1" x14ac:dyDescent="0.3">
      <c r="A713" s="26" t="s">
        <v>3506</v>
      </c>
      <c r="B713" s="26" t="s">
        <v>3507</v>
      </c>
      <c r="C713" s="26" t="s">
        <v>1309</v>
      </c>
      <c r="D713" s="26" t="s">
        <v>3508</v>
      </c>
      <c r="E713" s="26" t="s">
        <v>128</v>
      </c>
      <c r="G713" s="26" t="s">
        <v>3509</v>
      </c>
      <c r="H713" s="26" t="s">
        <v>39</v>
      </c>
      <c r="I713" s="26" t="s">
        <v>3510</v>
      </c>
      <c r="J713" s="11" t="str">
        <f>VLOOKUP(K713,'PN Dictionary'!A:B,2,FALSE)</f>
        <v>Cable Cartridge</v>
      </c>
      <c r="K713" s="26" t="s">
        <v>6</v>
      </c>
      <c r="L713" s="26">
        <v>1823925184924</v>
      </c>
      <c r="M713" s="44">
        <v>1824025184891</v>
      </c>
      <c r="N713" s="26" t="s">
        <v>53</v>
      </c>
      <c r="O713" s="26" t="s">
        <v>728</v>
      </c>
      <c r="P713" s="26">
        <v>3908</v>
      </c>
      <c r="Q713" s="26" t="s">
        <v>55</v>
      </c>
    </row>
    <row r="714" spans="1:17" hidden="1" x14ac:dyDescent="0.3">
      <c r="A714" s="26" t="s">
        <v>3511</v>
      </c>
      <c r="B714" s="26" t="s">
        <v>3512</v>
      </c>
      <c r="C714" s="26" t="s">
        <v>1309</v>
      </c>
      <c r="D714" s="26" t="s">
        <v>3487</v>
      </c>
      <c r="E714" s="26" t="s">
        <v>761</v>
      </c>
      <c r="G714" s="26" t="s">
        <v>3509</v>
      </c>
      <c r="H714" s="26" t="s">
        <v>39</v>
      </c>
      <c r="I714" s="26" t="s">
        <v>1190</v>
      </c>
      <c r="J714" s="11" t="str">
        <f>VLOOKUP(K714,'PN Dictionary'!A:B,2,FALSE)</f>
        <v>GB300 L10</v>
      </c>
      <c r="K714" s="26" t="s">
        <v>1340</v>
      </c>
      <c r="L714" s="26" t="s">
        <v>3513</v>
      </c>
      <c r="M714" s="44" t="s">
        <v>3514</v>
      </c>
      <c r="N714" s="26" t="s">
        <v>53</v>
      </c>
      <c r="O714" s="26" t="s">
        <v>728</v>
      </c>
      <c r="P714" s="26">
        <v>90160</v>
      </c>
      <c r="Q714" s="26" t="s">
        <v>55</v>
      </c>
    </row>
    <row r="715" spans="1:17" hidden="1" x14ac:dyDescent="0.3">
      <c r="A715" s="26" t="s">
        <v>3515</v>
      </c>
      <c r="B715" s="26" t="s">
        <v>3516</v>
      </c>
      <c r="C715" s="26" t="s">
        <v>1309</v>
      </c>
      <c r="D715" s="26" t="s">
        <v>3517</v>
      </c>
      <c r="E715" s="26" t="s">
        <v>761</v>
      </c>
      <c r="G715" s="26" t="s">
        <v>3509</v>
      </c>
      <c r="H715" s="26" t="s">
        <v>39</v>
      </c>
      <c r="I715" s="26" t="s">
        <v>1190</v>
      </c>
      <c r="J715" s="11" t="str">
        <f>VLOOKUP(K715,'PN Dictionary'!A:B,2,FALSE)</f>
        <v>GB300 L10</v>
      </c>
      <c r="K715" s="26" t="s">
        <v>1340</v>
      </c>
      <c r="L715" s="26" t="s">
        <v>3518</v>
      </c>
      <c r="M715" s="44" t="s">
        <v>3519</v>
      </c>
      <c r="N715" s="26" t="s">
        <v>53</v>
      </c>
      <c r="O715" s="26" t="s">
        <v>728</v>
      </c>
      <c r="P715" s="26">
        <v>90160</v>
      </c>
      <c r="Q715" s="26" t="s">
        <v>55</v>
      </c>
    </row>
    <row r="716" spans="1:17" hidden="1" x14ac:dyDescent="0.3">
      <c r="A716" s="26" t="s">
        <v>3520</v>
      </c>
      <c r="B716" s="26" t="s">
        <v>3521</v>
      </c>
      <c r="C716" s="26" t="s">
        <v>1309</v>
      </c>
      <c r="D716" s="26" t="s">
        <v>3508</v>
      </c>
      <c r="E716" s="26" t="s">
        <v>761</v>
      </c>
      <c r="G716" s="26" t="s">
        <v>3509</v>
      </c>
      <c r="H716" s="26" t="s">
        <v>39</v>
      </c>
      <c r="I716" s="26" t="s">
        <v>1190</v>
      </c>
      <c r="J716" s="11" t="str">
        <f>VLOOKUP(K716,'PN Dictionary'!A:B,2,FALSE)</f>
        <v>GB300 L10</v>
      </c>
      <c r="K716" s="26" t="s">
        <v>1340</v>
      </c>
      <c r="L716" s="26" t="s">
        <v>3522</v>
      </c>
      <c r="M716" s="44" t="s">
        <v>3523</v>
      </c>
      <c r="N716" s="26" t="s">
        <v>53</v>
      </c>
      <c r="O716" s="26" t="s">
        <v>728</v>
      </c>
      <c r="P716" s="26">
        <v>90160</v>
      </c>
      <c r="Q716" s="26" t="s">
        <v>55</v>
      </c>
    </row>
    <row r="717" spans="1:17" hidden="1" x14ac:dyDescent="0.3">
      <c r="A717" s="26" t="s">
        <v>3524</v>
      </c>
      <c r="B717" s="26" t="s">
        <v>3525</v>
      </c>
      <c r="C717" s="26" t="s">
        <v>1309</v>
      </c>
      <c r="D717" s="26" t="s">
        <v>3526</v>
      </c>
      <c r="E717" s="26" t="s">
        <v>242</v>
      </c>
      <c r="G717" s="26" t="s">
        <v>3527</v>
      </c>
      <c r="H717" s="26" t="s">
        <v>536</v>
      </c>
      <c r="I717" s="26" t="s">
        <v>3528</v>
      </c>
      <c r="J717" s="11" t="str">
        <f>VLOOKUP(K717,'PN Dictionary'!A:B,2,FALSE)</f>
        <v>power shelf left input</v>
      </c>
      <c r="K717" s="26" t="s">
        <v>3591</v>
      </c>
      <c r="L717" s="26" t="s">
        <v>3530</v>
      </c>
      <c r="M717" s="44"/>
      <c r="N717" s="26" t="s">
        <v>53</v>
      </c>
      <c r="O717" s="26" t="s">
        <v>728</v>
      </c>
      <c r="P717" s="26">
        <v>924</v>
      </c>
      <c r="Q717" s="26" t="s">
        <v>55</v>
      </c>
    </row>
    <row r="718" spans="1:17" hidden="1" x14ac:dyDescent="0.3">
      <c r="A718" s="26" t="s">
        <v>3531</v>
      </c>
      <c r="B718" s="26" t="s">
        <v>3532</v>
      </c>
      <c r="C718" s="26" t="s">
        <v>1309</v>
      </c>
      <c r="D718" s="26" t="s">
        <v>3533</v>
      </c>
      <c r="E718" s="26" t="s">
        <v>230</v>
      </c>
      <c r="G718" s="26" t="s">
        <v>3527</v>
      </c>
      <c r="H718" s="26" t="s">
        <v>39</v>
      </c>
      <c r="I718" s="26" t="s">
        <v>3534</v>
      </c>
      <c r="J718" s="11" t="str">
        <f>VLOOKUP(K718,'PN Dictionary'!A:B,2,FALSE)</f>
        <v>NVSwitch</v>
      </c>
      <c r="K718" s="26" t="s">
        <v>7</v>
      </c>
      <c r="L718" s="26" t="s">
        <v>3535</v>
      </c>
      <c r="M718" s="44" t="s">
        <v>3536</v>
      </c>
      <c r="N718" s="26" t="s">
        <v>53</v>
      </c>
      <c r="O718" s="26" t="s">
        <v>728</v>
      </c>
      <c r="P718" s="26">
        <v>1519</v>
      </c>
      <c r="Q718" s="26" t="s">
        <v>55</v>
      </c>
    </row>
    <row r="719" spans="1:17" hidden="1" x14ac:dyDescent="0.3">
      <c r="A719" s="26" t="s">
        <v>3537</v>
      </c>
      <c r="B719" s="26" t="s">
        <v>3538</v>
      </c>
      <c r="C719" s="26" t="s">
        <v>1309</v>
      </c>
      <c r="D719" s="26" t="s">
        <v>3539</v>
      </c>
      <c r="E719" s="26" t="s">
        <v>52</v>
      </c>
      <c r="G719" s="26" t="s">
        <v>3527</v>
      </c>
      <c r="H719" s="26" t="s">
        <v>39</v>
      </c>
      <c r="I719" s="26" t="s">
        <v>3540</v>
      </c>
      <c r="J719" s="11" t="str">
        <f>VLOOKUP(K719,'PN Dictionary'!A:B,2,FALSE)</f>
        <v>GB300 L10</v>
      </c>
      <c r="K719" s="26" t="s">
        <v>1340</v>
      </c>
      <c r="L719" s="26" t="s">
        <v>1579</v>
      </c>
      <c r="M719" s="44" t="s">
        <v>3541</v>
      </c>
      <c r="N719" s="26" t="s">
        <v>53</v>
      </c>
      <c r="O719" s="26" t="s">
        <v>728</v>
      </c>
      <c r="P719" s="26">
        <v>3908</v>
      </c>
      <c r="Q719" s="26" t="s">
        <v>55</v>
      </c>
    </row>
    <row r="720" spans="1:17" hidden="1" x14ac:dyDescent="0.3">
      <c r="A720" s="26" t="s">
        <v>3542</v>
      </c>
      <c r="B720" s="26" t="s">
        <v>3543</v>
      </c>
      <c r="C720" s="26" t="s">
        <v>1309</v>
      </c>
      <c r="D720" s="26" t="s">
        <v>3544</v>
      </c>
      <c r="E720" s="26" t="s">
        <v>761</v>
      </c>
      <c r="G720" s="26" t="s">
        <v>3527</v>
      </c>
      <c r="H720" s="26" t="s">
        <v>39</v>
      </c>
      <c r="I720" s="26" t="s">
        <v>1190</v>
      </c>
      <c r="J720" s="11" t="str">
        <f>VLOOKUP(K720,'PN Dictionary'!A:B,2,FALSE)</f>
        <v>GB300 L10</v>
      </c>
      <c r="K720" s="26" t="s">
        <v>1340</v>
      </c>
      <c r="L720" s="26" t="s">
        <v>3545</v>
      </c>
      <c r="M720" s="44" t="s">
        <v>3546</v>
      </c>
      <c r="N720" s="26" t="s">
        <v>53</v>
      </c>
      <c r="O720" s="26" t="s">
        <v>728</v>
      </c>
      <c r="P720" s="26">
        <v>90160</v>
      </c>
      <c r="Q720" s="26" t="s">
        <v>55</v>
      </c>
    </row>
    <row r="721" spans="1:17" hidden="1" x14ac:dyDescent="0.3">
      <c r="A721" s="26" t="s">
        <v>3547</v>
      </c>
      <c r="B721" s="26" t="s">
        <v>3548</v>
      </c>
      <c r="C721" s="26" t="s">
        <v>1309</v>
      </c>
      <c r="D721" s="26" t="s">
        <v>3533</v>
      </c>
      <c r="E721" s="26" t="s">
        <v>411</v>
      </c>
      <c r="G721" s="26" t="s">
        <v>3549</v>
      </c>
      <c r="H721" s="26" t="s">
        <v>39</v>
      </c>
      <c r="I721" s="26" t="s">
        <v>3550</v>
      </c>
      <c r="J721" s="11" t="str">
        <f>VLOOKUP(K721,'PN Dictionary'!A:B,2,FALSE)</f>
        <v>NVSwitch</v>
      </c>
      <c r="K721" s="26" t="s">
        <v>7</v>
      </c>
      <c r="L721" s="26" t="s">
        <v>3551</v>
      </c>
      <c r="M721" s="44" t="s">
        <v>3552</v>
      </c>
      <c r="N721" s="26" t="s">
        <v>53</v>
      </c>
      <c r="O721" s="26" t="s">
        <v>728</v>
      </c>
      <c r="P721" s="26">
        <v>90160</v>
      </c>
      <c r="Q721" s="26" t="s">
        <v>55</v>
      </c>
    </row>
    <row r="722" spans="1:17" hidden="1" x14ac:dyDescent="0.3">
      <c r="A722" s="26" t="s">
        <v>3553</v>
      </c>
      <c r="B722" s="26" t="s">
        <v>3554</v>
      </c>
      <c r="C722" s="26" t="s">
        <v>1309</v>
      </c>
      <c r="D722" s="26" t="s">
        <v>3555</v>
      </c>
      <c r="E722" s="26" t="s">
        <v>761</v>
      </c>
      <c r="G722" s="26" t="s">
        <v>3549</v>
      </c>
      <c r="H722" s="26" t="s">
        <v>39</v>
      </c>
      <c r="I722" s="26" t="s">
        <v>1190</v>
      </c>
      <c r="J722" s="11" t="str">
        <f>VLOOKUP(K722,'PN Dictionary'!A:B,2,FALSE)</f>
        <v>GB300 L10</v>
      </c>
      <c r="K722" s="26" t="s">
        <v>1340</v>
      </c>
      <c r="L722" s="26" t="s">
        <v>3556</v>
      </c>
      <c r="M722" s="44" t="s">
        <v>3557</v>
      </c>
      <c r="N722" s="26" t="s">
        <v>53</v>
      </c>
      <c r="O722" s="26" t="s">
        <v>728</v>
      </c>
      <c r="P722" s="26">
        <v>90160</v>
      </c>
      <c r="Q722" s="26" t="s">
        <v>55</v>
      </c>
    </row>
    <row r="723" spans="1:17" hidden="1" x14ac:dyDescent="0.3">
      <c r="A723" s="26" t="s">
        <v>3558</v>
      </c>
      <c r="B723" s="26" t="s">
        <v>3559</v>
      </c>
      <c r="C723" s="26" t="s">
        <v>1309</v>
      </c>
      <c r="D723" s="26" t="s">
        <v>3555</v>
      </c>
      <c r="E723" s="26" t="s">
        <v>761</v>
      </c>
      <c r="G723" s="26" t="s">
        <v>3549</v>
      </c>
      <c r="H723" s="26" t="s">
        <v>39</v>
      </c>
      <c r="I723" s="26" t="s">
        <v>1190</v>
      </c>
      <c r="J723" s="11" t="str">
        <f>VLOOKUP(K723,'PN Dictionary'!A:B,2,FALSE)</f>
        <v>GB300 L10</v>
      </c>
      <c r="K723" s="26" t="s">
        <v>1340</v>
      </c>
      <c r="L723" s="26" t="s">
        <v>3560</v>
      </c>
      <c r="M723" s="44" t="s">
        <v>3475</v>
      </c>
      <c r="N723" s="26" t="s">
        <v>53</v>
      </c>
      <c r="O723" s="26" t="s">
        <v>728</v>
      </c>
      <c r="P723" s="26">
        <v>90160</v>
      </c>
      <c r="Q723" s="26" t="s">
        <v>55</v>
      </c>
    </row>
    <row r="724" spans="1:17" hidden="1" x14ac:dyDescent="0.3">
      <c r="A724" s="26" t="s">
        <v>3561</v>
      </c>
      <c r="B724" s="26" t="s">
        <v>3562</v>
      </c>
      <c r="C724" s="26" t="s">
        <v>1309</v>
      </c>
      <c r="D724" s="26" t="s">
        <v>3555</v>
      </c>
      <c r="E724" s="26" t="s">
        <v>761</v>
      </c>
      <c r="G724" s="26" t="s">
        <v>3549</v>
      </c>
      <c r="H724" s="26" t="s">
        <v>39</v>
      </c>
      <c r="I724" s="26" t="s">
        <v>1190</v>
      </c>
      <c r="J724" s="11" t="str">
        <f>VLOOKUP(K724,'PN Dictionary'!A:B,2,FALSE)</f>
        <v>GB300 L10</v>
      </c>
      <c r="K724" s="26" t="s">
        <v>1340</v>
      </c>
      <c r="L724" s="26" t="s">
        <v>3563</v>
      </c>
      <c r="M724" s="44" t="s">
        <v>3564</v>
      </c>
      <c r="N724" s="26" t="s">
        <v>53</v>
      </c>
      <c r="O724" s="26" t="s">
        <v>728</v>
      </c>
      <c r="P724" s="26">
        <v>90160</v>
      </c>
      <c r="Q724" s="26" t="s">
        <v>55</v>
      </c>
    </row>
    <row r="725" spans="1:17" hidden="1" x14ac:dyDescent="0.3">
      <c r="A725" s="26" t="s">
        <v>3565</v>
      </c>
      <c r="B725" s="26" t="s">
        <v>3566</v>
      </c>
      <c r="C725" s="26" t="s">
        <v>1309</v>
      </c>
      <c r="D725" s="26" t="s">
        <v>3567</v>
      </c>
      <c r="E725" s="26" t="s">
        <v>761</v>
      </c>
      <c r="G725" s="26" t="s">
        <v>3549</v>
      </c>
      <c r="H725" s="26" t="s">
        <v>39</v>
      </c>
      <c r="I725" s="26" t="s">
        <v>1190</v>
      </c>
      <c r="J725" s="11" t="str">
        <f>VLOOKUP(K725,'PN Dictionary'!A:B,2,FALSE)</f>
        <v>GB300 L10</v>
      </c>
      <c r="K725" s="26" t="s">
        <v>1340</v>
      </c>
      <c r="L725" s="26" t="s">
        <v>3568</v>
      </c>
      <c r="M725" s="44" t="s">
        <v>3569</v>
      </c>
      <c r="N725" s="26" t="s">
        <v>53</v>
      </c>
      <c r="O725" s="26" t="s">
        <v>728</v>
      </c>
      <c r="P725" s="26">
        <v>90160</v>
      </c>
      <c r="Q725" s="26" t="s">
        <v>55</v>
      </c>
    </row>
    <row r="726" spans="1:17" hidden="1" x14ac:dyDescent="0.3">
      <c r="A726" s="26" t="s">
        <v>3570</v>
      </c>
      <c r="B726" s="26" t="s">
        <v>3571</v>
      </c>
      <c r="C726" s="26" t="s">
        <v>1309</v>
      </c>
      <c r="D726" s="26" t="s">
        <v>3572</v>
      </c>
      <c r="E726" s="26" t="s">
        <v>761</v>
      </c>
      <c r="G726" s="26" t="s">
        <v>3573</v>
      </c>
      <c r="H726" s="26" t="s">
        <v>39</v>
      </c>
      <c r="I726" s="26" t="s">
        <v>1190</v>
      </c>
      <c r="J726" s="11" t="str">
        <f>VLOOKUP(K726,'PN Dictionary'!A:B,2,FALSE)</f>
        <v>GB300 L10</v>
      </c>
      <c r="K726" s="26" t="s">
        <v>1340</v>
      </c>
      <c r="L726" s="26" t="s">
        <v>3574</v>
      </c>
      <c r="M726" s="44" t="s">
        <v>3575</v>
      </c>
      <c r="N726" s="26" t="s">
        <v>53</v>
      </c>
      <c r="O726" s="26" t="s">
        <v>728</v>
      </c>
      <c r="P726" s="26">
        <v>90160</v>
      </c>
      <c r="Q726" s="26" t="s">
        <v>55</v>
      </c>
    </row>
    <row r="727" spans="1:17" hidden="1" x14ac:dyDescent="0.3">
      <c r="A727" s="26" t="s">
        <v>3576</v>
      </c>
      <c r="B727" s="26" t="s">
        <v>3577</v>
      </c>
      <c r="C727" s="26" t="s">
        <v>1309</v>
      </c>
      <c r="D727" s="26" t="s">
        <v>3578</v>
      </c>
      <c r="E727" s="26" t="s">
        <v>761</v>
      </c>
      <c r="G727" s="26" t="s">
        <v>3573</v>
      </c>
      <c r="H727" s="26" t="s">
        <v>39</v>
      </c>
      <c r="I727" s="26" t="s">
        <v>1190</v>
      </c>
      <c r="J727" s="11" t="str">
        <f>VLOOKUP(K727,'PN Dictionary'!A:B,2,FALSE)</f>
        <v>GB300 L10</v>
      </c>
      <c r="K727" s="26" t="s">
        <v>1340</v>
      </c>
      <c r="L727" s="26" t="s">
        <v>3579</v>
      </c>
      <c r="M727" s="44" t="s">
        <v>3580</v>
      </c>
      <c r="N727" s="26" t="s">
        <v>53</v>
      </c>
      <c r="O727" s="26" t="s">
        <v>728</v>
      </c>
      <c r="P727" s="26">
        <v>90160</v>
      </c>
      <c r="Q727" s="26" t="s">
        <v>55</v>
      </c>
    </row>
    <row r="728" spans="1:17" hidden="1" x14ac:dyDescent="0.3">
      <c r="A728" s="26" t="s">
        <v>3581</v>
      </c>
      <c r="B728" s="26" t="s">
        <v>3582</v>
      </c>
      <c r="C728" s="26" t="s">
        <v>1309</v>
      </c>
      <c r="D728" s="26" t="s">
        <v>3583</v>
      </c>
      <c r="E728" s="26" t="s">
        <v>81</v>
      </c>
      <c r="G728" s="26" t="s">
        <v>3584</v>
      </c>
      <c r="H728" s="26" t="s">
        <v>39</v>
      </c>
      <c r="I728" s="26" t="s">
        <v>3432</v>
      </c>
      <c r="J728" s="11" t="str">
        <f>VLOOKUP(K728,'PN Dictionary'!A:B,2,FALSE)</f>
        <v>GB300 L10</v>
      </c>
      <c r="K728" s="26" t="s">
        <v>1340</v>
      </c>
      <c r="L728" s="26" t="s">
        <v>3585</v>
      </c>
      <c r="M728" s="44" t="s">
        <v>3586</v>
      </c>
      <c r="N728" s="26" t="s">
        <v>53</v>
      </c>
      <c r="O728" s="26" t="s">
        <v>728</v>
      </c>
      <c r="P728" s="26">
        <v>90169</v>
      </c>
      <c r="Q728" s="26" t="s">
        <v>55</v>
      </c>
    </row>
    <row r="729" spans="1:17" hidden="1" x14ac:dyDescent="0.3">
      <c r="A729" s="26" t="s">
        <v>3587</v>
      </c>
      <c r="B729" s="26" t="s">
        <v>3588</v>
      </c>
      <c r="C729" s="26" t="s">
        <v>1309</v>
      </c>
      <c r="D729" s="26" t="s">
        <v>3583</v>
      </c>
      <c r="E729" s="26" t="s">
        <v>128</v>
      </c>
      <c r="G729" s="26" t="s">
        <v>3589</v>
      </c>
      <c r="H729" s="26" t="s">
        <v>39</v>
      </c>
      <c r="I729" s="26" t="s">
        <v>3590</v>
      </c>
      <c r="J729" s="11" t="str">
        <f>VLOOKUP(K729,'PN Dictionary'!A:B,2,FALSE)</f>
        <v>Cable Cartridge</v>
      </c>
      <c r="K729" s="26" t="s">
        <v>6</v>
      </c>
      <c r="L729" s="26">
        <v>1824025185942</v>
      </c>
      <c r="M729" s="44">
        <v>1824025185376</v>
      </c>
      <c r="N729" s="26" t="s">
        <v>53</v>
      </c>
      <c r="O729" s="26" t="s">
        <v>728</v>
      </c>
      <c r="P729" s="26">
        <v>90169</v>
      </c>
      <c r="Q729" s="26" t="s">
        <v>55</v>
      </c>
    </row>
    <row r="730" spans="1:17" hidden="1" x14ac:dyDescent="0.3">
      <c r="A730" s="26" t="s">
        <v>3594</v>
      </c>
      <c r="B730" s="26" t="s">
        <v>3595</v>
      </c>
      <c r="C730" s="26" t="s">
        <v>1309</v>
      </c>
      <c r="D730" s="26" t="s">
        <v>3596</v>
      </c>
      <c r="E730" s="26" t="s">
        <v>761</v>
      </c>
      <c r="G730" s="26" t="s">
        <v>3597</v>
      </c>
      <c r="H730" s="26" t="s">
        <v>39</v>
      </c>
      <c r="I730" s="26" t="s">
        <v>1190</v>
      </c>
      <c r="J730" s="11" t="str">
        <f>VLOOKUP(K730,'PN Dictionary'!A:B,2,FALSE)</f>
        <v>GB300 L10</v>
      </c>
      <c r="K730" s="26" t="s">
        <v>1340</v>
      </c>
      <c r="L730" s="26" t="s">
        <v>3598</v>
      </c>
      <c r="M730" s="44" t="s">
        <v>3599</v>
      </c>
      <c r="N730" s="26" t="s">
        <v>53</v>
      </c>
      <c r="O730" s="26" t="s">
        <v>728</v>
      </c>
      <c r="P730" s="26">
        <v>90169</v>
      </c>
      <c r="Q730" s="26" t="s">
        <v>55</v>
      </c>
    </row>
    <row r="731" spans="1:17" hidden="1" x14ac:dyDescent="0.3">
      <c r="A731" s="26" t="s">
        <v>3600</v>
      </c>
      <c r="B731" s="26" t="s">
        <v>3601</v>
      </c>
      <c r="C731" s="26" t="s">
        <v>1309</v>
      </c>
      <c r="D731" s="26" t="s">
        <v>3596</v>
      </c>
      <c r="E731" s="26" t="s">
        <v>761</v>
      </c>
      <c r="G731" s="26" t="s">
        <v>3597</v>
      </c>
      <c r="H731" s="26" t="s">
        <v>39</v>
      </c>
      <c r="I731" s="26" t="s">
        <v>3602</v>
      </c>
      <c r="J731" s="11" t="str">
        <f>VLOOKUP(K731,'PN Dictionary'!A:B,2,FALSE)</f>
        <v>GB300 L10</v>
      </c>
      <c r="K731" s="26" t="s">
        <v>1340</v>
      </c>
      <c r="L731" s="26" t="s">
        <v>3603</v>
      </c>
      <c r="M731" s="44" t="s">
        <v>3604</v>
      </c>
      <c r="N731" s="26" t="s">
        <v>53</v>
      </c>
      <c r="O731" s="26" t="s">
        <v>728</v>
      </c>
      <c r="P731" s="26">
        <v>90185</v>
      </c>
      <c r="Q731" s="26" t="s">
        <v>55</v>
      </c>
    </row>
    <row r="732" spans="1:17" hidden="1" x14ac:dyDescent="0.3">
      <c r="A732" s="26" t="s">
        <v>3606</v>
      </c>
      <c r="B732" s="26" t="s">
        <v>3607</v>
      </c>
      <c r="C732" s="26" t="s">
        <v>3608</v>
      </c>
      <c r="D732" s="26" t="s">
        <v>3609</v>
      </c>
      <c r="E732" s="26" t="s">
        <v>81</v>
      </c>
      <c r="G732" s="26" t="s">
        <v>3610</v>
      </c>
      <c r="H732" s="26" t="s">
        <v>39</v>
      </c>
      <c r="I732" s="26" t="s">
        <v>3611</v>
      </c>
      <c r="J732" s="11" t="str">
        <f>VLOOKUP(K732,'PN Dictionary'!A:B,2,FALSE)</f>
        <v>GB300 L10</v>
      </c>
      <c r="K732" s="26" t="s">
        <v>3612</v>
      </c>
      <c r="L732" s="50" t="s">
        <v>3613</v>
      </c>
      <c r="M732" s="51" t="s">
        <v>3614</v>
      </c>
      <c r="N732" s="26" t="s">
        <v>53</v>
      </c>
      <c r="O732" s="26" t="s">
        <v>728</v>
      </c>
      <c r="P732" s="26">
        <v>90131</v>
      </c>
      <c r="Q732" s="26" t="s">
        <v>55</v>
      </c>
    </row>
    <row r="733" spans="1:17" hidden="1" x14ac:dyDescent="0.3">
      <c r="A733" s="26" t="s">
        <v>3615</v>
      </c>
      <c r="B733" s="26" t="s">
        <v>3616</v>
      </c>
      <c r="C733" s="26" t="s">
        <v>3608</v>
      </c>
      <c r="D733" s="26" t="s">
        <v>3617</v>
      </c>
      <c r="E733" s="26" t="s">
        <v>242</v>
      </c>
      <c r="G733" s="26" t="s">
        <v>3610</v>
      </c>
      <c r="H733" s="26" t="s">
        <v>39</v>
      </c>
      <c r="I733" s="26" t="s">
        <v>3618</v>
      </c>
      <c r="J733" s="11" t="str">
        <f>VLOOKUP(K733,'PN Dictionary'!A:B,2,FALSE)</f>
        <v>Power Shelf Control Module</v>
      </c>
      <c r="K733" s="26" t="s">
        <v>11</v>
      </c>
      <c r="L733" s="50" t="s">
        <v>3619</v>
      </c>
      <c r="M733" s="51" t="s">
        <v>3620</v>
      </c>
      <c r="N733" s="26" t="s">
        <v>53</v>
      </c>
      <c r="O733" s="26" t="s">
        <v>728</v>
      </c>
      <c r="P733" s="26">
        <v>90160</v>
      </c>
      <c r="Q733" s="26" t="s">
        <v>55</v>
      </c>
    </row>
    <row r="734" spans="1:17" hidden="1" x14ac:dyDescent="0.3">
      <c r="A734" s="26" t="s">
        <v>3621</v>
      </c>
      <c r="B734" s="26" t="s">
        <v>3622</v>
      </c>
      <c r="C734" s="26" t="s">
        <v>3608</v>
      </c>
      <c r="D734" s="26" t="s">
        <v>3623</v>
      </c>
      <c r="E734" s="26" t="s">
        <v>761</v>
      </c>
      <c r="G734" s="26" t="s">
        <v>3610</v>
      </c>
      <c r="H734" s="26" t="s">
        <v>39</v>
      </c>
      <c r="I734" s="26" t="s">
        <v>1190</v>
      </c>
      <c r="J734" s="11" t="str">
        <f>VLOOKUP(K734,'PN Dictionary'!A:B,2,FALSE)</f>
        <v>GB300 L10</v>
      </c>
      <c r="K734" s="26" t="s">
        <v>3612</v>
      </c>
      <c r="L734" s="50" t="s">
        <v>3624</v>
      </c>
      <c r="M734" s="51" t="s">
        <v>3625</v>
      </c>
      <c r="N734" s="26" t="s">
        <v>53</v>
      </c>
      <c r="O734" s="26" t="s">
        <v>728</v>
      </c>
      <c r="P734" s="26">
        <v>90160</v>
      </c>
      <c r="Q734" s="26" t="s">
        <v>55</v>
      </c>
    </row>
    <row r="735" spans="1:17" hidden="1" x14ac:dyDescent="0.3">
      <c r="A735" s="26" t="s">
        <v>3626</v>
      </c>
      <c r="B735" s="26" t="s">
        <v>3627</v>
      </c>
      <c r="C735" s="26" t="s">
        <v>3608</v>
      </c>
      <c r="D735" s="26" t="s">
        <v>3623</v>
      </c>
      <c r="E735" s="26" t="s">
        <v>761</v>
      </c>
      <c r="G735" s="26" t="s">
        <v>3610</v>
      </c>
      <c r="H735" s="26" t="s">
        <v>39</v>
      </c>
      <c r="I735" s="26" t="s">
        <v>1190</v>
      </c>
      <c r="J735" s="11" t="str">
        <f>VLOOKUP(K735,'PN Dictionary'!A:B,2,FALSE)</f>
        <v>GB300 L10</v>
      </c>
      <c r="K735" s="26" t="s">
        <v>3612</v>
      </c>
      <c r="L735" s="50" t="s">
        <v>3628</v>
      </c>
      <c r="M735" s="51" t="s">
        <v>3629</v>
      </c>
      <c r="N735" s="26" t="s">
        <v>53</v>
      </c>
      <c r="O735" s="26" t="s">
        <v>728</v>
      </c>
      <c r="P735" s="26">
        <v>90160</v>
      </c>
      <c r="Q735" s="26" t="s">
        <v>55</v>
      </c>
    </row>
    <row r="736" spans="1:17" hidden="1" x14ac:dyDescent="0.3">
      <c r="A736" s="26" t="s">
        <v>3630</v>
      </c>
      <c r="B736" s="26" t="s">
        <v>3631</v>
      </c>
      <c r="C736" s="26" t="s">
        <v>3608</v>
      </c>
      <c r="D736" s="26" t="s">
        <v>3632</v>
      </c>
      <c r="E736" s="26" t="s">
        <v>81</v>
      </c>
      <c r="G736" s="26" t="s">
        <v>3610</v>
      </c>
      <c r="H736" s="26" t="s">
        <v>39</v>
      </c>
      <c r="I736" s="26" t="s">
        <v>3633</v>
      </c>
      <c r="J736" s="11" t="str">
        <f>VLOOKUP(K736,'PN Dictionary'!A:B,2,FALSE)</f>
        <v>GB300 L10</v>
      </c>
      <c r="K736" s="26" t="s">
        <v>3612</v>
      </c>
      <c r="L736" s="50" t="s">
        <v>3634</v>
      </c>
      <c r="M736" s="51" t="s">
        <v>3635</v>
      </c>
      <c r="N736" s="26" t="s">
        <v>53</v>
      </c>
      <c r="O736" s="26" t="s">
        <v>728</v>
      </c>
      <c r="P736" s="26">
        <v>90131</v>
      </c>
      <c r="Q736" s="26" t="s">
        <v>55</v>
      </c>
    </row>
    <row r="737" spans="1:17" hidden="1" x14ac:dyDescent="0.3">
      <c r="A737" s="26" t="s">
        <v>3636</v>
      </c>
      <c r="B737" s="26" t="s">
        <v>3637</v>
      </c>
      <c r="C737" s="26" t="s">
        <v>3608</v>
      </c>
      <c r="D737" s="26" t="s">
        <v>3638</v>
      </c>
      <c r="E737" s="26" t="s">
        <v>761</v>
      </c>
      <c r="G737" s="26" t="s">
        <v>3639</v>
      </c>
      <c r="H737" s="26" t="s">
        <v>39</v>
      </c>
      <c r="I737" s="26" t="s">
        <v>1190</v>
      </c>
      <c r="J737" s="11" t="str">
        <f>VLOOKUP(K737,'PN Dictionary'!A:B,2,FALSE)</f>
        <v>GB300 L10</v>
      </c>
      <c r="K737" s="26" t="s">
        <v>3612</v>
      </c>
      <c r="L737" s="50" t="s">
        <v>3640</v>
      </c>
      <c r="M737" s="51" t="s">
        <v>3641</v>
      </c>
      <c r="N737" s="26" t="s">
        <v>53</v>
      </c>
      <c r="O737" s="26" t="s">
        <v>728</v>
      </c>
      <c r="P737" s="26">
        <v>90160</v>
      </c>
      <c r="Q737" s="26" t="s">
        <v>55</v>
      </c>
    </row>
    <row r="738" spans="1:17" hidden="1" x14ac:dyDescent="0.3">
      <c r="A738" s="26" t="s">
        <v>3642</v>
      </c>
      <c r="B738" s="26" t="s">
        <v>3643</v>
      </c>
      <c r="C738" s="26" t="s">
        <v>3608</v>
      </c>
      <c r="D738" s="26" t="s">
        <v>3638</v>
      </c>
      <c r="E738" s="26" t="s">
        <v>761</v>
      </c>
      <c r="G738" s="26" t="s">
        <v>3639</v>
      </c>
      <c r="H738" s="26" t="s">
        <v>39</v>
      </c>
      <c r="I738" s="26" t="s">
        <v>1190</v>
      </c>
      <c r="J738" s="11" t="str">
        <f>VLOOKUP(K738,'PN Dictionary'!A:B,2,FALSE)</f>
        <v>GB300 L10</v>
      </c>
      <c r="K738" s="26" t="s">
        <v>3612</v>
      </c>
      <c r="L738" s="50" t="s">
        <v>3644</v>
      </c>
      <c r="M738" s="51" t="s">
        <v>3645</v>
      </c>
      <c r="N738" s="26" t="s">
        <v>53</v>
      </c>
      <c r="O738" s="26" t="s">
        <v>728</v>
      </c>
      <c r="P738" s="26">
        <v>90160</v>
      </c>
      <c r="Q738" s="26" t="s">
        <v>55</v>
      </c>
    </row>
    <row r="739" spans="1:17" hidden="1" x14ac:dyDescent="0.3">
      <c r="A739" s="26" t="s">
        <v>3646</v>
      </c>
      <c r="B739" s="26" t="s">
        <v>3647</v>
      </c>
      <c r="C739" s="26" t="s">
        <v>3608</v>
      </c>
      <c r="D739" s="26" t="s">
        <v>3623</v>
      </c>
      <c r="E739" s="26" t="s">
        <v>3122</v>
      </c>
      <c r="G739" s="26" t="s">
        <v>3639</v>
      </c>
      <c r="H739" s="26" t="s">
        <v>39</v>
      </c>
      <c r="I739" s="26" t="s">
        <v>3123</v>
      </c>
      <c r="J739" s="11" t="str">
        <f>VLOOKUP(K739,'PN Dictionary'!A:B,2,FALSE)</f>
        <v>Cable Cartridge</v>
      </c>
      <c r="K739" s="26" t="s">
        <v>6</v>
      </c>
      <c r="L739" s="50">
        <v>1824025185557</v>
      </c>
      <c r="M739" s="51">
        <v>1824825354329</v>
      </c>
      <c r="N739" s="26" t="s">
        <v>53</v>
      </c>
      <c r="O739" s="26" t="s">
        <v>728</v>
      </c>
      <c r="P739" s="26">
        <v>90160</v>
      </c>
      <c r="Q739" s="26" t="s">
        <v>55</v>
      </c>
    </row>
    <row r="740" spans="1:17" hidden="1" x14ac:dyDescent="0.3">
      <c r="A740" s="26" t="s">
        <v>3648</v>
      </c>
      <c r="B740" s="26" t="s">
        <v>3649</v>
      </c>
      <c r="C740" s="26" t="s">
        <v>3608</v>
      </c>
      <c r="D740" s="26" t="s">
        <v>3650</v>
      </c>
      <c r="E740" s="26" t="s">
        <v>3651</v>
      </c>
      <c r="G740" s="26" t="s">
        <v>3639</v>
      </c>
      <c r="H740" s="26" t="s">
        <v>39</v>
      </c>
      <c r="I740" s="26" t="s">
        <v>3652</v>
      </c>
      <c r="J740" s="11" t="str">
        <f>VLOOKUP(K740,'PN Dictionary'!A:B,2,FALSE)</f>
        <v>GB300 L10</v>
      </c>
      <c r="K740" s="26" t="s">
        <v>3612</v>
      </c>
      <c r="L740" s="50" t="s">
        <v>3653</v>
      </c>
      <c r="M740" s="51" t="s">
        <v>3654</v>
      </c>
      <c r="N740" s="26" t="s">
        <v>53</v>
      </c>
      <c r="O740" s="26" t="s">
        <v>728</v>
      </c>
      <c r="P740" s="26">
        <v>891265</v>
      </c>
      <c r="Q740" s="26" t="s">
        <v>55</v>
      </c>
    </row>
    <row r="741" spans="1:17" hidden="1" x14ac:dyDescent="0.3">
      <c r="A741" s="26" t="s">
        <v>3655</v>
      </c>
      <c r="B741" s="26" t="s">
        <v>3656</v>
      </c>
      <c r="C741" s="26" t="s">
        <v>3608</v>
      </c>
      <c r="D741" s="26" t="s">
        <v>3623</v>
      </c>
      <c r="E741" s="26" t="s">
        <v>761</v>
      </c>
      <c r="G741" s="26" t="s">
        <v>3639</v>
      </c>
      <c r="H741" s="26" t="s">
        <v>39</v>
      </c>
      <c r="I741" s="26" t="s">
        <v>1190</v>
      </c>
      <c r="J741" s="11" t="str">
        <f>VLOOKUP(K741,'PN Dictionary'!A:B,2,FALSE)</f>
        <v>GB300 L10</v>
      </c>
      <c r="K741" s="26" t="s">
        <v>3612</v>
      </c>
      <c r="L741" s="50" t="s">
        <v>3629</v>
      </c>
      <c r="M741" s="51" t="s">
        <v>3624</v>
      </c>
      <c r="N741" s="26" t="s">
        <v>53</v>
      </c>
      <c r="O741" s="26" t="s">
        <v>728</v>
      </c>
      <c r="P741" s="26">
        <v>90160</v>
      </c>
      <c r="Q741" s="26" t="s">
        <v>55</v>
      </c>
    </row>
    <row r="742" spans="1:17" hidden="1" x14ac:dyDescent="0.3">
      <c r="A742" s="26" t="s">
        <v>3657</v>
      </c>
      <c r="B742" s="26" t="s">
        <v>3658</v>
      </c>
      <c r="C742" s="26" t="s">
        <v>3608</v>
      </c>
      <c r="D742" s="26" t="s">
        <v>3623</v>
      </c>
      <c r="E742" s="26" t="s">
        <v>761</v>
      </c>
      <c r="G742" s="26" t="s">
        <v>3639</v>
      </c>
      <c r="H742" s="26" t="s">
        <v>39</v>
      </c>
      <c r="I742" s="26" t="s">
        <v>1190</v>
      </c>
      <c r="J742" s="11" t="str">
        <f>VLOOKUP(K742,'PN Dictionary'!A:B,2,FALSE)</f>
        <v>GB300 L10</v>
      </c>
      <c r="K742" s="26" t="s">
        <v>3612</v>
      </c>
      <c r="L742" s="50" t="s">
        <v>3624</v>
      </c>
      <c r="M742" s="51" t="s">
        <v>3659</v>
      </c>
      <c r="N742" s="26" t="s">
        <v>53</v>
      </c>
      <c r="O742" s="26" t="s">
        <v>728</v>
      </c>
      <c r="P742" s="26">
        <v>90160</v>
      </c>
      <c r="Q742" s="26" t="s">
        <v>55</v>
      </c>
    </row>
    <row r="743" spans="1:17" hidden="1" x14ac:dyDescent="0.3">
      <c r="A743" s="26" t="s">
        <v>3660</v>
      </c>
      <c r="B743" s="26" t="s">
        <v>3661</v>
      </c>
      <c r="C743" s="26" t="s">
        <v>3608</v>
      </c>
      <c r="D743" s="26" t="s">
        <v>3662</v>
      </c>
      <c r="E743" s="26" t="s">
        <v>230</v>
      </c>
      <c r="G743" s="26" t="s">
        <v>3663</v>
      </c>
      <c r="H743" s="26" t="s">
        <v>39</v>
      </c>
      <c r="I743" s="26" t="s">
        <v>3664</v>
      </c>
      <c r="J743" s="11" t="str">
        <f>VLOOKUP(K743,'PN Dictionary'!A:B,2,FALSE)</f>
        <v>NVSwitch</v>
      </c>
      <c r="K743" s="26" t="s">
        <v>7</v>
      </c>
      <c r="L743" s="50" t="s">
        <v>3665</v>
      </c>
      <c r="M743" s="51" t="s">
        <v>3666</v>
      </c>
      <c r="N743" s="26" t="s">
        <v>53</v>
      </c>
      <c r="O743" s="26" t="s">
        <v>728</v>
      </c>
      <c r="P743" s="26">
        <v>924</v>
      </c>
      <c r="Q743" s="26" t="s">
        <v>55</v>
      </c>
    </row>
    <row r="744" spans="1:17" hidden="1" x14ac:dyDescent="0.3">
      <c r="A744" s="26" t="s">
        <v>3667</v>
      </c>
      <c r="B744" s="26" t="s">
        <v>3668</v>
      </c>
      <c r="C744" s="26" t="s">
        <v>3608</v>
      </c>
      <c r="D744" s="26" t="s">
        <v>3669</v>
      </c>
      <c r="E744" s="26" t="s">
        <v>128</v>
      </c>
      <c r="G744" s="26" t="s">
        <v>3663</v>
      </c>
      <c r="H744" s="26" t="s">
        <v>39</v>
      </c>
      <c r="I744" s="26" t="s">
        <v>3670</v>
      </c>
      <c r="J744" s="11" t="str">
        <f>VLOOKUP(K744,'PN Dictionary'!A:B,2,FALSE)</f>
        <v>Cable Cartridge</v>
      </c>
      <c r="K744" s="26" t="s">
        <v>6</v>
      </c>
      <c r="L744" s="50">
        <v>2024325880474</v>
      </c>
      <c r="M744" s="51">
        <v>1823025356713</v>
      </c>
      <c r="N744" s="26" t="s">
        <v>53</v>
      </c>
      <c r="O744" s="26" t="s">
        <v>728</v>
      </c>
      <c r="P744" s="26">
        <v>90185</v>
      </c>
      <c r="Q744" s="26" t="s">
        <v>55</v>
      </c>
    </row>
    <row r="745" spans="1:17" hidden="1" x14ac:dyDescent="0.3">
      <c r="A745" s="26" t="s">
        <v>3671</v>
      </c>
      <c r="B745" s="26" t="s">
        <v>3672</v>
      </c>
      <c r="C745" s="26" t="s">
        <v>3608</v>
      </c>
      <c r="D745" s="26" t="s">
        <v>3673</v>
      </c>
      <c r="E745" s="26" t="s">
        <v>761</v>
      </c>
      <c r="G745" s="26" t="s">
        <v>3663</v>
      </c>
      <c r="H745" s="26" t="s">
        <v>39</v>
      </c>
      <c r="I745" s="26" t="s">
        <v>1190</v>
      </c>
      <c r="J745" s="11" t="str">
        <f>VLOOKUP(K745,'PN Dictionary'!A:B,2,FALSE)</f>
        <v>GB300 L10</v>
      </c>
      <c r="K745" s="26" t="s">
        <v>3612</v>
      </c>
      <c r="L745" s="50" t="s">
        <v>3674</v>
      </c>
      <c r="M745" s="51" t="s">
        <v>3675</v>
      </c>
      <c r="N745" s="26" t="s">
        <v>53</v>
      </c>
      <c r="O745" s="26" t="s">
        <v>728</v>
      </c>
      <c r="P745" s="26">
        <v>90160</v>
      </c>
      <c r="Q745" s="26" t="s">
        <v>55</v>
      </c>
    </row>
    <row r="746" spans="1:17" hidden="1" x14ac:dyDescent="0.3">
      <c r="A746" s="26" t="s">
        <v>3676</v>
      </c>
      <c r="B746" s="26" t="s">
        <v>3677</v>
      </c>
      <c r="C746" s="26" t="s">
        <v>3608</v>
      </c>
      <c r="D746" s="26" t="s">
        <v>3678</v>
      </c>
      <c r="E746" s="26" t="s">
        <v>761</v>
      </c>
      <c r="G746" s="26" t="s">
        <v>3663</v>
      </c>
      <c r="H746" s="26" t="s">
        <v>39</v>
      </c>
      <c r="I746" s="26" t="s">
        <v>1190</v>
      </c>
      <c r="J746" s="11" t="str">
        <f>VLOOKUP(K746,'PN Dictionary'!A:B,2,FALSE)</f>
        <v>GB300 L10</v>
      </c>
      <c r="K746" s="26" t="s">
        <v>3612</v>
      </c>
      <c r="L746" s="50" t="s">
        <v>3679</v>
      </c>
      <c r="M746" s="51" t="s">
        <v>3680</v>
      </c>
      <c r="N746" s="26" t="s">
        <v>53</v>
      </c>
      <c r="O746" s="26" t="s">
        <v>728</v>
      </c>
      <c r="P746" s="26">
        <v>90160</v>
      </c>
      <c r="Q746" s="26" t="s">
        <v>55</v>
      </c>
    </row>
    <row r="747" spans="1:17" hidden="1" x14ac:dyDescent="0.3">
      <c r="A747" s="26" t="s">
        <v>3681</v>
      </c>
      <c r="B747" s="26" t="s">
        <v>3682</v>
      </c>
      <c r="C747" s="26" t="s">
        <v>3608</v>
      </c>
      <c r="D747" s="26" t="s">
        <v>3683</v>
      </c>
      <c r="E747" s="26" t="s">
        <v>128</v>
      </c>
      <c r="G747" s="26" t="s">
        <v>3663</v>
      </c>
      <c r="H747" s="26" t="s">
        <v>39</v>
      </c>
      <c r="I747" s="26" t="s">
        <v>3684</v>
      </c>
      <c r="J747" s="11" t="str">
        <f>VLOOKUP(K747,'PN Dictionary'!A:B,2,FALSE)</f>
        <v>Cable Cartridge</v>
      </c>
      <c r="K747" s="26" t="s">
        <v>6</v>
      </c>
      <c r="L747" s="50">
        <v>1823125354204</v>
      </c>
      <c r="M747" s="51">
        <v>1823025357186</v>
      </c>
      <c r="N747" s="26" t="s">
        <v>53</v>
      </c>
      <c r="O747" s="26" t="s">
        <v>728</v>
      </c>
      <c r="P747" s="26">
        <v>90185</v>
      </c>
      <c r="Q747" s="26" t="s">
        <v>55</v>
      </c>
    </row>
    <row r="748" spans="1:17" hidden="1" x14ac:dyDescent="0.3">
      <c r="A748" s="26" t="s">
        <v>3685</v>
      </c>
      <c r="B748" s="26" t="s">
        <v>3686</v>
      </c>
      <c r="C748" s="26" t="s">
        <v>3608</v>
      </c>
      <c r="D748" s="26" t="s">
        <v>3687</v>
      </c>
      <c r="E748" s="26" t="s">
        <v>761</v>
      </c>
      <c r="F748" s="26" t="s">
        <v>3688</v>
      </c>
      <c r="G748" s="26" t="s">
        <v>3689</v>
      </c>
      <c r="H748" s="26" t="s">
        <v>39</v>
      </c>
      <c r="I748" s="26" t="s">
        <v>1190</v>
      </c>
      <c r="J748" s="11" t="str">
        <f>VLOOKUP(K748,'PN Dictionary'!A:B,2,FALSE)</f>
        <v>GB300 L10</v>
      </c>
      <c r="K748" s="26" t="s">
        <v>3612</v>
      </c>
      <c r="L748" s="50" t="s">
        <v>3690</v>
      </c>
      <c r="M748" s="51" t="s">
        <v>3691</v>
      </c>
      <c r="N748" s="26" t="s">
        <v>53</v>
      </c>
      <c r="O748" s="26" t="s">
        <v>728</v>
      </c>
      <c r="P748" s="26">
        <v>90160</v>
      </c>
      <c r="Q748" s="26" t="s">
        <v>55</v>
      </c>
    </row>
    <row r="749" spans="1:17" hidden="1" x14ac:dyDescent="0.3">
      <c r="A749" s="26" t="s">
        <v>3692</v>
      </c>
      <c r="B749" s="26" t="s">
        <v>3693</v>
      </c>
      <c r="C749" s="26" t="s">
        <v>3608</v>
      </c>
      <c r="D749" s="26" t="s">
        <v>3687</v>
      </c>
      <c r="E749" s="26" t="s">
        <v>3122</v>
      </c>
      <c r="F749" s="26" t="s">
        <v>3694</v>
      </c>
      <c r="G749" s="26" t="s">
        <v>3689</v>
      </c>
      <c r="H749" s="26" t="s">
        <v>39</v>
      </c>
      <c r="I749" s="26" t="s">
        <v>3123</v>
      </c>
      <c r="J749" s="11" t="str">
        <f>VLOOKUP(K749,'PN Dictionary'!A:B,2,FALSE)</f>
        <v>Cable Cartridge</v>
      </c>
      <c r="K749" s="26" t="s">
        <v>6</v>
      </c>
      <c r="L749" s="50">
        <v>2024125883155</v>
      </c>
      <c r="M749" s="51">
        <v>1824825354388</v>
      </c>
      <c r="N749" s="26" t="s">
        <v>53</v>
      </c>
      <c r="O749" s="26" t="s">
        <v>728</v>
      </c>
      <c r="P749" s="26">
        <v>90160</v>
      </c>
      <c r="Q749" s="26" t="s">
        <v>55</v>
      </c>
    </row>
    <row r="750" spans="1:17" hidden="1" x14ac:dyDescent="0.3">
      <c r="A750" s="26" t="s">
        <v>3695</v>
      </c>
      <c r="B750" s="26" t="s">
        <v>3696</v>
      </c>
      <c r="C750" s="26" t="s">
        <v>3608</v>
      </c>
      <c r="D750" s="26" t="s">
        <v>3697</v>
      </c>
      <c r="E750" s="26" t="s">
        <v>761</v>
      </c>
      <c r="F750" s="26" t="s">
        <v>3688</v>
      </c>
      <c r="G750" s="26" t="s">
        <v>3689</v>
      </c>
      <c r="H750" s="26" t="s">
        <v>39</v>
      </c>
      <c r="I750" s="26" t="s">
        <v>1190</v>
      </c>
      <c r="J750" s="11" t="str">
        <f>VLOOKUP(K750,'PN Dictionary'!A:B,2,FALSE)</f>
        <v>GB300 L10</v>
      </c>
      <c r="K750" s="26" t="s">
        <v>3612</v>
      </c>
      <c r="L750" s="50" t="s">
        <v>3698</v>
      </c>
      <c r="M750" s="51" t="s">
        <v>3699</v>
      </c>
      <c r="N750" s="26" t="s">
        <v>53</v>
      </c>
      <c r="O750" s="26" t="s">
        <v>728</v>
      </c>
      <c r="P750" s="26">
        <v>90160</v>
      </c>
      <c r="Q750" s="26" t="s">
        <v>55</v>
      </c>
    </row>
    <row r="751" spans="1:17" hidden="1" x14ac:dyDescent="0.3">
      <c r="A751" s="26" t="s">
        <v>3700</v>
      </c>
      <c r="B751" s="26" t="s">
        <v>3701</v>
      </c>
      <c r="C751" s="26" t="s">
        <v>3608</v>
      </c>
      <c r="D751" s="26" t="s">
        <v>3702</v>
      </c>
      <c r="E751" s="26" t="s">
        <v>3703</v>
      </c>
      <c r="F751" s="26" t="s">
        <v>3704</v>
      </c>
      <c r="G751" s="26" t="s">
        <v>3705</v>
      </c>
      <c r="H751" s="26" t="s">
        <v>39</v>
      </c>
      <c r="I751" s="26" t="s">
        <v>3706</v>
      </c>
      <c r="J751" s="11" t="str">
        <f>VLOOKUP(K751,'PN Dictionary'!A:B,2,FALSE)</f>
        <v>Delta power shelf right input</v>
      </c>
      <c r="K751" s="26" t="s">
        <v>353</v>
      </c>
      <c r="L751" s="50" t="s">
        <v>3707</v>
      </c>
      <c r="M751" s="51" t="s">
        <v>3708</v>
      </c>
      <c r="N751" s="26" t="s">
        <v>53</v>
      </c>
      <c r="O751" s="26" t="s">
        <v>728</v>
      </c>
      <c r="P751" s="26">
        <v>2803</v>
      </c>
      <c r="Q751" s="26" t="s">
        <v>55</v>
      </c>
    </row>
    <row r="752" spans="1:17" hidden="1" x14ac:dyDescent="0.3">
      <c r="A752" s="26" t="s">
        <v>3709</v>
      </c>
      <c r="B752" s="26" t="s">
        <v>3701</v>
      </c>
      <c r="C752" s="26" t="s">
        <v>3608</v>
      </c>
      <c r="D752" s="26" t="s">
        <v>3702</v>
      </c>
      <c r="E752" s="26" t="s">
        <v>3703</v>
      </c>
      <c r="F752" s="26" t="s">
        <v>3704</v>
      </c>
      <c r="G752" s="26" t="s">
        <v>3705</v>
      </c>
      <c r="H752" s="26" t="s">
        <v>39</v>
      </c>
      <c r="I752" s="26" t="s">
        <v>3706</v>
      </c>
      <c r="J752" s="11" t="str">
        <f>VLOOKUP(K752,'PN Dictionary'!A:B,2,FALSE)</f>
        <v>Delta Power Shelf Left Input</v>
      </c>
      <c r="K752" s="26" t="s">
        <v>10</v>
      </c>
      <c r="L752" s="50" t="s">
        <v>3710</v>
      </c>
      <c r="M752" s="51" t="s">
        <v>3711</v>
      </c>
      <c r="N752" s="26" t="s">
        <v>53</v>
      </c>
      <c r="O752" s="26" t="s">
        <v>728</v>
      </c>
      <c r="P752" s="26">
        <v>2803</v>
      </c>
      <c r="Q752" s="26" t="s">
        <v>55</v>
      </c>
    </row>
    <row r="753" spans="1:17" hidden="1" x14ac:dyDescent="0.3">
      <c r="A753" s="26" t="s">
        <v>3712</v>
      </c>
      <c r="B753" s="26" t="s">
        <v>3701</v>
      </c>
      <c r="C753" s="26" t="s">
        <v>3608</v>
      </c>
      <c r="D753" s="26" t="s">
        <v>3702</v>
      </c>
      <c r="E753" s="26" t="s">
        <v>3703</v>
      </c>
      <c r="F753" s="26" t="s">
        <v>3704</v>
      </c>
      <c r="G753" s="26" t="s">
        <v>3705</v>
      </c>
      <c r="H753" s="26" t="s">
        <v>39</v>
      </c>
      <c r="I753" s="26" t="s">
        <v>3706</v>
      </c>
      <c r="J753" s="11" t="str">
        <f>VLOOKUP(K753,'PN Dictionary'!A:B,2,FALSE)</f>
        <v>Delta power shelf right input</v>
      </c>
      <c r="K753" s="26" t="s">
        <v>353</v>
      </c>
      <c r="L753" s="50" t="s">
        <v>3713</v>
      </c>
      <c r="M753" s="51" t="s">
        <v>3714</v>
      </c>
      <c r="N753" s="26" t="s">
        <v>53</v>
      </c>
      <c r="O753" s="26" t="s">
        <v>728</v>
      </c>
      <c r="P753" s="26">
        <v>2803</v>
      </c>
      <c r="Q753" s="26" t="s">
        <v>55</v>
      </c>
    </row>
    <row r="754" spans="1:17" hidden="1" x14ac:dyDescent="0.3">
      <c r="A754" s="26" t="s">
        <v>3715</v>
      </c>
      <c r="B754" s="26" t="s">
        <v>3701</v>
      </c>
      <c r="C754" s="26" t="s">
        <v>3608</v>
      </c>
      <c r="D754" s="26" t="s">
        <v>3702</v>
      </c>
      <c r="E754" s="26" t="s">
        <v>3703</v>
      </c>
      <c r="F754" s="26" t="s">
        <v>3704</v>
      </c>
      <c r="G754" s="26" t="s">
        <v>3705</v>
      </c>
      <c r="H754" s="26" t="s">
        <v>39</v>
      </c>
      <c r="I754" s="26" t="s">
        <v>3706</v>
      </c>
      <c r="J754" s="11" t="str">
        <f>VLOOKUP(K754,'PN Dictionary'!A:B,2,FALSE)</f>
        <v>Delta Power Shelf Left Input</v>
      </c>
      <c r="K754" s="26" t="s">
        <v>10</v>
      </c>
      <c r="L754" s="50" t="s">
        <v>3716</v>
      </c>
      <c r="M754" s="51" t="s">
        <v>3717</v>
      </c>
      <c r="N754" s="26" t="s">
        <v>53</v>
      </c>
      <c r="O754" s="26" t="s">
        <v>728</v>
      </c>
      <c r="P754" s="26">
        <v>2803</v>
      </c>
      <c r="Q754" s="26" t="s">
        <v>55</v>
      </c>
    </row>
    <row r="755" spans="1:17" hidden="1" x14ac:dyDescent="0.3">
      <c r="A755" s="26" t="s">
        <v>3718</v>
      </c>
      <c r="B755" s="26" t="s">
        <v>3701</v>
      </c>
      <c r="C755" s="26" t="s">
        <v>3608</v>
      </c>
      <c r="D755" s="26" t="s">
        <v>3702</v>
      </c>
      <c r="E755" s="26" t="s">
        <v>3703</v>
      </c>
      <c r="F755" s="26" t="s">
        <v>3704</v>
      </c>
      <c r="G755" s="26" t="s">
        <v>3705</v>
      </c>
      <c r="H755" s="26" t="s">
        <v>39</v>
      </c>
      <c r="I755" s="26" t="s">
        <v>3706</v>
      </c>
      <c r="J755" s="11" t="str">
        <f>VLOOKUP(K755,'PN Dictionary'!A:B,2,FALSE)</f>
        <v>Delta power shelf right input</v>
      </c>
      <c r="K755" s="26" t="s">
        <v>353</v>
      </c>
      <c r="L755" s="50" t="s">
        <v>3719</v>
      </c>
      <c r="M755" s="51" t="s">
        <v>3720</v>
      </c>
      <c r="N755" s="26" t="s">
        <v>53</v>
      </c>
      <c r="O755" s="26" t="s">
        <v>728</v>
      </c>
      <c r="P755" s="26">
        <v>2803</v>
      </c>
      <c r="Q755" s="26" t="s">
        <v>55</v>
      </c>
    </row>
    <row r="756" spans="1:17" hidden="1" x14ac:dyDescent="0.3">
      <c r="A756" s="26" t="s">
        <v>3721</v>
      </c>
      <c r="B756" s="26" t="s">
        <v>3701</v>
      </c>
      <c r="C756" s="26" t="s">
        <v>3608</v>
      </c>
      <c r="D756" s="26" t="s">
        <v>3702</v>
      </c>
      <c r="E756" s="26" t="s">
        <v>3703</v>
      </c>
      <c r="F756" s="26" t="s">
        <v>3704</v>
      </c>
      <c r="G756" s="26" t="s">
        <v>3705</v>
      </c>
      <c r="H756" s="26" t="s">
        <v>39</v>
      </c>
      <c r="I756" s="26" t="s">
        <v>3706</v>
      </c>
      <c r="J756" s="11" t="str">
        <f>VLOOKUP(K756,'PN Dictionary'!A:B,2,FALSE)</f>
        <v>Delta Power Shelf Left Input</v>
      </c>
      <c r="K756" s="26" t="s">
        <v>10</v>
      </c>
      <c r="L756" s="50" t="s">
        <v>3722</v>
      </c>
      <c r="M756" s="51" t="s">
        <v>3723</v>
      </c>
      <c r="N756" s="26" t="s">
        <v>53</v>
      </c>
      <c r="O756" s="26" t="s">
        <v>728</v>
      </c>
      <c r="P756" s="26">
        <v>2803</v>
      </c>
      <c r="Q756" s="26" t="s">
        <v>55</v>
      </c>
    </row>
    <row r="757" spans="1:17" hidden="1" x14ac:dyDescent="0.3">
      <c r="A757" s="26" t="s">
        <v>3724</v>
      </c>
      <c r="B757" s="26" t="s">
        <v>3701</v>
      </c>
      <c r="C757" s="26" t="s">
        <v>3608</v>
      </c>
      <c r="D757" s="26" t="s">
        <v>3702</v>
      </c>
      <c r="E757" s="26" t="s">
        <v>3703</v>
      </c>
      <c r="F757" s="26" t="s">
        <v>3704</v>
      </c>
      <c r="G757" s="26" t="s">
        <v>3705</v>
      </c>
      <c r="H757" s="26" t="s">
        <v>39</v>
      </c>
      <c r="I757" s="26" t="s">
        <v>3706</v>
      </c>
      <c r="J757" s="11" t="str">
        <f>VLOOKUP(K757,'PN Dictionary'!A:B,2,FALSE)</f>
        <v>Delta power shelf right input</v>
      </c>
      <c r="K757" s="26" t="s">
        <v>353</v>
      </c>
      <c r="L757" s="50" t="s">
        <v>3725</v>
      </c>
      <c r="M757" s="51" t="s">
        <v>3726</v>
      </c>
      <c r="N757" s="26" t="s">
        <v>53</v>
      </c>
      <c r="O757" s="26" t="s">
        <v>728</v>
      </c>
      <c r="P757" s="26">
        <v>2803</v>
      </c>
      <c r="Q757" s="26" t="s">
        <v>55</v>
      </c>
    </row>
    <row r="758" spans="1:17" hidden="1" x14ac:dyDescent="0.3">
      <c r="A758" s="26" t="s">
        <v>3727</v>
      </c>
      <c r="B758" s="26" t="s">
        <v>3701</v>
      </c>
      <c r="C758" s="26" t="s">
        <v>3608</v>
      </c>
      <c r="D758" s="26" t="s">
        <v>3702</v>
      </c>
      <c r="E758" s="26" t="s">
        <v>3703</v>
      </c>
      <c r="F758" s="26" t="s">
        <v>3704</v>
      </c>
      <c r="G758" s="26" t="s">
        <v>3705</v>
      </c>
      <c r="H758" s="26" t="s">
        <v>39</v>
      </c>
      <c r="I758" s="26" t="s">
        <v>3706</v>
      </c>
      <c r="J758" s="11" t="str">
        <f>VLOOKUP(K758,'PN Dictionary'!A:B,2,FALSE)</f>
        <v>Delta Power Shelf Left Input</v>
      </c>
      <c r="K758" s="26" t="s">
        <v>10</v>
      </c>
      <c r="L758" s="50" t="s">
        <v>3728</v>
      </c>
      <c r="M758" s="51" t="s">
        <v>3729</v>
      </c>
      <c r="N758" s="26" t="s">
        <v>53</v>
      </c>
      <c r="O758" s="26" t="s">
        <v>728</v>
      </c>
      <c r="P758" s="26">
        <v>2803</v>
      </c>
      <c r="Q758" s="26" t="s">
        <v>55</v>
      </c>
    </row>
    <row r="759" spans="1:17" hidden="1" x14ac:dyDescent="0.3">
      <c r="A759" s="26" t="s">
        <v>3730</v>
      </c>
      <c r="B759" s="26" t="s">
        <v>3731</v>
      </c>
      <c r="C759" s="26" t="s">
        <v>3608</v>
      </c>
      <c r="D759" s="26" t="s">
        <v>3732</v>
      </c>
      <c r="E759" s="26" t="s">
        <v>52</v>
      </c>
      <c r="F759" s="26" t="s">
        <v>79</v>
      </c>
      <c r="G759" s="26" t="s">
        <v>3705</v>
      </c>
      <c r="H759" s="26" t="s">
        <v>39</v>
      </c>
      <c r="I759" s="26" t="s">
        <v>3733</v>
      </c>
      <c r="J759" s="11" t="str">
        <f>VLOOKUP(K759,'PN Dictionary'!A:B,2,FALSE)</f>
        <v>GB300 L10</v>
      </c>
      <c r="K759" s="26" t="s">
        <v>3612</v>
      </c>
      <c r="L759" s="50" t="s">
        <v>3734</v>
      </c>
      <c r="M759" s="51" t="s">
        <v>3735</v>
      </c>
      <c r="N759" s="26" t="s">
        <v>53</v>
      </c>
      <c r="O759" s="26" t="s">
        <v>728</v>
      </c>
      <c r="P759" s="26">
        <v>891265</v>
      </c>
      <c r="Q759" s="26" t="s">
        <v>55</v>
      </c>
    </row>
    <row r="760" spans="1:17" hidden="1" x14ac:dyDescent="0.3">
      <c r="A760" s="26" t="s">
        <v>3736</v>
      </c>
      <c r="B760" s="26" t="s">
        <v>3737</v>
      </c>
      <c r="C760" s="26" t="s">
        <v>3608</v>
      </c>
      <c r="D760" s="26" t="s">
        <v>3738</v>
      </c>
      <c r="E760" s="26" t="s">
        <v>52</v>
      </c>
      <c r="F760" s="26" t="s">
        <v>79</v>
      </c>
      <c r="G760" s="26" t="s">
        <v>3705</v>
      </c>
      <c r="H760" s="26" t="s">
        <v>39</v>
      </c>
      <c r="I760" s="26" t="s">
        <v>3739</v>
      </c>
      <c r="J760" s="11" t="str">
        <f>VLOOKUP(K760,'PN Dictionary'!A:B,2,FALSE)</f>
        <v>GB300 L10</v>
      </c>
      <c r="K760" s="26" t="s">
        <v>3612</v>
      </c>
      <c r="L760" s="50" t="s">
        <v>3740</v>
      </c>
      <c r="M760" s="51" t="s">
        <v>3741</v>
      </c>
      <c r="N760" s="26" t="s">
        <v>53</v>
      </c>
      <c r="O760" s="26" t="s">
        <v>728</v>
      </c>
      <c r="P760" s="26">
        <v>640</v>
      </c>
      <c r="Q760" s="26" t="s">
        <v>55</v>
      </c>
    </row>
    <row r="761" spans="1:17" hidden="1" x14ac:dyDescent="0.3">
      <c r="A761" s="26" t="s">
        <v>3742</v>
      </c>
      <c r="B761" s="26" t="s">
        <v>3743</v>
      </c>
      <c r="C761" s="26" t="s">
        <v>3608</v>
      </c>
      <c r="D761" s="26" t="s">
        <v>3744</v>
      </c>
      <c r="E761" s="26" t="s">
        <v>128</v>
      </c>
      <c r="F761" s="26" t="s">
        <v>205</v>
      </c>
      <c r="G761" s="26" t="s">
        <v>3705</v>
      </c>
      <c r="H761" s="26" t="s">
        <v>39</v>
      </c>
      <c r="I761" s="26" t="s">
        <v>2714</v>
      </c>
      <c r="J761" s="11" t="str">
        <f>VLOOKUP(K761,'PN Dictionary'!A:B,2,FALSE)</f>
        <v>Cable Cartridge</v>
      </c>
      <c r="K761" s="26" t="s">
        <v>6</v>
      </c>
      <c r="L761" s="50">
        <v>2024125883058</v>
      </c>
      <c r="M761" s="51">
        <v>1823025357185</v>
      </c>
      <c r="N761" s="26" t="s">
        <v>53</v>
      </c>
      <c r="O761" s="26" t="s">
        <v>728</v>
      </c>
      <c r="P761" s="26">
        <v>891265</v>
      </c>
      <c r="Q761" s="26" t="s">
        <v>55</v>
      </c>
    </row>
    <row r="762" spans="1:17" hidden="1" x14ac:dyDescent="0.3">
      <c r="A762" s="26" t="s">
        <v>3745</v>
      </c>
      <c r="B762" s="26" t="s">
        <v>3746</v>
      </c>
      <c r="C762" s="26" t="s">
        <v>3608</v>
      </c>
      <c r="D762" s="26" t="s">
        <v>3747</v>
      </c>
      <c r="E762" s="26" t="s">
        <v>81</v>
      </c>
      <c r="F762" s="26" t="s">
        <v>522</v>
      </c>
      <c r="G762" s="26" t="s">
        <v>3705</v>
      </c>
      <c r="H762" s="26" t="s">
        <v>39</v>
      </c>
      <c r="I762" s="26" t="s">
        <v>3748</v>
      </c>
      <c r="J762" s="11" t="str">
        <f>VLOOKUP(K762,'PN Dictionary'!A:B,2,FALSE)</f>
        <v>GB300 L10</v>
      </c>
      <c r="K762" s="26" t="s">
        <v>3612</v>
      </c>
      <c r="L762" s="50" t="s">
        <v>3749</v>
      </c>
      <c r="M762" s="51" t="s">
        <v>3750</v>
      </c>
      <c r="N762" s="26" t="s">
        <v>53</v>
      </c>
      <c r="O762" s="26" t="s">
        <v>728</v>
      </c>
      <c r="P762" s="26">
        <v>90131</v>
      </c>
      <c r="Q762" s="26" t="s">
        <v>55</v>
      </c>
    </row>
    <row r="763" spans="1:17" hidden="1" x14ac:dyDescent="0.3">
      <c r="A763" s="26" t="s">
        <v>3751</v>
      </c>
      <c r="B763" s="26" t="s">
        <v>3752</v>
      </c>
      <c r="C763" s="26" t="s">
        <v>3608</v>
      </c>
      <c r="D763" s="26" t="s">
        <v>3738</v>
      </c>
      <c r="E763" s="26" t="s">
        <v>81</v>
      </c>
      <c r="F763" s="26" t="s">
        <v>522</v>
      </c>
      <c r="G763" s="26" t="s">
        <v>3705</v>
      </c>
      <c r="H763" s="26" t="s">
        <v>39</v>
      </c>
      <c r="I763" s="26" t="s">
        <v>3753</v>
      </c>
      <c r="J763" s="11" t="str">
        <f>VLOOKUP(K763,'PN Dictionary'!A:B,2,FALSE)</f>
        <v>GB300 L10</v>
      </c>
      <c r="K763" s="26" t="s">
        <v>3612</v>
      </c>
      <c r="L763" s="50" t="s">
        <v>3741</v>
      </c>
      <c r="M763" s="51" t="s">
        <v>3754</v>
      </c>
      <c r="N763" s="26" t="s">
        <v>53</v>
      </c>
      <c r="O763" s="26" t="s">
        <v>728</v>
      </c>
      <c r="P763" s="26">
        <v>90131</v>
      </c>
      <c r="Q763" s="26" t="s">
        <v>55</v>
      </c>
    </row>
    <row r="764" spans="1:17" hidden="1" x14ac:dyDescent="0.3">
      <c r="A764" s="26" t="s">
        <v>3755</v>
      </c>
      <c r="B764" s="26" t="s">
        <v>3756</v>
      </c>
      <c r="C764" s="26" t="s">
        <v>3608</v>
      </c>
      <c r="D764" s="26" t="s">
        <v>3757</v>
      </c>
      <c r="E764" s="26" t="s">
        <v>230</v>
      </c>
      <c r="F764" s="26" t="s">
        <v>238</v>
      </c>
      <c r="G764" s="26" t="s">
        <v>3705</v>
      </c>
      <c r="H764" s="26" t="s">
        <v>39</v>
      </c>
      <c r="I764" s="26" t="s">
        <v>3758</v>
      </c>
      <c r="J764" s="11" t="str">
        <f>VLOOKUP(K764,'PN Dictionary'!A:B,2,FALSE)</f>
        <v>NVSwitch</v>
      </c>
      <c r="K764" s="26" t="s">
        <v>7</v>
      </c>
      <c r="L764" s="50" t="s">
        <v>3759</v>
      </c>
      <c r="M764" s="51" t="s">
        <v>3760</v>
      </c>
      <c r="N764" s="26" t="s">
        <v>53</v>
      </c>
      <c r="O764" s="26" t="s">
        <v>728</v>
      </c>
      <c r="P764" s="26">
        <v>90131</v>
      </c>
      <c r="Q764" s="26" t="s">
        <v>55</v>
      </c>
    </row>
    <row r="765" spans="1:17" hidden="1" x14ac:dyDescent="0.3">
      <c r="A765" s="26" t="s">
        <v>3761</v>
      </c>
      <c r="B765" s="26" t="s">
        <v>3762</v>
      </c>
      <c r="C765" s="26" t="s">
        <v>3608</v>
      </c>
      <c r="D765" s="26" t="s">
        <v>3763</v>
      </c>
      <c r="E765" s="26" t="s">
        <v>242</v>
      </c>
      <c r="F765" s="26" t="s">
        <v>604</v>
      </c>
      <c r="G765" s="26" t="s">
        <v>3705</v>
      </c>
      <c r="H765" s="26" t="s">
        <v>39</v>
      </c>
      <c r="I765" s="26" t="s">
        <v>3764</v>
      </c>
      <c r="J765" s="11" t="str">
        <f>VLOOKUP(K765,'PN Dictionary'!A:B,2,FALSE)</f>
        <v>Power Shelf Control Module</v>
      </c>
      <c r="K765" s="26" t="s">
        <v>11</v>
      </c>
      <c r="L765" s="51" t="s">
        <v>3765</v>
      </c>
      <c r="M765" s="50" t="s">
        <v>3766</v>
      </c>
      <c r="N765" s="26" t="s">
        <v>53</v>
      </c>
      <c r="O765" s="26" t="s">
        <v>728</v>
      </c>
      <c r="P765" s="26">
        <v>90160</v>
      </c>
      <c r="Q765" s="26" t="s">
        <v>55</v>
      </c>
    </row>
    <row r="766" spans="1:17" hidden="1" x14ac:dyDescent="0.3">
      <c r="A766" s="26" t="s">
        <v>3767</v>
      </c>
      <c r="B766" s="26" t="s">
        <v>3768</v>
      </c>
      <c r="C766" s="26" t="s">
        <v>3608</v>
      </c>
      <c r="D766" s="26" t="s">
        <v>3678</v>
      </c>
      <c r="E766" s="26" t="s">
        <v>761</v>
      </c>
      <c r="F766" s="26" t="s">
        <v>3688</v>
      </c>
      <c r="G766" s="26" t="s">
        <v>3705</v>
      </c>
      <c r="H766" s="26" t="s">
        <v>39</v>
      </c>
      <c r="I766" s="26" t="s">
        <v>1190</v>
      </c>
      <c r="J766" s="11" t="str">
        <f>VLOOKUP(K766,'PN Dictionary'!A:B,2,FALSE)</f>
        <v>GB300 L10</v>
      </c>
      <c r="K766" s="26" t="s">
        <v>3612</v>
      </c>
      <c r="L766" s="51" t="s">
        <v>3769</v>
      </c>
      <c r="M766" s="50" t="s">
        <v>3770</v>
      </c>
      <c r="N766" s="26" t="s">
        <v>53</v>
      </c>
      <c r="O766" s="26" t="s">
        <v>728</v>
      </c>
      <c r="P766" s="26">
        <v>90160</v>
      </c>
      <c r="Q766" s="26" t="s">
        <v>55</v>
      </c>
    </row>
    <row r="767" spans="1:17" hidden="1" x14ac:dyDescent="0.3">
      <c r="A767" s="26" t="s">
        <v>3771</v>
      </c>
      <c r="B767" s="26" t="s">
        <v>3772</v>
      </c>
      <c r="C767" s="26" t="s">
        <v>3608</v>
      </c>
      <c r="D767" s="26" t="s">
        <v>3678</v>
      </c>
      <c r="E767" s="26" t="s">
        <v>761</v>
      </c>
      <c r="F767" s="26" t="s">
        <v>3688</v>
      </c>
      <c r="G767" s="26" t="s">
        <v>3705</v>
      </c>
      <c r="H767" s="26" t="s">
        <v>39</v>
      </c>
      <c r="I767" s="26" t="s">
        <v>1190</v>
      </c>
      <c r="J767" s="11" t="str">
        <f>VLOOKUP(K767,'PN Dictionary'!A:B,2,FALSE)</f>
        <v>GB300 L10</v>
      </c>
      <c r="K767" s="26" t="s">
        <v>3612</v>
      </c>
      <c r="L767" s="51" t="s">
        <v>3680</v>
      </c>
      <c r="M767" s="50" t="s">
        <v>3773</v>
      </c>
      <c r="N767" s="26" t="s">
        <v>53</v>
      </c>
      <c r="O767" s="26" t="s">
        <v>728</v>
      </c>
      <c r="P767" s="26">
        <v>90160</v>
      </c>
      <c r="Q767" s="26" t="s">
        <v>55</v>
      </c>
    </row>
    <row r="768" spans="1:17" hidden="1" x14ac:dyDescent="0.3">
      <c r="A768" s="26" t="s">
        <v>3774</v>
      </c>
      <c r="B768" s="26" t="s">
        <v>3775</v>
      </c>
      <c r="C768" s="26" t="s">
        <v>3608</v>
      </c>
      <c r="D768" s="26" t="s">
        <v>3776</v>
      </c>
      <c r="E768" s="26" t="s">
        <v>761</v>
      </c>
      <c r="F768" s="26" t="s">
        <v>3688</v>
      </c>
      <c r="G768" s="26" t="s">
        <v>3705</v>
      </c>
      <c r="H768" s="26" t="s">
        <v>39</v>
      </c>
      <c r="I768" s="26" t="s">
        <v>1190</v>
      </c>
      <c r="J768" s="11" t="str">
        <f>VLOOKUP(K768,'PN Dictionary'!A:B,2,FALSE)</f>
        <v>GB300 L10</v>
      </c>
      <c r="K768" s="26" t="s">
        <v>3612</v>
      </c>
      <c r="L768" s="51" t="s">
        <v>3777</v>
      </c>
      <c r="M768" s="50" t="s">
        <v>3778</v>
      </c>
      <c r="N768" s="26" t="s">
        <v>53</v>
      </c>
      <c r="O768" s="26" t="s">
        <v>728</v>
      </c>
      <c r="P768" s="26">
        <v>90160</v>
      </c>
      <c r="Q768" s="26" t="s">
        <v>55</v>
      </c>
    </row>
    <row r="769" spans="1:17" hidden="1" x14ac:dyDescent="0.3">
      <c r="A769" s="26" t="s">
        <v>3779</v>
      </c>
      <c r="B769" s="26" t="s">
        <v>3780</v>
      </c>
      <c r="C769" s="26" t="s">
        <v>3608</v>
      </c>
      <c r="D769" s="26" t="s">
        <v>3781</v>
      </c>
      <c r="E769" s="26" t="s">
        <v>81</v>
      </c>
      <c r="F769" s="26" t="s">
        <v>522</v>
      </c>
      <c r="G769" s="26" t="s">
        <v>3705</v>
      </c>
      <c r="H769" s="26" t="s">
        <v>39</v>
      </c>
      <c r="I769" s="26" t="s">
        <v>3782</v>
      </c>
      <c r="J769" s="11" t="str">
        <f>VLOOKUP(K769,'PN Dictionary'!A:B,2,FALSE)</f>
        <v>GB300 L10</v>
      </c>
      <c r="K769" s="26" t="s">
        <v>3612</v>
      </c>
      <c r="L769" s="51" t="s">
        <v>3634</v>
      </c>
      <c r="M769" s="50" t="s">
        <v>3783</v>
      </c>
      <c r="N769" s="26" t="s">
        <v>53</v>
      </c>
      <c r="O769" s="26" t="s">
        <v>728</v>
      </c>
      <c r="P769" s="26">
        <v>90131</v>
      </c>
      <c r="Q769" s="26" t="s">
        <v>55</v>
      </c>
    </row>
    <row r="770" spans="1:17" hidden="1" x14ac:dyDescent="0.3">
      <c r="A770" s="26" t="s">
        <v>3784</v>
      </c>
      <c r="B770" s="26" t="s">
        <v>3785</v>
      </c>
      <c r="C770" s="26" t="s">
        <v>3608</v>
      </c>
      <c r="D770" s="26" t="s">
        <v>3786</v>
      </c>
      <c r="E770" s="26" t="s">
        <v>411</v>
      </c>
      <c r="F770" s="26" t="s">
        <v>597</v>
      </c>
      <c r="G770" s="26" t="s">
        <v>3787</v>
      </c>
      <c r="H770" s="26" t="s">
        <v>39</v>
      </c>
      <c r="I770" s="26" t="s">
        <v>3550</v>
      </c>
      <c r="J770" s="11" t="str">
        <f>VLOOKUP(K770,'PN Dictionary'!A:B,2,FALSE)</f>
        <v>NVSwitch</v>
      </c>
      <c r="K770" s="26" t="s">
        <v>7</v>
      </c>
      <c r="L770" s="51" t="s">
        <v>3788</v>
      </c>
      <c r="M770" s="50" t="s">
        <v>3789</v>
      </c>
      <c r="N770" s="26" t="s">
        <v>53</v>
      </c>
      <c r="O770" s="26" t="s">
        <v>728</v>
      </c>
      <c r="P770" s="26">
        <v>90160</v>
      </c>
      <c r="Q770" s="26" t="s">
        <v>55</v>
      </c>
    </row>
    <row r="771" spans="1:17" hidden="1" x14ac:dyDescent="0.3">
      <c r="A771" s="26" t="s">
        <v>3790</v>
      </c>
      <c r="B771" s="26" t="s">
        <v>3791</v>
      </c>
      <c r="C771" s="26" t="s">
        <v>3608</v>
      </c>
      <c r="D771" s="26" t="s">
        <v>3792</v>
      </c>
      <c r="E771" s="26" t="s">
        <v>411</v>
      </c>
      <c r="F771" s="26" t="s">
        <v>597</v>
      </c>
      <c r="G771" s="26" t="s">
        <v>3787</v>
      </c>
      <c r="H771" s="26" t="s">
        <v>39</v>
      </c>
      <c r="I771" s="26" t="s">
        <v>3793</v>
      </c>
      <c r="J771" s="11" t="str">
        <f>VLOOKUP(K771,'PN Dictionary'!A:B,2,FALSE)</f>
        <v>NVSwitch</v>
      </c>
      <c r="K771" s="26" t="s">
        <v>7</v>
      </c>
      <c r="L771" s="51" t="s">
        <v>3794</v>
      </c>
      <c r="M771" s="50" t="s">
        <v>3795</v>
      </c>
      <c r="N771" s="26" t="s">
        <v>53</v>
      </c>
      <c r="O771" s="26" t="s">
        <v>728</v>
      </c>
      <c r="P771" s="26">
        <v>90160</v>
      </c>
      <c r="Q771" s="26" t="s">
        <v>55</v>
      </c>
    </row>
    <row r="772" spans="1:17" hidden="1" x14ac:dyDescent="0.3">
      <c r="A772" s="26" t="s">
        <v>3796</v>
      </c>
      <c r="B772" s="26" t="s">
        <v>3797</v>
      </c>
      <c r="C772" s="26" t="s">
        <v>3608</v>
      </c>
      <c r="D772" s="26" t="s">
        <v>3798</v>
      </c>
      <c r="E772" s="26" t="s">
        <v>761</v>
      </c>
      <c r="F772" s="26" t="s">
        <v>3688</v>
      </c>
      <c r="G772" s="26" t="s">
        <v>3787</v>
      </c>
      <c r="H772" s="26" t="s">
        <v>39</v>
      </c>
      <c r="I772" s="26" t="s">
        <v>1190</v>
      </c>
      <c r="J772" s="11" t="str">
        <f>VLOOKUP(K772,'PN Dictionary'!A:B,2,FALSE)</f>
        <v>GB300 L10</v>
      </c>
      <c r="K772" s="26" t="s">
        <v>3612</v>
      </c>
      <c r="L772" s="51" t="s">
        <v>3799</v>
      </c>
      <c r="M772" s="50" t="s">
        <v>3800</v>
      </c>
      <c r="N772" s="26" t="s">
        <v>53</v>
      </c>
      <c r="O772" s="26" t="s">
        <v>728</v>
      </c>
      <c r="P772" s="26">
        <v>90160</v>
      </c>
      <c r="Q772" s="26" t="s">
        <v>55</v>
      </c>
    </row>
    <row r="773" spans="1:17" hidden="1" x14ac:dyDescent="0.3">
      <c r="A773" s="26" t="s">
        <v>3801</v>
      </c>
      <c r="B773" s="26" t="s">
        <v>3802</v>
      </c>
      <c r="C773" s="26" t="s">
        <v>3608</v>
      </c>
      <c r="D773" s="26" t="s">
        <v>3803</v>
      </c>
      <c r="E773" s="26" t="s">
        <v>128</v>
      </c>
      <c r="F773" s="26" t="s">
        <v>205</v>
      </c>
      <c r="G773" s="26" t="s">
        <v>3787</v>
      </c>
      <c r="H773" s="26" t="s">
        <v>39</v>
      </c>
      <c r="I773" s="26" t="s">
        <v>3804</v>
      </c>
      <c r="J773" s="11" t="str">
        <f>VLOOKUP(K773,'PN Dictionary'!A:B,2,FALSE)</f>
        <v>Cable Cartridge</v>
      </c>
      <c r="K773" s="26" t="s">
        <v>6</v>
      </c>
      <c r="L773" s="51">
        <v>1824025185178</v>
      </c>
      <c r="M773" s="50">
        <v>1824825354421</v>
      </c>
      <c r="N773" s="26" t="s">
        <v>53</v>
      </c>
      <c r="O773" s="26" t="s">
        <v>728</v>
      </c>
      <c r="P773" s="26">
        <v>90160</v>
      </c>
      <c r="Q773" s="26" t="s">
        <v>55</v>
      </c>
    </row>
    <row r="774" spans="1:17" hidden="1" x14ac:dyDescent="0.3">
      <c r="A774" s="26" t="s">
        <v>3805</v>
      </c>
      <c r="B774" s="26" t="s">
        <v>3806</v>
      </c>
      <c r="C774" s="26" t="s">
        <v>3608</v>
      </c>
      <c r="D774" s="26" t="s">
        <v>3803</v>
      </c>
      <c r="E774" s="26" t="s">
        <v>411</v>
      </c>
      <c r="F774" s="26" t="s">
        <v>597</v>
      </c>
      <c r="G774" s="26" t="s">
        <v>3787</v>
      </c>
      <c r="H774" s="26" t="s">
        <v>39</v>
      </c>
      <c r="I774" s="26" t="s">
        <v>3807</v>
      </c>
      <c r="J774" s="11" t="str">
        <f>VLOOKUP(K774,'PN Dictionary'!A:B,2,FALSE)</f>
        <v>NVSwitch</v>
      </c>
      <c r="K774" s="26" t="s">
        <v>7</v>
      </c>
      <c r="L774" s="51" t="s">
        <v>3808</v>
      </c>
      <c r="M774" s="50" t="s">
        <v>3809</v>
      </c>
      <c r="N774" s="26" t="s">
        <v>53</v>
      </c>
      <c r="O774" s="26" t="s">
        <v>728</v>
      </c>
      <c r="P774" s="26">
        <v>90160</v>
      </c>
      <c r="Q774" s="26" t="s">
        <v>55</v>
      </c>
    </row>
    <row r="775" spans="1:17" hidden="1" x14ac:dyDescent="0.3">
      <c r="A775" s="26" t="s">
        <v>3810</v>
      </c>
      <c r="B775" s="26" t="s">
        <v>3811</v>
      </c>
      <c r="C775" s="26" t="s">
        <v>3608</v>
      </c>
      <c r="D775" s="26" t="s">
        <v>3812</v>
      </c>
      <c r="E775" s="26" t="s">
        <v>3122</v>
      </c>
      <c r="F775" s="26" t="s">
        <v>3694</v>
      </c>
      <c r="G775" s="26" t="s">
        <v>3787</v>
      </c>
      <c r="H775" s="26" t="s">
        <v>39</v>
      </c>
      <c r="I775" s="26" t="s">
        <v>3123</v>
      </c>
      <c r="J775" s="11" t="str">
        <f>VLOOKUP(K775,'PN Dictionary'!A:B,2,FALSE)</f>
        <v>Cable Cartridge</v>
      </c>
      <c r="K775" s="26" t="s">
        <v>6</v>
      </c>
      <c r="L775" s="51">
        <v>2024125883061</v>
      </c>
      <c r="M775" s="50">
        <v>1824825354161</v>
      </c>
      <c r="N775" s="26" t="s">
        <v>53</v>
      </c>
      <c r="O775" s="26" t="s">
        <v>728</v>
      </c>
      <c r="P775" s="26">
        <v>90160</v>
      </c>
      <c r="Q775" s="26" t="s">
        <v>55</v>
      </c>
    </row>
    <row r="776" spans="1:17" hidden="1" x14ac:dyDescent="0.3">
      <c r="A776" s="26" t="s">
        <v>3813</v>
      </c>
      <c r="B776" s="26" t="s">
        <v>3814</v>
      </c>
      <c r="C776" s="26" t="s">
        <v>3608</v>
      </c>
      <c r="D776" s="26" t="s">
        <v>3815</v>
      </c>
      <c r="E776" s="26" t="s">
        <v>242</v>
      </c>
      <c r="F776" s="26" t="s">
        <v>604</v>
      </c>
      <c r="G776" s="26" t="s">
        <v>3787</v>
      </c>
      <c r="H776" s="26" t="s">
        <v>39</v>
      </c>
      <c r="I776" s="26" t="s">
        <v>3816</v>
      </c>
      <c r="J776" s="11" t="str">
        <f>VLOOKUP(K776,'PN Dictionary'!A:B,2,FALSE)</f>
        <v>Power Shelf Control Module</v>
      </c>
      <c r="K776" s="26" t="s">
        <v>11</v>
      </c>
      <c r="L776" s="51" t="s">
        <v>3817</v>
      </c>
      <c r="M776" s="50" t="s">
        <v>3818</v>
      </c>
      <c r="N776" s="26" t="s">
        <v>53</v>
      </c>
      <c r="O776" s="26" t="s">
        <v>728</v>
      </c>
      <c r="P776" s="26">
        <v>90160</v>
      </c>
      <c r="Q776" s="26" t="s">
        <v>55</v>
      </c>
    </row>
    <row r="777" spans="1:17" hidden="1" x14ac:dyDescent="0.3">
      <c r="A777" s="26" t="s">
        <v>3819</v>
      </c>
      <c r="B777" s="26" t="s">
        <v>3820</v>
      </c>
      <c r="C777" s="26" t="s">
        <v>3608</v>
      </c>
      <c r="D777" s="26" t="s">
        <v>3757</v>
      </c>
      <c r="E777" s="26" t="s">
        <v>81</v>
      </c>
      <c r="F777" s="26" t="s">
        <v>522</v>
      </c>
      <c r="G777" s="26" t="s">
        <v>3787</v>
      </c>
      <c r="H777" s="26" t="s">
        <v>39</v>
      </c>
      <c r="I777" s="26" t="s">
        <v>3821</v>
      </c>
      <c r="J777" s="11" t="str">
        <f>VLOOKUP(K777,'PN Dictionary'!A:B,2,FALSE)</f>
        <v>GB300 L10</v>
      </c>
      <c r="K777" s="26" t="s">
        <v>3612</v>
      </c>
      <c r="L777" s="51" t="s">
        <v>3822</v>
      </c>
      <c r="M777" s="50" t="s">
        <v>3823</v>
      </c>
      <c r="N777" s="26" t="s">
        <v>53</v>
      </c>
      <c r="O777" s="26" t="s">
        <v>728</v>
      </c>
      <c r="P777" s="26">
        <v>3908</v>
      </c>
      <c r="Q777" s="26" t="s">
        <v>55</v>
      </c>
    </row>
    <row r="778" spans="1:17" hidden="1" x14ac:dyDescent="0.3">
      <c r="A778" s="26" t="s">
        <v>3824</v>
      </c>
      <c r="B778" s="26" t="s">
        <v>3825</v>
      </c>
      <c r="C778" s="26" t="s">
        <v>3608</v>
      </c>
      <c r="D778" s="26" t="s">
        <v>3826</v>
      </c>
      <c r="E778" s="26" t="s">
        <v>81</v>
      </c>
      <c r="F778" s="26" t="s">
        <v>522</v>
      </c>
      <c r="G778" s="26" t="s">
        <v>3787</v>
      </c>
      <c r="H778" s="26" t="s">
        <v>39</v>
      </c>
      <c r="I778" s="26" t="s">
        <v>3827</v>
      </c>
      <c r="J778" s="11" t="str">
        <f>VLOOKUP(K778,'PN Dictionary'!A:B,2,FALSE)</f>
        <v>GB300 L10</v>
      </c>
      <c r="K778" s="26" t="s">
        <v>3612</v>
      </c>
      <c r="L778" s="51" t="s">
        <v>3828</v>
      </c>
      <c r="M778" s="50" t="s">
        <v>3829</v>
      </c>
      <c r="N778" s="26" t="s">
        <v>53</v>
      </c>
      <c r="O778" s="26" t="s">
        <v>728</v>
      </c>
      <c r="P778" s="26">
        <v>3908</v>
      </c>
      <c r="Q778" s="26" t="s">
        <v>55</v>
      </c>
    </row>
    <row r="779" spans="1:17" hidden="1" x14ac:dyDescent="0.3">
      <c r="A779" s="26" t="s">
        <v>3830</v>
      </c>
      <c r="B779" s="26" t="s">
        <v>3831</v>
      </c>
      <c r="C779" s="26" t="s">
        <v>3608</v>
      </c>
      <c r="D779" s="26" t="s">
        <v>3832</v>
      </c>
      <c r="E779" s="26" t="s">
        <v>761</v>
      </c>
      <c r="F779" s="26" t="s">
        <v>3688</v>
      </c>
      <c r="G779" s="26" t="s">
        <v>3787</v>
      </c>
      <c r="H779" s="26" t="s">
        <v>619</v>
      </c>
      <c r="I779" s="26" t="s">
        <v>1190</v>
      </c>
      <c r="J779" s="11" t="str">
        <f>VLOOKUP(K779,'PN Dictionary'!A:B,2,FALSE)</f>
        <v>GB300 L10</v>
      </c>
      <c r="K779" s="26" t="s">
        <v>3612</v>
      </c>
      <c r="L779" s="51" t="s">
        <v>3833</v>
      </c>
      <c r="M779" s="50"/>
      <c r="N779" s="26" t="s">
        <v>53</v>
      </c>
      <c r="O779" s="26" t="s">
        <v>728</v>
      </c>
      <c r="P779" s="26">
        <v>90160</v>
      </c>
      <c r="Q779" s="26" t="s">
        <v>55</v>
      </c>
    </row>
    <row r="780" spans="1:17" hidden="1" x14ac:dyDescent="0.3">
      <c r="A780" s="26" t="s">
        <v>3834</v>
      </c>
      <c r="B780" s="26" t="s">
        <v>3835</v>
      </c>
      <c r="C780" s="26" t="s">
        <v>3608</v>
      </c>
      <c r="D780" s="26" t="s">
        <v>3832</v>
      </c>
      <c r="E780" s="26" t="s">
        <v>761</v>
      </c>
      <c r="F780" s="26" t="s">
        <v>3688</v>
      </c>
      <c r="G780" s="26" t="s">
        <v>3787</v>
      </c>
      <c r="H780" s="26" t="s">
        <v>39</v>
      </c>
      <c r="I780" s="26" t="s">
        <v>1190</v>
      </c>
      <c r="J780" s="11" t="str">
        <f>VLOOKUP(K780,'PN Dictionary'!A:B,2,FALSE)</f>
        <v>GB300 L10</v>
      </c>
      <c r="K780" s="26" t="s">
        <v>3612</v>
      </c>
      <c r="L780" s="51" t="s">
        <v>3836</v>
      </c>
      <c r="M780" s="50" t="s">
        <v>3833</v>
      </c>
      <c r="N780" s="26" t="s">
        <v>53</v>
      </c>
      <c r="O780" s="26" t="s">
        <v>728</v>
      </c>
      <c r="P780" s="26">
        <v>90160</v>
      </c>
      <c r="Q780" s="26" t="s">
        <v>55</v>
      </c>
    </row>
    <row r="781" spans="1:17" hidden="1" x14ac:dyDescent="0.3">
      <c r="A781" s="26" t="s">
        <v>3837</v>
      </c>
      <c r="B781" s="26" t="s">
        <v>3838</v>
      </c>
      <c r="C781" s="26" t="s">
        <v>3608</v>
      </c>
      <c r="D781" s="26" t="s">
        <v>3839</v>
      </c>
      <c r="E781" s="26" t="s">
        <v>230</v>
      </c>
      <c r="F781" s="26" t="s">
        <v>238</v>
      </c>
      <c r="G781" s="26" t="s">
        <v>3840</v>
      </c>
      <c r="H781" s="26" t="s">
        <v>39</v>
      </c>
      <c r="I781" s="26" t="s">
        <v>3841</v>
      </c>
      <c r="J781" s="11" t="str">
        <f>VLOOKUP(K781,'PN Dictionary'!A:B,2,FALSE)</f>
        <v>NVSwitch</v>
      </c>
      <c r="K781" s="26" t="s">
        <v>7</v>
      </c>
      <c r="L781" s="51" t="s">
        <v>3842</v>
      </c>
      <c r="M781" s="50" t="s">
        <v>3843</v>
      </c>
      <c r="N781" s="26" t="s">
        <v>53</v>
      </c>
      <c r="O781" s="26" t="s">
        <v>728</v>
      </c>
      <c r="P781" s="26">
        <v>1519</v>
      </c>
      <c r="Q781" s="26" t="s">
        <v>55</v>
      </c>
    </row>
    <row r="782" spans="1:17" hidden="1" x14ac:dyDescent="0.3">
      <c r="A782" s="26" t="s">
        <v>3837</v>
      </c>
      <c r="B782" s="26" t="s">
        <v>3838</v>
      </c>
      <c r="C782" s="26" t="s">
        <v>3608</v>
      </c>
      <c r="D782" s="26" t="s">
        <v>3839</v>
      </c>
      <c r="E782" s="26" t="s">
        <v>230</v>
      </c>
      <c r="F782" s="26" t="s">
        <v>238</v>
      </c>
      <c r="G782" s="26" t="s">
        <v>3840</v>
      </c>
      <c r="H782" s="26" t="s">
        <v>39</v>
      </c>
      <c r="I782" s="26" t="s">
        <v>3841</v>
      </c>
      <c r="J782" s="11" t="str">
        <f>VLOOKUP(K782,'PN Dictionary'!A:B,2,FALSE)</f>
        <v>NVSwitch</v>
      </c>
      <c r="K782" s="26" t="s">
        <v>7</v>
      </c>
      <c r="L782" s="51" t="s">
        <v>3842</v>
      </c>
      <c r="M782" s="51" t="s">
        <v>3843</v>
      </c>
      <c r="N782" s="44" t="s">
        <v>53</v>
      </c>
      <c r="O782" s="26" t="s">
        <v>728</v>
      </c>
      <c r="P782" s="26">
        <v>1519</v>
      </c>
      <c r="Q782" s="26" t="s">
        <v>55</v>
      </c>
    </row>
    <row r="783" spans="1:17" hidden="1" x14ac:dyDescent="0.3">
      <c r="A783" s="26" t="s">
        <v>3844</v>
      </c>
      <c r="B783" s="26" t="s">
        <v>3845</v>
      </c>
      <c r="C783" s="26" t="s">
        <v>3608</v>
      </c>
      <c r="D783" s="26" t="s">
        <v>3812</v>
      </c>
      <c r="E783" s="26" t="s">
        <v>242</v>
      </c>
      <c r="F783" s="26" t="s">
        <v>604</v>
      </c>
      <c r="G783" s="26" t="s">
        <v>3840</v>
      </c>
      <c r="H783" s="26" t="s">
        <v>39</v>
      </c>
      <c r="I783" s="26" t="s">
        <v>3846</v>
      </c>
      <c r="J783" s="11" t="str">
        <f>VLOOKUP(K783,'PN Dictionary'!A:B,2,FALSE)</f>
        <v>Power Shelf Control Module</v>
      </c>
      <c r="K783" s="26" t="s">
        <v>11</v>
      </c>
      <c r="L783" s="51" t="s">
        <v>3847</v>
      </c>
      <c r="M783" s="50" t="s">
        <v>3848</v>
      </c>
      <c r="N783" s="26" t="s">
        <v>53</v>
      </c>
      <c r="O783" s="26" t="s">
        <v>728</v>
      </c>
      <c r="P783" s="26">
        <v>1519</v>
      </c>
      <c r="Q783" s="26" t="s">
        <v>55</v>
      </c>
    </row>
    <row r="784" spans="1:17" hidden="1" x14ac:dyDescent="0.3">
      <c r="A784" s="26" t="s">
        <v>3849</v>
      </c>
      <c r="B784" s="26" t="s">
        <v>3850</v>
      </c>
      <c r="C784" s="26" t="s">
        <v>3608</v>
      </c>
      <c r="D784" s="26" t="s">
        <v>3803</v>
      </c>
      <c r="E784" s="26" t="s">
        <v>242</v>
      </c>
      <c r="F784" s="26" t="s">
        <v>604</v>
      </c>
      <c r="G784" s="26" t="s">
        <v>3840</v>
      </c>
      <c r="H784" s="26" t="s">
        <v>39</v>
      </c>
      <c r="I784" s="26" t="s">
        <v>3851</v>
      </c>
      <c r="J784" s="11" t="str">
        <f>VLOOKUP(K784,'PN Dictionary'!A:B,2,FALSE)</f>
        <v>Power Shelf Control Module</v>
      </c>
      <c r="K784" s="26" t="s">
        <v>11</v>
      </c>
      <c r="L784" s="51" t="s">
        <v>3852</v>
      </c>
      <c r="M784" s="51" t="s">
        <v>3853</v>
      </c>
      <c r="N784" s="44" t="s">
        <v>53</v>
      </c>
      <c r="O784" s="26" t="s">
        <v>728</v>
      </c>
      <c r="P784" s="26">
        <v>1519</v>
      </c>
      <c r="Q784" s="26" t="s">
        <v>55</v>
      </c>
    </row>
    <row r="785" spans="1:17" hidden="1" x14ac:dyDescent="0.3">
      <c r="A785" s="26" t="s">
        <v>3854</v>
      </c>
      <c r="B785" s="26" t="s">
        <v>3855</v>
      </c>
      <c r="C785" s="26" t="s">
        <v>3608</v>
      </c>
      <c r="D785" s="26" t="s">
        <v>3856</v>
      </c>
      <c r="E785" s="26" t="s">
        <v>3857</v>
      </c>
      <c r="F785" s="26" t="s">
        <v>3858</v>
      </c>
      <c r="G785" s="26" t="s">
        <v>3840</v>
      </c>
      <c r="H785" s="26" t="s">
        <v>39</v>
      </c>
      <c r="I785" s="26" t="s">
        <v>3859</v>
      </c>
      <c r="J785" s="11" t="str">
        <f>VLOOKUP(K785,'PN Dictionary'!A:B,2,FALSE)</f>
        <v>GB300 L10</v>
      </c>
      <c r="K785" s="26" t="s">
        <v>3612</v>
      </c>
      <c r="L785" s="51" t="s">
        <v>3860</v>
      </c>
      <c r="M785" s="50" t="s">
        <v>3861</v>
      </c>
      <c r="N785" s="26" t="s">
        <v>53</v>
      </c>
      <c r="O785" s="26" t="s">
        <v>728</v>
      </c>
      <c r="P785" s="26">
        <v>90169</v>
      </c>
      <c r="Q785" s="26" t="s">
        <v>55</v>
      </c>
    </row>
    <row r="786" spans="1:17" hidden="1" x14ac:dyDescent="0.3">
      <c r="A786" s="26" t="s">
        <v>3867</v>
      </c>
      <c r="B786" s="26" t="s">
        <v>3868</v>
      </c>
      <c r="C786" s="26" t="s">
        <v>3608</v>
      </c>
      <c r="D786" s="26" t="s">
        <v>3869</v>
      </c>
      <c r="E786" s="26" t="s">
        <v>128</v>
      </c>
      <c r="F786" s="26" t="s">
        <v>205</v>
      </c>
      <c r="G786" s="26" t="s">
        <v>3865</v>
      </c>
      <c r="H786" s="26" t="s">
        <v>39</v>
      </c>
      <c r="I786" s="26" t="s">
        <v>3870</v>
      </c>
      <c r="J786" s="11" t="str">
        <f>VLOOKUP(K786,'PN Dictionary'!A:B,2,FALSE)</f>
        <v>Cable Cartridge</v>
      </c>
      <c r="K786" s="26" t="s">
        <v>6</v>
      </c>
      <c r="L786" s="51">
        <v>1824025186162</v>
      </c>
      <c r="M786" s="50">
        <v>1823025357182</v>
      </c>
      <c r="N786" s="26" t="s">
        <v>53</v>
      </c>
      <c r="O786" s="26" t="s">
        <v>728</v>
      </c>
      <c r="P786" s="26">
        <v>90169</v>
      </c>
      <c r="Q786" s="26" t="s">
        <v>55</v>
      </c>
    </row>
    <row r="787" spans="1:17" hidden="1" x14ac:dyDescent="0.3">
      <c r="A787" s="26" t="s">
        <v>3871</v>
      </c>
      <c r="B787" s="26" t="s">
        <v>3872</v>
      </c>
      <c r="C787" s="26" t="s">
        <v>3608</v>
      </c>
      <c r="D787" s="26" t="s">
        <v>3873</v>
      </c>
      <c r="E787" s="26" t="s">
        <v>761</v>
      </c>
      <c r="F787" s="26" t="s">
        <v>3688</v>
      </c>
      <c r="G787" s="26" t="s">
        <v>3865</v>
      </c>
      <c r="H787" s="26" t="s">
        <v>39</v>
      </c>
      <c r="I787" s="26" t="s">
        <v>1190</v>
      </c>
      <c r="J787" s="11" t="str">
        <f>VLOOKUP(K787,'PN Dictionary'!A:B,2,FALSE)</f>
        <v>GB300 L10</v>
      </c>
      <c r="K787" s="26" t="s">
        <v>3612</v>
      </c>
      <c r="L787" s="51" t="s">
        <v>3874</v>
      </c>
      <c r="M787" s="50" t="s">
        <v>3875</v>
      </c>
      <c r="N787" s="26" t="s">
        <v>53</v>
      </c>
      <c r="O787" s="26" t="s">
        <v>728</v>
      </c>
      <c r="P787" s="26">
        <v>90160</v>
      </c>
      <c r="Q787" s="26" t="s">
        <v>55</v>
      </c>
    </row>
    <row r="788" spans="1:17" hidden="1" x14ac:dyDescent="0.3">
      <c r="A788" s="26" t="s">
        <v>3886</v>
      </c>
      <c r="B788" s="26" t="s">
        <v>3887</v>
      </c>
      <c r="C788" s="26" t="s">
        <v>3608</v>
      </c>
      <c r="D788" s="26" t="s">
        <v>3873</v>
      </c>
      <c r="E788" s="26" t="s">
        <v>761</v>
      </c>
      <c r="F788" s="26" t="s">
        <v>3688</v>
      </c>
      <c r="G788" s="26" t="s">
        <v>3865</v>
      </c>
      <c r="H788" s="26" t="s">
        <v>39</v>
      </c>
      <c r="I788" s="26" t="s">
        <v>1190</v>
      </c>
      <c r="J788" s="11" t="str">
        <f>VLOOKUP(K788,'PN Dictionary'!A:B,2,FALSE)</f>
        <v>GB300 L10</v>
      </c>
      <c r="K788" s="26" t="s">
        <v>3612</v>
      </c>
      <c r="L788" s="51" t="s">
        <v>3653</v>
      </c>
      <c r="M788" s="50" t="s">
        <v>3888</v>
      </c>
      <c r="N788" s="26" t="s">
        <v>53</v>
      </c>
      <c r="O788" s="26" t="s">
        <v>728</v>
      </c>
      <c r="P788" s="26">
        <v>90160</v>
      </c>
      <c r="Q788" s="26" t="s">
        <v>55</v>
      </c>
    </row>
    <row r="789" spans="1:17" hidden="1" x14ac:dyDescent="0.3">
      <c r="A789" s="26" t="s">
        <v>3862</v>
      </c>
      <c r="B789" s="26" t="s">
        <v>3863</v>
      </c>
      <c r="C789" s="26" t="s">
        <v>3608</v>
      </c>
      <c r="D789" s="26" t="s">
        <v>3864</v>
      </c>
      <c r="E789" s="26" t="s">
        <v>3122</v>
      </c>
      <c r="F789" s="26" t="s">
        <v>3694</v>
      </c>
      <c r="G789" s="26" t="s">
        <v>3865</v>
      </c>
      <c r="H789" s="26" t="s">
        <v>39</v>
      </c>
      <c r="I789" s="26" t="s">
        <v>3866</v>
      </c>
      <c r="J789" s="11" t="str">
        <f>VLOOKUP(K789,'PN Dictionary'!A:B,2,FALSE)</f>
        <v>Cable Cartridge</v>
      </c>
      <c r="K789" s="26" t="s">
        <v>6</v>
      </c>
      <c r="L789" s="51">
        <v>2024125883326</v>
      </c>
      <c r="M789" s="50">
        <v>1824825354461</v>
      </c>
      <c r="N789" s="26" t="s">
        <v>53</v>
      </c>
      <c r="O789" s="26" t="s">
        <v>728</v>
      </c>
      <c r="P789" s="26">
        <v>924</v>
      </c>
      <c r="Q789" s="26" t="s">
        <v>55</v>
      </c>
    </row>
    <row r="790" spans="1:17" hidden="1" x14ac:dyDescent="0.3">
      <c r="A790" s="26" t="s">
        <v>3878</v>
      </c>
      <c r="B790" s="26" t="s">
        <v>3879</v>
      </c>
      <c r="C790" s="26" t="s">
        <v>3608</v>
      </c>
      <c r="D790" s="26" t="s">
        <v>3880</v>
      </c>
      <c r="E790" s="26" t="s">
        <v>3881</v>
      </c>
      <c r="F790" s="26" t="s">
        <v>3882</v>
      </c>
      <c r="G790" s="26" t="s">
        <v>3865</v>
      </c>
      <c r="H790" s="26" t="s">
        <v>39</v>
      </c>
      <c r="I790" s="26" t="s">
        <v>3883</v>
      </c>
      <c r="J790" s="11" t="str">
        <f>VLOOKUP(K790,'PN Dictionary'!A:B,2,FALSE)</f>
        <v>GB300 L10</v>
      </c>
      <c r="K790" s="26" t="s">
        <v>3612</v>
      </c>
      <c r="L790" s="51" t="s">
        <v>3884</v>
      </c>
      <c r="M790" s="50" t="s">
        <v>3885</v>
      </c>
      <c r="N790" s="26" t="s">
        <v>53</v>
      </c>
      <c r="O790" s="26" t="s">
        <v>728</v>
      </c>
      <c r="P790" s="26">
        <v>90131</v>
      </c>
      <c r="Q790" s="26" t="s">
        <v>55</v>
      </c>
    </row>
    <row r="791" spans="1:17" hidden="1" x14ac:dyDescent="0.3">
      <c r="A791" s="26" t="s">
        <v>3890</v>
      </c>
      <c r="B791" s="26" t="s">
        <v>3891</v>
      </c>
      <c r="C791" s="26" t="s">
        <v>3608</v>
      </c>
      <c r="D791" s="26" t="s">
        <v>3892</v>
      </c>
      <c r="E791" s="26" t="s">
        <v>374</v>
      </c>
      <c r="F791" s="26" t="s">
        <v>3893</v>
      </c>
      <c r="G791" s="26" t="s">
        <v>3865</v>
      </c>
      <c r="H791" s="26" t="s">
        <v>39</v>
      </c>
      <c r="I791" s="26" t="s">
        <v>3894</v>
      </c>
      <c r="J791" s="11" t="str">
        <f>VLOOKUP(K791,'PN Dictionary'!A:B,2,FALSE)</f>
        <v>GB300 L10</v>
      </c>
      <c r="K791" s="26" t="s">
        <v>3612</v>
      </c>
      <c r="L791" s="51" t="s">
        <v>3895</v>
      </c>
      <c r="M791" s="50" t="s">
        <v>3741</v>
      </c>
      <c r="N791" s="26" t="s">
        <v>53</v>
      </c>
      <c r="O791" s="26" t="s">
        <v>728</v>
      </c>
      <c r="P791" s="26">
        <v>90131</v>
      </c>
      <c r="Q791" s="26" t="s">
        <v>55</v>
      </c>
    </row>
    <row r="792" spans="1:17" hidden="1" x14ac:dyDescent="0.3">
      <c r="A792" s="26" t="s">
        <v>3896</v>
      </c>
      <c r="B792" s="26" t="s">
        <v>3897</v>
      </c>
      <c r="C792" s="26" t="s">
        <v>3608</v>
      </c>
      <c r="D792" s="26" t="s">
        <v>3892</v>
      </c>
      <c r="E792" s="26" t="s">
        <v>81</v>
      </c>
      <c r="F792" s="26" t="s">
        <v>522</v>
      </c>
      <c r="G792" s="26" t="s">
        <v>3898</v>
      </c>
      <c r="H792" s="26" t="s">
        <v>39</v>
      </c>
      <c r="I792" s="26" t="s">
        <v>3899</v>
      </c>
      <c r="J792" s="11" t="str">
        <f>VLOOKUP(K792,'PN Dictionary'!A:B,2,FALSE)</f>
        <v>GB300 L10</v>
      </c>
      <c r="K792" s="26" t="s">
        <v>3612</v>
      </c>
      <c r="L792" s="51" t="s">
        <v>3741</v>
      </c>
      <c r="M792" s="50" t="s">
        <v>3900</v>
      </c>
      <c r="N792" s="26" t="s">
        <v>53</v>
      </c>
      <c r="O792" s="26" t="s">
        <v>728</v>
      </c>
      <c r="P792" s="26">
        <v>90131</v>
      </c>
      <c r="Q792" s="26" t="s">
        <v>55</v>
      </c>
    </row>
    <row r="793" spans="1:17" hidden="1" x14ac:dyDescent="0.3">
      <c r="A793" s="26" t="s">
        <v>3901</v>
      </c>
      <c r="B793" s="26" t="s">
        <v>3902</v>
      </c>
      <c r="C793" s="26" t="s">
        <v>3608</v>
      </c>
      <c r="D793" s="26" t="s">
        <v>3869</v>
      </c>
      <c r="E793" s="26" t="s">
        <v>81</v>
      </c>
      <c r="F793" s="26" t="s">
        <v>522</v>
      </c>
      <c r="G793" s="26" t="s">
        <v>3898</v>
      </c>
      <c r="H793" s="26" t="s">
        <v>39</v>
      </c>
      <c r="I793" s="26" t="s">
        <v>3903</v>
      </c>
      <c r="J793" s="11" t="str">
        <f>VLOOKUP(K793,'PN Dictionary'!A:B,2,FALSE)</f>
        <v>GB300 L10</v>
      </c>
      <c r="K793" s="26" t="s">
        <v>3612</v>
      </c>
      <c r="L793" s="51" t="s">
        <v>3904</v>
      </c>
      <c r="M793" s="50" t="s">
        <v>3877</v>
      </c>
      <c r="N793" s="26" t="s">
        <v>53</v>
      </c>
      <c r="O793" s="26" t="s">
        <v>728</v>
      </c>
      <c r="P793" s="26">
        <v>90131</v>
      </c>
      <c r="Q793" s="26" t="s">
        <v>55</v>
      </c>
    </row>
    <row r="794" spans="1:17" hidden="1" x14ac:dyDescent="0.3">
      <c r="A794" s="26" t="s">
        <v>3905</v>
      </c>
      <c r="B794" s="26" t="s">
        <v>3906</v>
      </c>
      <c r="C794" s="26" t="s">
        <v>3608</v>
      </c>
      <c r="D794" s="26" t="s">
        <v>3907</v>
      </c>
      <c r="E794" s="26" t="s">
        <v>230</v>
      </c>
      <c r="F794" s="26" t="s">
        <v>238</v>
      </c>
      <c r="G794" s="26" t="s">
        <v>3898</v>
      </c>
      <c r="H794" s="26" t="s">
        <v>39</v>
      </c>
      <c r="I794" s="26" t="s">
        <v>3908</v>
      </c>
      <c r="J794" s="11" t="str">
        <f>VLOOKUP(K794,'PN Dictionary'!A:B,2,FALSE)</f>
        <v>NVSwitch</v>
      </c>
      <c r="K794" s="26" t="s">
        <v>7</v>
      </c>
      <c r="L794" s="51" t="s">
        <v>3909</v>
      </c>
      <c r="M794" s="50" t="s">
        <v>3910</v>
      </c>
      <c r="N794" s="26" t="s">
        <v>53</v>
      </c>
      <c r="O794" s="26" t="s">
        <v>728</v>
      </c>
      <c r="P794" s="26">
        <v>90131</v>
      </c>
      <c r="Q794" s="26" t="s">
        <v>55</v>
      </c>
    </row>
    <row r="795" spans="1:17" hidden="1" x14ac:dyDescent="0.3">
      <c r="A795" s="26" t="s">
        <v>3911</v>
      </c>
      <c r="B795" s="26" t="s">
        <v>3912</v>
      </c>
      <c r="C795" s="26" t="s">
        <v>3608</v>
      </c>
      <c r="D795" s="26" t="s">
        <v>3913</v>
      </c>
      <c r="E795" s="26" t="s">
        <v>3122</v>
      </c>
      <c r="F795" s="26" t="s">
        <v>3694</v>
      </c>
      <c r="G795" s="26" t="s">
        <v>3898</v>
      </c>
      <c r="H795" s="26" t="s">
        <v>39</v>
      </c>
      <c r="I795" s="26" t="s">
        <v>3914</v>
      </c>
      <c r="J795" s="11" t="str">
        <f>VLOOKUP(K795,'PN Dictionary'!A:B,2,FALSE)</f>
        <v>Cable Cartridge</v>
      </c>
      <c r="K795" s="26" t="s">
        <v>3944</v>
      </c>
      <c r="L795" s="51">
        <v>1824025185825</v>
      </c>
      <c r="M795" s="50">
        <v>1824825354155</v>
      </c>
      <c r="N795" s="26" t="s">
        <v>53</v>
      </c>
      <c r="O795" s="26" t="s">
        <v>728</v>
      </c>
      <c r="P795" s="26">
        <v>90160</v>
      </c>
      <c r="Q795" s="26" t="s">
        <v>55</v>
      </c>
    </row>
    <row r="796" spans="1:17" hidden="1" x14ac:dyDescent="0.3">
      <c r="A796" s="26" t="s">
        <v>3915</v>
      </c>
      <c r="B796" s="26" t="s">
        <v>3916</v>
      </c>
      <c r="C796" s="26" t="s">
        <v>3608</v>
      </c>
      <c r="D796" s="26" t="s">
        <v>3917</v>
      </c>
      <c r="E796" s="26" t="s">
        <v>3122</v>
      </c>
      <c r="F796" s="26" t="s">
        <v>3694</v>
      </c>
      <c r="G796" s="26" t="s">
        <v>3898</v>
      </c>
      <c r="H796" s="26" t="s">
        <v>39</v>
      </c>
      <c r="I796" s="26" t="s">
        <v>3918</v>
      </c>
      <c r="J796" s="11" t="str">
        <f>VLOOKUP(K796,'PN Dictionary'!A:B,2,FALSE)</f>
        <v>Cable Cartridge</v>
      </c>
      <c r="K796" s="26" t="s">
        <v>6</v>
      </c>
      <c r="L796" s="51">
        <v>1824025185407</v>
      </c>
      <c r="M796" s="50">
        <v>1824825354237</v>
      </c>
      <c r="N796" s="26" t="s">
        <v>53</v>
      </c>
      <c r="O796" s="26" t="s">
        <v>728</v>
      </c>
      <c r="P796" s="26">
        <v>90160</v>
      </c>
      <c r="Q796" s="26" t="s">
        <v>55</v>
      </c>
    </row>
    <row r="797" spans="1:17" hidden="1" x14ac:dyDescent="0.3">
      <c r="A797" s="26" t="s">
        <v>3919</v>
      </c>
      <c r="B797" s="26" t="s">
        <v>3920</v>
      </c>
      <c r="C797" s="26" t="s">
        <v>3608</v>
      </c>
      <c r="D797" s="26" t="s">
        <v>3921</v>
      </c>
      <c r="E797" s="26" t="s">
        <v>761</v>
      </c>
      <c r="F797" s="26" t="s">
        <v>3688</v>
      </c>
      <c r="G797" s="26" t="s">
        <v>3898</v>
      </c>
      <c r="H797" s="26" t="s">
        <v>39</v>
      </c>
      <c r="I797" s="26" t="s">
        <v>1190</v>
      </c>
      <c r="J797" s="11" t="str">
        <f>VLOOKUP(K797,'PN Dictionary'!A:B,2,FALSE)</f>
        <v>GB300 L10</v>
      </c>
      <c r="K797" s="26" t="s">
        <v>3612</v>
      </c>
      <c r="L797" s="51" t="s">
        <v>3922</v>
      </c>
      <c r="M797" s="50" t="s">
        <v>3923</v>
      </c>
      <c r="N797" s="26" t="s">
        <v>53</v>
      </c>
      <c r="O797" s="26" t="s">
        <v>728</v>
      </c>
      <c r="P797" s="26">
        <v>90160</v>
      </c>
      <c r="Q797" s="26" t="s">
        <v>55</v>
      </c>
    </row>
    <row r="798" spans="1:17" hidden="1" x14ac:dyDescent="0.3">
      <c r="A798" s="26" t="s">
        <v>3925</v>
      </c>
      <c r="B798" s="26" t="s">
        <v>3926</v>
      </c>
      <c r="C798" s="26" t="s">
        <v>3608</v>
      </c>
      <c r="D798" s="26" t="s">
        <v>3924</v>
      </c>
      <c r="E798" s="26" t="s">
        <v>3943</v>
      </c>
      <c r="F798" s="26" t="s">
        <v>205</v>
      </c>
      <c r="G798" s="26" t="s">
        <v>3898</v>
      </c>
      <c r="H798" s="26" t="s">
        <v>39</v>
      </c>
      <c r="I798" s="26" t="s">
        <v>3927</v>
      </c>
      <c r="J798" s="11" t="str">
        <f>VLOOKUP(K798,'PN Dictionary'!A:B,2,FALSE)</f>
        <v>Cable Cartridge</v>
      </c>
      <c r="K798" s="26" t="s">
        <v>3944</v>
      </c>
      <c r="L798" s="51">
        <v>2024325808230</v>
      </c>
      <c r="M798" s="50">
        <v>2024225881220</v>
      </c>
      <c r="N798" s="26" t="s">
        <v>53</v>
      </c>
      <c r="O798" s="26" t="s">
        <v>728</v>
      </c>
      <c r="P798" s="26">
        <v>90131</v>
      </c>
      <c r="Q798" s="26" t="s">
        <v>55</v>
      </c>
    </row>
    <row r="799" spans="1:17" hidden="1" x14ac:dyDescent="0.3">
      <c r="A799" s="26" t="s">
        <v>3928</v>
      </c>
      <c r="B799" s="26" t="s">
        <v>3929</v>
      </c>
      <c r="C799" s="26" t="s">
        <v>3608</v>
      </c>
      <c r="D799" s="26" t="s">
        <v>3876</v>
      </c>
      <c r="E799" s="26" t="s">
        <v>128</v>
      </c>
      <c r="F799" s="26" t="s">
        <v>205</v>
      </c>
      <c r="G799" s="26" t="s">
        <v>3898</v>
      </c>
      <c r="H799" s="26" t="s">
        <v>39</v>
      </c>
      <c r="I799" s="26" t="s">
        <v>3930</v>
      </c>
      <c r="J799" s="11" t="str">
        <f>VLOOKUP(K799,'PN Dictionary'!A:B,2,FALSE)</f>
        <v>Cable Cartridge</v>
      </c>
      <c r="K799" s="26" t="s">
        <v>3944</v>
      </c>
      <c r="L799" s="51">
        <v>2201425883003</v>
      </c>
      <c r="M799" s="50">
        <v>1823025357153</v>
      </c>
      <c r="N799" s="26" t="s">
        <v>53</v>
      </c>
      <c r="O799" s="26" t="s">
        <v>728</v>
      </c>
      <c r="P799" s="26">
        <v>90131</v>
      </c>
      <c r="Q799" s="26" t="s">
        <v>55</v>
      </c>
    </row>
    <row r="800" spans="1:17" hidden="1" x14ac:dyDescent="0.3">
      <c r="A800" s="26" t="s">
        <v>3931</v>
      </c>
      <c r="B800" s="26" t="s">
        <v>3932</v>
      </c>
      <c r="C800" s="26" t="s">
        <v>3608</v>
      </c>
      <c r="D800" s="26" t="s">
        <v>3933</v>
      </c>
      <c r="E800" s="26" t="s">
        <v>3881</v>
      </c>
      <c r="F800" s="26" t="s">
        <v>3882</v>
      </c>
      <c r="G800" s="26" t="s">
        <v>3898</v>
      </c>
      <c r="H800" s="26" t="s">
        <v>39</v>
      </c>
      <c r="I800" s="26" t="s">
        <v>3934</v>
      </c>
      <c r="J800" s="11" t="str">
        <f>VLOOKUP(K800,'PN Dictionary'!A:B,2,FALSE)</f>
        <v>GB300 L10</v>
      </c>
      <c r="K800" s="26" t="s">
        <v>3612</v>
      </c>
      <c r="L800" s="51" t="s">
        <v>3935</v>
      </c>
      <c r="M800" s="50" t="s">
        <v>3936</v>
      </c>
      <c r="N800" s="26" t="s">
        <v>53</v>
      </c>
      <c r="O800" s="26" t="s">
        <v>728</v>
      </c>
      <c r="P800" s="26">
        <v>90131</v>
      </c>
      <c r="Q800" s="26" t="s">
        <v>55</v>
      </c>
    </row>
    <row r="801" spans="1:17" hidden="1" x14ac:dyDescent="0.3">
      <c r="A801" s="26" t="s">
        <v>3937</v>
      </c>
      <c r="B801" s="26" t="s">
        <v>3938</v>
      </c>
      <c r="C801" s="26" t="s">
        <v>3608</v>
      </c>
      <c r="D801" s="26" t="s">
        <v>3939</v>
      </c>
      <c r="E801" s="26" t="s">
        <v>81</v>
      </c>
      <c r="F801" s="26" t="s">
        <v>522</v>
      </c>
      <c r="G801" s="26" t="s">
        <v>3898</v>
      </c>
      <c r="H801" s="26" t="s">
        <v>39</v>
      </c>
      <c r="I801" s="26" t="s">
        <v>3940</v>
      </c>
      <c r="J801" s="11" t="str">
        <f>VLOOKUP(K801,'PN Dictionary'!A:B,2,FALSE)</f>
        <v>GB300 L10</v>
      </c>
      <c r="K801" s="26" t="s">
        <v>3612</v>
      </c>
      <c r="L801" s="51" t="s">
        <v>3941</v>
      </c>
      <c r="M801" s="50" t="s">
        <v>3942</v>
      </c>
      <c r="N801" s="26" t="s">
        <v>53</v>
      </c>
      <c r="O801" s="26" t="s">
        <v>728</v>
      </c>
      <c r="P801" s="26">
        <v>90131</v>
      </c>
      <c r="Q801" s="26" t="s">
        <v>55</v>
      </c>
    </row>
    <row r="802" spans="1:17" hidden="1" x14ac:dyDescent="0.3">
      <c r="A802" s="26" t="s">
        <v>3945</v>
      </c>
      <c r="B802" s="26" t="s">
        <v>3946</v>
      </c>
      <c r="C802" s="26" t="s">
        <v>3608</v>
      </c>
      <c r="D802" s="26" t="s">
        <v>3947</v>
      </c>
      <c r="E802" s="26" t="s">
        <v>128</v>
      </c>
      <c r="F802" s="26" t="s">
        <v>205</v>
      </c>
      <c r="G802" s="26" t="s">
        <v>3948</v>
      </c>
      <c r="H802" s="26" t="s">
        <v>39</v>
      </c>
      <c r="I802" s="26" t="s">
        <v>2714</v>
      </c>
      <c r="J802" s="11" t="str">
        <f>VLOOKUP(K802,'PN Dictionary'!A:B,2,FALSE)</f>
        <v>Cable Cartridge</v>
      </c>
      <c r="K802" s="26" t="s">
        <v>6</v>
      </c>
      <c r="L802" s="26">
        <v>2024325880310</v>
      </c>
      <c r="M802" s="50">
        <v>1823025357221</v>
      </c>
      <c r="N802" s="51" t="s">
        <v>53</v>
      </c>
      <c r="O802" s="26" t="s">
        <v>728</v>
      </c>
      <c r="P802" s="26">
        <v>1237</v>
      </c>
      <c r="Q802" s="26" t="s">
        <v>55</v>
      </c>
    </row>
    <row r="803" spans="1:17" hidden="1" x14ac:dyDescent="0.3">
      <c r="A803" s="26" t="s">
        <v>3945</v>
      </c>
      <c r="B803" s="26" t="s">
        <v>3946</v>
      </c>
      <c r="C803" s="26" t="s">
        <v>3608</v>
      </c>
      <c r="D803" s="26" t="s">
        <v>3947</v>
      </c>
      <c r="E803" s="26" t="s">
        <v>128</v>
      </c>
      <c r="F803" s="26" t="s">
        <v>205</v>
      </c>
      <c r="G803" s="26" t="s">
        <v>3948</v>
      </c>
      <c r="H803" s="26" t="s">
        <v>39</v>
      </c>
      <c r="I803" s="26" t="s">
        <v>2714</v>
      </c>
      <c r="J803" s="11" t="str">
        <f>VLOOKUP(K803,'PN Dictionary'!A:B,2,FALSE)</f>
        <v>Cable Cartridge</v>
      </c>
      <c r="K803" s="11" t="s">
        <v>6</v>
      </c>
      <c r="L803" s="26">
        <v>2024325880310</v>
      </c>
      <c r="M803" s="26">
        <v>1823025357221</v>
      </c>
      <c r="N803" s="50" t="s">
        <v>53</v>
      </c>
      <c r="O803" s="51" t="s">
        <v>728</v>
      </c>
      <c r="P803" s="26">
        <v>1237</v>
      </c>
      <c r="Q803" s="26" t="s">
        <v>55</v>
      </c>
    </row>
    <row r="804" spans="1:17" hidden="1" x14ac:dyDescent="0.3">
      <c r="A804" s="26" t="s">
        <v>3949</v>
      </c>
      <c r="B804" s="26" t="s">
        <v>3950</v>
      </c>
      <c r="C804" s="26" t="s">
        <v>3608</v>
      </c>
      <c r="D804" s="26" t="s">
        <v>3951</v>
      </c>
      <c r="E804" s="26" t="s">
        <v>270</v>
      </c>
      <c r="F804" s="26" t="s">
        <v>3952</v>
      </c>
      <c r="G804" s="26" t="s">
        <v>3948</v>
      </c>
      <c r="H804" s="26" t="s">
        <v>39</v>
      </c>
      <c r="I804" s="26" t="s">
        <v>3953</v>
      </c>
      <c r="J804" s="11" t="str">
        <f>VLOOKUP(K804,'PN Dictionary'!A:B,2,FALSE)</f>
        <v>Delta Power Shelf Left Input</v>
      </c>
      <c r="K804" s="26" t="s">
        <v>10</v>
      </c>
      <c r="L804" s="26" t="s">
        <v>3954</v>
      </c>
      <c r="M804" s="50" t="s">
        <v>3955</v>
      </c>
      <c r="N804" s="51" t="s">
        <v>53</v>
      </c>
      <c r="O804" s="26" t="s">
        <v>728</v>
      </c>
      <c r="P804" s="26">
        <v>924</v>
      </c>
      <c r="Q804" s="26" t="s">
        <v>55</v>
      </c>
    </row>
    <row r="805" spans="1:17" hidden="1" x14ac:dyDescent="0.3">
      <c r="A805" s="26" t="s">
        <v>3949</v>
      </c>
      <c r="B805" s="26" t="s">
        <v>3950</v>
      </c>
      <c r="C805" s="26" t="s">
        <v>3608</v>
      </c>
      <c r="D805" s="26" t="s">
        <v>3951</v>
      </c>
      <c r="E805" s="26" t="s">
        <v>270</v>
      </c>
      <c r="F805" s="26" t="s">
        <v>3952</v>
      </c>
      <c r="G805" s="26" t="s">
        <v>3948</v>
      </c>
      <c r="H805" s="26" t="s">
        <v>39</v>
      </c>
      <c r="I805" s="26" t="s">
        <v>3953</v>
      </c>
      <c r="J805" s="11" t="str">
        <f>VLOOKUP(K805,'PN Dictionary'!A:B,2,FALSE)</f>
        <v>Delta Power Shelf Left Input</v>
      </c>
      <c r="K805" s="11" t="s">
        <v>10</v>
      </c>
      <c r="L805" s="26" t="s">
        <v>3954</v>
      </c>
      <c r="M805" s="26" t="s">
        <v>3955</v>
      </c>
      <c r="N805" s="50" t="s">
        <v>53</v>
      </c>
      <c r="O805" s="51" t="s">
        <v>728</v>
      </c>
      <c r="P805" s="26">
        <v>924</v>
      </c>
      <c r="Q805" s="26" t="s">
        <v>55</v>
      </c>
    </row>
    <row r="806" spans="1:17" hidden="1" x14ac:dyDescent="0.3">
      <c r="A806" s="26" t="s">
        <v>3956</v>
      </c>
      <c r="B806" s="26" t="s">
        <v>3957</v>
      </c>
      <c r="C806" s="26" t="s">
        <v>3608</v>
      </c>
      <c r="D806" s="26" t="s">
        <v>3958</v>
      </c>
      <c r="E806" s="26" t="s">
        <v>52</v>
      </c>
      <c r="F806" s="26" t="s">
        <v>79</v>
      </c>
      <c r="G806" s="26" t="s">
        <v>3948</v>
      </c>
      <c r="H806" s="26" t="s">
        <v>39</v>
      </c>
      <c r="I806" s="26" t="s">
        <v>1294</v>
      </c>
      <c r="J806" s="11" t="str">
        <f>VLOOKUP(K806,'PN Dictionary'!A:B,2,FALSE)</f>
        <v>GB300 L10</v>
      </c>
      <c r="K806" s="26" t="s">
        <v>3612</v>
      </c>
      <c r="L806" s="26" t="s">
        <v>3959</v>
      </c>
      <c r="M806" s="50" t="s">
        <v>3960</v>
      </c>
      <c r="N806" s="51" t="s">
        <v>53</v>
      </c>
      <c r="O806" s="26" t="s">
        <v>728</v>
      </c>
      <c r="P806" s="26">
        <v>640</v>
      </c>
      <c r="Q806" s="26" t="s">
        <v>55</v>
      </c>
    </row>
    <row r="807" spans="1:17" hidden="1" x14ac:dyDescent="0.3">
      <c r="A807" s="26" t="s">
        <v>3961</v>
      </c>
      <c r="B807" s="26" t="s">
        <v>4000</v>
      </c>
      <c r="C807" s="26" t="s">
        <v>3608</v>
      </c>
      <c r="D807" s="26" t="s">
        <v>3962</v>
      </c>
      <c r="E807" s="26" t="s">
        <v>128</v>
      </c>
      <c r="F807" s="26" t="s">
        <v>205</v>
      </c>
      <c r="G807" s="26" t="s">
        <v>3948</v>
      </c>
      <c r="H807" s="26" t="s">
        <v>39</v>
      </c>
      <c r="I807" s="26" t="s">
        <v>4001</v>
      </c>
      <c r="J807" s="11" t="str">
        <f>VLOOKUP(K807,'PN Dictionary'!A:B,2,FALSE)</f>
        <v>Cable Cartridge</v>
      </c>
      <c r="K807" s="11" t="s">
        <v>6</v>
      </c>
      <c r="L807" s="26">
        <v>2024325880236</v>
      </c>
      <c r="M807" s="26">
        <v>1824025185495</v>
      </c>
      <c r="N807" s="50" t="s">
        <v>53</v>
      </c>
      <c r="O807" s="51" t="s">
        <v>728</v>
      </c>
      <c r="P807" s="26">
        <v>924</v>
      </c>
      <c r="Q807" s="26" t="s">
        <v>55</v>
      </c>
    </row>
    <row r="808" spans="1:17" hidden="1" x14ac:dyDescent="0.3">
      <c r="A808" s="26" t="s">
        <v>3963</v>
      </c>
      <c r="B808" s="26" t="s">
        <v>3964</v>
      </c>
      <c r="C808" s="26" t="s">
        <v>3608</v>
      </c>
      <c r="D808" s="26" t="s">
        <v>3965</v>
      </c>
      <c r="E808" s="26" t="s">
        <v>3122</v>
      </c>
      <c r="F808" s="26" t="s">
        <v>3694</v>
      </c>
      <c r="G808" s="26" t="s">
        <v>3948</v>
      </c>
      <c r="H808" s="26" t="s">
        <v>39</v>
      </c>
      <c r="I808" s="26" t="s">
        <v>3966</v>
      </c>
      <c r="J808" s="11" t="str">
        <f>VLOOKUP(K808,'PN Dictionary'!A:B,2,FALSE)</f>
        <v>Cable Cartridge</v>
      </c>
      <c r="K808" s="11" t="s">
        <v>6</v>
      </c>
      <c r="L808" s="26">
        <v>2024125883098</v>
      </c>
      <c r="M808" s="26">
        <v>1824025185519</v>
      </c>
      <c r="N808" s="50" t="s">
        <v>53</v>
      </c>
      <c r="O808" s="51" t="s">
        <v>728</v>
      </c>
      <c r="P808" s="26">
        <v>924</v>
      </c>
      <c r="Q808" s="26" t="s">
        <v>55</v>
      </c>
    </row>
    <row r="809" spans="1:17" hidden="1" x14ac:dyDescent="0.3">
      <c r="A809" s="26" t="s">
        <v>3967</v>
      </c>
      <c r="B809" s="26" t="s">
        <v>3968</v>
      </c>
      <c r="C809" s="26" t="s">
        <v>3608</v>
      </c>
      <c r="D809" s="26" t="s">
        <v>3924</v>
      </c>
      <c r="E809" s="26" t="s">
        <v>3969</v>
      </c>
      <c r="F809" s="26" t="s">
        <v>3970</v>
      </c>
      <c r="G809" s="26" t="s">
        <v>3948</v>
      </c>
      <c r="H809" s="26" t="s">
        <v>39</v>
      </c>
      <c r="I809" s="26" t="s">
        <v>3971</v>
      </c>
      <c r="J809" s="11" t="str">
        <f>VLOOKUP(K809,'PN Dictionary'!A:B,2,FALSE)</f>
        <v>GB300 L10</v>
      </c>
      <c r="K809" s="26" t="s">
        <v>3612</v>
      </c>
      <c r="L809" s="26" t="s">
        <v>3972</v>
      </c>
      <c r="M809" s="50" t="s">
        <v>3973</v>
      </c>
      <c r="N809" s="51" t="s">
        <v>53</v>
      </c>
      <c r="O809" s="26" t="s">
        <v>728</v>
      </c>
      <c r="P809" s="26">
        <v>90131</v>
      </c>
      <c r="Q809" s="26" t="s">
        <v>55</v>
      </c>
    </row>
    <row r="810" spans="1:17" hidden="1" x14ac:dyDescent="0.3">
      <c r="A810" s="26" t="s">
        <v>3974</v>
      </c>
      <c r="B810" s="26" t="s">
        <v>3975</v>
      </c>
      <c r="C810" s="26" t="s">
        <v>3608</v>
      </c>
      <c r="D810" s="26" t="s">
        <v>3976</v>
      </c>
      <c r="E810" s="26" t="s">
        <v>761</v>
      </c>
      <c r="F810" s="26" t="s">
        <v>3688</v>
      </c>
      <c r="G810" s="26" t="s">
        <v>3948</v>
      </c>
      <c r="H810" s="26" t="s">
        <v>39</v>
      </c>
      <c r="I810" s="26" t="s">
        <v>1190</v>
      </c>
      <c r="J810" s="11" t="str">
        <f>VLOOKUP(K810,'PN Dictionary'!A:B,2,FALSE)</f>
        <v>GB300 L10</v>
      </c>
      <c r="K810" s="11" t="s">
        <v>3612</v>
      </c>
      <c r="L810" s="26" t="s">
        <v>3679</v>
      </c>
      <c r="M810" s="26" t="s">
        <v>3977</v>
      </c>
      <c r="N810" s="50" t="s">
        <v>53</v>
      </c>
      <c r="O810" s="51" t="s">
        <v>728</v>
      </c>
      <c r="P810" s="26">
        <v>90160</v>
      </c>
      <c r="Q810" s="26" t="s">
        <v>55</v>
      </c>
    </row>
    <row r="811" spans="1:17" hidden="1" x14ac:dyDescent="0.3">
      <c r="A811" s="26" t="s">
        <v>3978</v>
      </c>
      <c r="B811" s="26" t="s">
        <v>3979</v>
      </c>
      <c r="C811" s="26" t="s">
        <v>3608</v>
      </c>
      <c r="D811" s="26" t="s">
        <v>3876</v>
      </c>
      <c r="E811" s="26" t="s">
        <v>3266</v>
      </c>
      <c r="F811" s="26" t="s">
        <v>3980</v>
      </c>
      <c r="G811" s="26" t="s">
        <v>3948</v>
      </c>
      <c r="H811" s="26" t="s">
        <v>39</v>
      </c>
      <c r="I811" s="26" t="s">
        <v>3981</v>
      </c>
      <c r="J811" s="11" t="str">
        <f>VLOOKUP(K811,'PN Dictionary'!A:B,2,FALSE)</f>
        <v>GB300 L10</v>
      </c>
      <c r="K811" s="11" t="s">
        <v>3612</v>
      </c>
      <c r="L811" s="26" t="s">
        <v>3982</v>
      </c>
      <c r="M811" s="26" t="s">
        <v>3983</v>
      </c>
      <c r="N811" s="50" t="s">
        <v>53</v>
      </c>
      <c r="O811" s="51" t="s">
        <v>728</v>
      </c>
      <c r="P811" s="26">
        <v>90131</v>
      </c>
      <c r="Q811" s="26" t="s">
        <v>55</v>
      </c>
    </row>
    <row r="812" spans="1:17" hidden="1" x14ac:dyDescent="0.3">
      <c r="A812" s="26" t="s">
        <v>3984</v>
      </c>
      <c r="B812" s="26" t="s">
        <v>3985</v>
      </c>
      <c r="C812" s="26" t="s">
        <v>3608</v>
      </c>
      <c r="D812" s="26" t="s">
        <v>3947</v>
      </c>
      <c r="E812" s="26" t="s">
        <v>52</v>
      </c>
      <c r="F812" s="26" t="s">
        <v>79</v>
      </c>
      <c r="G812" s="26" t="s">
        <v>3948</v>
      </c>
      <c r="H812" s="26" t="s">
        <v>39</v>
      </c>
      <c r="I812" s="26" t="s">
        <v>3986</v>
      </c>
      <c r="J812" s="11" t="str">
        <f>VLOOKUP(K812,'PN Dictionary'!A:B,2,FALSE)</f>
        <v>GB300 L10</v>
      </c>
      <c r="K812" s="11" t="s">
        <v>3612</v>
      </c>
      <c r="L812" s="26" t="s">
        <v>3987</v>
      </c>
      <c r="M812" s="26" t="s">
        <v>3982</v>
      </c>
      <c r="N812" s="50" t="s">
        <v>53</v>
      </c>
      <c r="O812" s="51" t="s">
        <v>728</v>
      </c>
      <c r="P812" s="26">
        <v>90131</v>
      </c>
      <c r="Q812" s="26" t="s">
        <v>55</v>
      </c>
    </row>
    <row r="813" spans="1:17" hidden="1" x14ac:dyDescent="0.3">
      <c r="A813" s="26" t="s">
        <v>3988</v>
      </c>
      <c r="B813" s="26" t="s">
        <v>3989</v>
      </c>
      <c r="C813" s="26" t="s">
        <v>3608</v>
      </c>
      <c r="D813" s="26" t="s">
        <v>3990</v>
      </c>
      <c r="E813" s="26" t="s">
        <v>761</v>
      </c>
      <c r="F813" s="26" t="s">
        <v>3688</v>
      </c>
      <c r="G813" s="26" t="s">
        <v>3948</v>
      </c>
      <c r="H813" s="26" t="s">
        <v>39</v>
      </c>
      <c r="I813" s="26" t="s">
        <v>1190</v>
      </c>
      <c r="J813" s="11" t="str">
        <f>VLOOKUP(K813,'PN Dictionary'!A:B,2,FALSE)</f>
        <v>GB300 L10</v>
      </c>
      <c r="K813" s="11" t="s">
        <v>3612</v>
      </c>
      <c r="L813" s="26" t="s">
        <v>3991</v>
      </c>
      <c r="M813" s="26" t="s">
        <v>3992</v>
      </c>
      <c r="N813" s="50" t="s">
        <v>53</v>
      </c>
      <c r="O813" s="51" t="s">
        <v>728</v>
      </c>
      <c r="P813" s="26">
        <v>90160</v>
      </c>
      <c r="Q813" s="26" t="s">
        <v>55</v>
      </c>
    </row>
    <row r="814" spans="1:17" hidden="1" x14ac:dyDescent="0.3">
      <c r="A814" s="26" t="s">
        <v>3993</v>
      </c>
      <c r="B814" s="26" t="s">
        <v>3994</v>
      </c>
      <c r="C814" s="26" t="s">
        <v>3608</v>
      </c>
      <c r="D814" s="26" t="s">
        <v>3995</v>
      </c>
      <c r="E814" s="26" t="s">
        <v>411</v>
      </c>
      <c r="F814" s="26" t="s">
        <v>597</v>
      </c>
      <c r="G814" s="26" t="s">
        <v>3948</v>
      </c>
      <c r="H814" s="26" t="s">
        <v>39</v>
      </c>
      <c r="I814" s="26" t="s">
        <v>3996</v>
      </c>
      <c r="J814" s="11" t="str">
        <f>VLOOKUP(K814,'PN Dictionary'!A:B,2,FALSE)</f>
        <v>Rack Frame</v>
      </c>
      <c r="K814" s="11" t="s">
        <v>3997</v>
      </c>
      <c r="L814" s="26" t="s">
        <v>3998</v>
      </c>
      <c r="M814" s="26" t="s">
        <v>3999</v>
      </c>
      <c r="N814" s="50" t="s">
        <v>53</v>
      </c>
      <c r="O814" s="51" t="s">
        <v>728</v>
      </c>
      <c r="P814" s="26">
        <v>90160</v>
      </c>
      <c r="Q814" s="26" t="s">
        <v>55</v>
      </c>
    </row>
    <row r="815" spans="1:17" hidden="1" x14ac:dyDescent="0.3">
      <c r="A815" s="26" t="s">
        <v>4052</v>
      </c>
      <c r="B815" s="26" t="s">
        <v>4053</v>
      </c>
      <c r="C815" s="26" t="s">
        <v>3608</v>
      </c>
      <c r="D815" s="26" t="s">
        <v>4054</v>
      </c>
      <c r="E815" s="26" t="s">
        <v>128</v>
      </c>
      <c r="F815" s="26" t="s">
        <v>205</v>
      </c>
      <c r="G815" s="26" t="s">
        <v>4005</v>
      </c>
      <c r="H815" s="26" t="s">
        <v>39</v>
      </c>
      <c r="I815" s="26" t="s">
        <v>4055</v>
      </c>
      <c r="J815" s="11" t="str">
        <f>VLOOKUP(K815,'PN Dictionary'!A:B,2,FALSE)</f>
        <v>Cable Cartridge</v>
      </c>
      <c r="K815" s="26" t="s">
        <v>6</v>
      </c>
      <c r="L815" s="26">
        <v>2024325880589</v>
      </c>
      <c r="M815" s="50">
        <v>1824825354180</v>
      </c>
      <c r="N815" s="51" t="s">
        <v>53</v>
      </c>
      <c r="O815" s="26" t="s">
        <v>728</v>
      </c>
      <c r="P815" s="26">
        <v>90160</v>
      </c>
      <c r="Q815" s="26" t="s">
        <v>55</v>
      </c>
    </row>
    <row r="816" spans="1:17" hidden="1" x14ac:dyDescent="0.3">
      <c r="A816" s="26" t="s">
        <v>4019</v>
      </c>
      <c r="B816" s="26" t="s">
        <v>4020</v>
      </c>
      <c r="C816" s="26" t="s">
        <v>3608</v>
      </c>
      <c r="D816" s="26" t="s">
        <v>3965</v>
      </c>
      <c r="E816" s="26" t="s">
        <v>761</v>
      </c>
      <c r="F816" s="26" t="s">
        <v>3688</v>
      </c>
      <c r="G816" s="26" t="s">
        <v>4005</v>
      </c>
      <c r="H816" s="26" t="s">
        <v>39</v>
      </c>
      <c r="I816" s="26" t="s">
        <v>1190</v>
      </c>
      <c r="J816" s="11" t="str">
        <f>VLOOKUP(K816,'PN Dictionary'!A:B,2,FALSE)</f>
        <v>GB300 L10</v>
      </c>
      <c r="K816" s="26" t="s">
        <v>3612</v>
      </c>
      <c r="L816" s="26" t="s">
        <v>4021</v>
      </c>
      <c r="M816" s="50" t="s">
        <v>4022</v>
      </c>
      <c r="N816" s="51" t="s">
        <v>53</v>
      </c>
      <c r="O816" s="26" t="s">
        <v>728</v>
      </c>
      <c r="P816" s="26">
        <v>90160</v>
      </c>
      <c r="Q816" s="26" t="s">
        <v>55</v>
      </c>
    </row>
    <row r="817" spans="1:17" hidden="1" x14ac:dyDescent="0.3">
      <c r="A817" s="26" t="s">
        <v>4023</v>
      </c>
      <c r="B817" s="26" t="s">
        <v>4024</v>
      </c>
      <c r="C817" s="26" t="s">
        <v>3608</v>
      </c>
      <c r="D817" s="26" t="s">
        <v>4025</v>
      </c>
      <c r="E817" s="26" t="s">
        <v>411</v>
      </c>
      <c r="F817" s="26" t="s">
        <v>597</v>
      </c>
      <c r="G817" s="26" t="s">
        <v>4005</v>
      </c>
      <c r="H817" s="26" t="s">
        <v>39</v>
      </c>
      <c r="I817" s="26" t="s">
        <v>4026</v>
      </c>
      <c r="J817" s="11" t="str">
        <f>VLOOKUP(K817,'PN Dictionary'!A:B,2,FALSE)</f>
        <v>NVSwitch</v>
      </c>
      <c r="K817" s="26" t="s">
        <v>7</v>
      </c>
      <c r="L817" s="26" t="s">
        <v>4027</v>
      </c>
      <c r="M817" s="50" t="s">
        <v>4028</v>
      </c>
      <c r="N817" s="51" t="s">
        <v>53</v>
      </c>
      <c r="O817" s="26" t="s">
        <v>728</v>
      </c>
      <c r="P817" s="26">
        <v>90160</v>
      </c>
      <c r="Q817" s="26" t="s">
        <v>55</v>
      </c>
    </row>
    <row r="818" spans="1:17" hidden="1" x14ac:dyDescent="0.3">
      <c r="A818" s="26" t="s">
        <v>4007</v>
      </c>
      <c r="B818" s="26" t="s">
        <v>4008</v>
      </c>
      <c r="C818" s="26" t="s">
        <v>3608</v>
      </c>
      <c r="D818" s="26" t="s">
        <v>3933</v>
      </c>
      <c r="E818" s="26" t="s">
        <v>52</v>
      </c>
      <c r="F818" s="26" t="s">
        <v>79</v>
      </c>
      <c r="G818" s="26" t="s">
        <v>4005</v>
      </c>
      <c r="H818" s="26" t="s">
        <v>39</v>
      </c>
      <c r="I818" s="26" t="s">
        <v>79</v>
      </c>
      <c r="J818" s="11" t="str">
        <f>VLOOKUP(K818,'PN Dictionary'!A:B,2,FALSE)</f>
        <v>GB300 L10</v>
      </c>
      <c r="K818" s="26" t="s">
        <v>3612</v>
      </c>
      <c r="L818" s="26" t="s">
        <v>4009</v>
      </c>
      <c r="M818" s="50" t="s">
        <v>4010</v>
      </c>
      <c r="N818" s="51" t="s">
        <v>53</v>
      </c>
      <c r="O818" s="26" t="s">
        <v>728</v>
      </c>
      <c r="P818" s="26">
        <v>640</v>
      </c>
      <c r="Q818" s="26" t="s">
        <v>55</v>
      </c>
    </row>
    <row r="819" spans="1:17" hidden="1" x14ac:dyDescent="0.3">
      <c r="A819" s="26" t="s">
        <v>4043</v>
      </c>
      <c r="B819" s="26" t="s">
        <v>4044</v>
      </c>
      <c r="C819" s="26" t="s">
        <v>3608</v>
      </c>
      <c r="D819" s="26" t="s">
        <v>4045</v>
      </c>
      <c r="E819" s="26" t="s">
        <v>270</v>
      </c>
      <c r="F819" s="26" t="s">
        <v>3952</v>
      </c>
      <c r="G819" s="26" t="s">
        <v>4005</v>
      </c>
      <c r="H819" s="26" t="s">
        <v>39</v>
      </c>
      <c r="I819" s="26" t="s">
        <v>4046</v>
      </c>
      <c r="J819" s="11" t="str">
        <f>VLOOKUP(K819,'PN Dictionary'!A:B,2,FALSE)</f>
        <v>Delta Power Shelf Left Input</v>
      </c>
      <c r="K819" s="11" t="s">
        <v>10</v>
      </c>
      <c r="L819" s="26" t="s">
        <v>4047</v>
      </c>
      <c r="M819" s="50" t="s">
        <v>4048</v>
      </c>
      <c r="N819" s="51" t="s">
        <v>53</v>
      </c>
      <c r="O819" s="26" t="s">
        <v>728</v>
      </c>
      <c r="P819" s="26">
        <v>924</v>
      </c>
      <c r="Q819" s="26" t="s">
        <v>55</v>
      </c>
    </row>
    <row r="820" spans="1:17" hidden="1" x14ac:dyDescent="0.3">
      <c r="A820" s="26" t="s">
        <v>4015</v>
      </c>
      <c r="B820" s="26" t="s">
        <v>4016</v>
      </c>
      <c r="C820" s="26" t="s">
        <v>3608</v>
      </c>
      <c r="D820" s="26" t="s">
        <v>4017</v>
      </c>
      <c r="E820" s="26" t="s">
        <v>128</v>
      </c>
      <c r="F820" s="26" t="s">
        <v>205</v>
      </c>
      <c r="G820" s="26" t="s">
        <v>4005</v>
      </c>
      <c r="H820" s="26" t="s">
        <v>39</v>
      </c>
      <c r="I820" s="26" t="s">
        <v>4018</v>
      </c>
      <c r="J820" s="11" t="str">
        <f>VLOOKUP(K820,'PN Dictionary'!A:B,2,FALSE)</f>
        <v>Cable Cartridge</v>
      </c>
      <c r="K820" s="26" t="s">
        <v>6</v>
      </c>
      <c r="L820" s="26">
        <v>2024225881187</v>
      </c>
      <c r="M820" s="50">
        <v>1824025185512</v>
      </c>
      <c r="N820" s="51" t="s">
        <v>53</v>
      </c>
      <c r="O820" s="26" t="s">
        <v>728</v>
      </c>
      <c r="P820" s="26">
        <v>924</v>
      </c>
      <c r="Q820" s="26" t="s">
        <v>55</v>
      </c>
    </row>
    <row r="821" spans="1:17" hidden="1" x14ac:dyDescent="0.3">
      <c r="A821" s="26" t="s">
        <v>4049</v>
      </c>
      <c r="B821" s="26" t="s">
        <v>4050</v>
      </c>
      <c r="C821" s="26" t="s">
        <v>3608</v>
      </c>
      <c r="D821" s="26" t="s">
        <v>3962</v>
      </c>
      <c r="E821" s="26" t="s">
        <v>128</v>
      </c>
      <c r="F821" s="26" t="s">
        <v>205</v>
      </c>
      <c r="G821" s="26" t="s">
        <v>4005</v>
      </c>
      <c r="H821" s="26" t="s">
        <v>39</v>
      </c>
      <c r="I821" s="26" t="s">
        <v>4051</v>
      </c>
      <c r="J821" s="11" t="str">
        <f>VLOOKUP(K821,'PN Dictionary'!A:B,2,FALSE)</f>
        <v>Cable Cartridge</v>
      </c>
      <c r="K821" s="26" t="s">
        <v>6</v>
      </c>
      <c r="L821" s="26">
        <v>1824025185495</v>
      </c>
      <c r="M821" s="50">
        <v>1824025185531</v>
      </c>
      <c r="N821" s="51" t="s">
        <v>53</v>
      </c>
      <c r="O821" s="26" t="s">
        <v>728</v>
      </c>
      <c r="P821" s="26">
        <v>90160</v>
      </c>
      <c r="Q821" s="26" t="s">
        <v>55</v>
      </c>
    </row>
    <row r="822" spans="1:17" hidden="1" x14ac:dyDescent="0.3">
      <c r="A822" s="26" t="s">
        <v>4029</v>
      </c>
      <c r="B822" s="26" t="s">
        <v>4030</v>
      </c>
      <c r="C822" s="26" t="s">
        <v>3608</v>
      </c>
      <c r="D822" s="26" t="s">
        <v>3947</v>
      </c>
      <c r="E822" s="26" t="s">
        <v>4031</v>
      </c>
      <c r="F822" s="26" t="s">
        <v>4032</v>
      </c>
      <c r="G822" s="26" t="s">
        <v>4005</v>
      </c>
      <c r="H822" s="26" t="s">
        <v>39</v>
      </c>
      <c r="I822" s="26" t="s">
        <v>4033</v>
      </c>
      <c r="J822" s="11" t="str">
        <f>VLOOKUP(K822,'PN Dictionary'!A:B,2,FALSE)</f>
        <v>GB300 L10</v>
      </c>
      <c r="K822" s="26" t="s">
        <v>3612</v>
      </c>
      <c r="L822" s="26" t="s">
        <v>3982</v>
      </c>
      <c r="M822" s="50" t="s">
        <v>3972</v>
      </c>
      <c r="N822" s="51" t="s">
        <v>53</v>
      </c>
      <c r="O822" s="26" t="s">
        <v>728</v>
      </c>
      <c r="P822" s="26">
        <v>90131</v>
      </c>
      <c r="Q822" s="26" t="s">
        <v>55</v>
      </c>
    </row>
    <row r="823" spans="1:17" hidden="1" x14ac:dyDescent="0.3">
      <c r="A823" s="26" t="s">
        <v>4034</v>
      </c>
      <c r="B823" s="26" t="s">
        <v>4035</v>
      </c>
      <c r="C823" s="26" t="s">
        <v>3608</v>
      </c>
      <c r="D823" s="26" t="s">
        <v>4036</v>
      </c>
      <c r="E823" s="26" t="s">
        <v>128</v>
      </c>
      <c r="F823" s="26" t="s">
        <v>205</v>
      </c>
      <c r="G823" s="26" t="s">
        <v>4005</v>
      </c>
      <c r="H823" s="26" t="s">
        <v>39</v>
      </c>
      <c r="I823" s="26" t="s">
        <v>4037</v>
      </c>
      <c r="J823" s="11" t="str">
        <f>VLOOKUP(K823,'PN Dictionary'!A:B,2,FALSE)</f>
        <v>Cable Cartridge</v>
      </c>
      <c r="K823" s="26" t="s">
        <v>6</v>
      </c>
      <c r="L823" s="26">
        <v>2024325881126</v>
      </c>
      <c r="M823" s="50">
        <v>1824025185500</v>
      </c>
      <c r="N823" s="51" t="s">
        <v>53</v>
      </c>
      <c r="O823" s="26" t="s">
        <v>728</v>
      </c>
      <c r="P823" s="26">
        <v>90160</v>
      </c>
      <c r="Q823" s="26" t="s">
        <v>55</v>
      </c>
    </row>
    <row r="824" spans="1:17" hidden="1" x14ac:dyDescent="0.3">
      <c r="A824" s="26" t="s">
        <v>4002</v>
      </c>
      <c r="B824" s="26" t="s">
        <v>4003</v>
      </c>
      <c r="C824" s="26" t="s">
        <v>3608</v>
      </c>
      <c r="D824" s="26" t="s">
        <v>4004</v>
      </c>
      <c r="E824" s="26" t="s">
        <v>230</v>
      </c>
      <c r="F824" s="26" t="s">
        <v>238</v>
      </c>
      <c r="G824" s="26" t="s">
        <v>4005</v>
      </c>
      <c r="H824" s="26" t="s">
        <v>39</v>
      </c>
      <c r="I824" s="26" t="s">
        <v>1279</v>
      </c>
      <c r="J824" s="11" t="str">
        <f>VLOOKUP(K824,'PN Dictionary'!A:B,2,FALSE)</f>
        <v>NVSwitch</v>
      </c>
      <c r="K824" s="26" t="s">
        <v>7</v>
      </c>
      <c r="L824" s="26" t="s">
        <v>2970</v>
      </c>
      <c r="M824" s="50" t="s">
        <v>4006</v>
      </c>
      <c r="N824" s="51" t="s">
        <v>53</v>
      </c>
      <c r="O824" s="26" t="s">
        <v>728</v>
      </c>
      <c r="P824" s="26">
        <v>90131</v>
      </c>
      <c r="Q824" s="26" t="s">
        <v>55</v>
      </c>
    </row>
    <row r="825" spans="1:17" hidden="1" x14ac:dyDescent="0.3">
      <c r="A825" s="26" t="s">
        <v>4011</v>
      </c>
      <c r="B825" s="26" t="s">
        <v>4012</v>
      </c>
      <c r="C825" s="26" t="s">
        <v>3608</v>
      </c>
      <c r="D825" s="26" t="s">
        <v>3933</v>
      </c>
      <c r="E825" s="26" t="s">
        <v>380</v>
      </c>
      <c r="F825" s="26" t="s">
        <v>620</v>
      </c>
      <c r="G825" s="26" t="s">
        <v>4005</v>
      </c>
      <c r="H825" s="26" t="s">
        <v>39</v>
      </c>
      <c r="I825" s="26" t="s">
        <v>990</v>
      </c>
      <c r="J825" s="11" t="str">
        <f>VLOOKUP(K825,'PN Dictionary'!A:B,2,FALSE)</f>
        <v>GB300 L10</v>
      </c>
      <c r="K825" s="26" t="s">
        <v>3612</v>
      </c>
      <c r="L825" s="26" t="s">
        <v>4013</v>
      </c>
      <c r="M825" s="50" t="s">
        <v>4014</v>
      </c>
      <c r="N825" s="51" t="s">
        <v>53</v>
      </c>
      <c r="O825" s="26" t="s">
        <v>728</v>
      </c>
      <c r="P825" s="26">
        <v>90131</v>
      </c>
      <c r="Q825" s="26" t="s">
        <v>55</v>
      </c>
    </row>
    <row r="826" spans="1:17" hidden="1" x14ac:dyDescent="0.3">
      <c r="A826" s="26" t="s">
        <v>4038</v>
      </c>
      <c r="B826" s="26" t="s">
        <v>4039</v>
      </c>
      <c r="C826" s="26" t="s">
        <v>3608</v>
      </c>
      <c r="D826" s="26" t="s">
        <v>4040</v>
      </c>
      <c r="E826" s="26" t="s">
        <v>761</v>
      </c>
      <c r="F826" s="26" t="s">
        <v>3688</v>
      </c>
      <c r="G826" s="26" t="s">
        <v>4005</v>
      </c>
      <c r="H826" s="26" t="s">
        <v>39</v>
      </c>
      <c r="I826" s="26" t="s">
        <v>1190</v>
      </c>
      <c r="J826" s="11" t="str">
        <f>VLOOKUP(K826,'PN Dictionary'!A:B,2,FALSE)</f>
        <v>GB300 L10</v>
      </c>
      <c r="K826" s="26" t="s">
        <v>3612</v>
      </c>
      <c r="L826" s="26" t="s">
        <v>4041</v>
      </c>
      <c r="M826" s="50" t="s">
        <v>4042</v>
      </c>
      <c r="N826" s="51" t="s">
        <v>53</v>
      </c>
      <c r="O826" s="26" t="s">
        <v>728</v>
      </c>
      <c r="P826" s="26">
        <v>90160</v>
      </c>
      <c r="Q826" s="26" t="s">
        <v>55</v>
      </c>
    </row>
    <row r="827" spans="1:17" hidden="1" x14ac:dyDescent="0.3">
      <c r="A827" s="26" t="s">
        <v>4056</v>
      </c>
      <c r="B827" s="26" t="s">
        <v>4057</v>
      </c>
      <c r="C827" s="26" t="s">
        <v>3608</v>
      </c>
      <c r="D827" s="26" t="s">
        <v>4058</v>
      </c>
      <c r="E827" s="26" t="s">
        <v>128</v>
      </c>
      <c r="F827" s="26" t="s">
        <v>205</v>
      </c>
      <c r="G827" s="26" t="s">
        <v>4005</v>
      </c>
      <c r="H827" s="26" t="s">
        <v>39</v>
      </c>
      <c r="I827" s="26" t="s">
        <v>750</v>
      </c>
      <c r="J827" s="11" t="str">
        <f>VLOOKUP(K827,'PN Dictionary'!A:B,2,FALSE)</f>
        <v>Cable Cartridge</v>
      </c>
      <c r="K827" s="26" t="s">
        <v>6</v>
      </c>
      <c r="L827" s="26">
        <v>2024225880987</v>
      </c>
      <c r="M827" s="50">
        <v>2024225880976</v>
      </c>
      <c r="N827" s="51" t="s">
        <v>53</v>
      </c>
      <c r="O827" s="26" t="s">
        <v>728</v>
      </c>
      <c r="P827" s="26">
        <v>90131</v>
      </c>
      <c r="Q827" s="26" t="s">
        <v>55</v>
      </c>
    </row>
    <row r="828" spans="1:17" hidden="1" x14ac:dyDescent="0.3">
      <c r="A828" s="26" t="s">
        <v>4059</v>
      </c>
      <c r="B828" s="26" t="s">
        <v>4060</v>
      </c>
      <c r="C828" s="26" t="s">
        <v>3608</v>
      </c>
      <c r="D828" s="26" t="s">
        <v>4061</v>
      </c>
      <c r="E828" s="26" t="s">
        <v>128</v>
      </c>
      <c r="F828" s="26" t="s">
        <v>205</v>
      </c>
      <c r="G828" s="26" t="s">
        <v>4062</v>
      </c>
      <c r="H828" s="26" t="s">
        <v>39</v>
      </c>
      <c r="I828" s="26" t="s">
        <v>2714</v>
      </c>
      <c r="J828" s="11" t="str">
        <f>VLOOKUP(K828,'PN Dictionary'!A:B,2,FALSE)</f>
        <v>Cable Cartridge</v>
      </c>
      <c r="K828" s="26" t="s">
        <v>6</v>
      </c>
      <c r="L828" s="26">
        <v>1824025185069</v>
      </c>
      <c r="M828" s="50">
        <v>2024225880882</v>
      </c>
      <c r="N828" s="51" t="s">
        <v>53</v>
      </c>
      <c r="O828" s="26" t="s">
        <v>728</v>
      </c>
      <c r="P828" s="26">
        <v>1237</v>
      </c>
      <c r="Q828" s="26" t="s">
        <v>55</v>
      </c>
    </row>
    <row r="829" spans="1:17" hidden="1" x14ac:dyDescent="0.3">
      <c r="A829" s="26" t="s">
        <v>4063</v>
      </c>
      <c r="B829" s="26" t="s">
        <v>4064</v>
      </c>
      <c r="C829" s="26" t="s">
        <v>3608</v>
      </c>
      <c r="D829" s="26" t="s">
        <v>4065</v>
      </c>
      <c r="E829" s="26" t="s">
        <v>658</v>
      </c>
      <c r="F829" s="26" t="s">
        <v>4066</v>
      </c>
      <c r="G829" s="26" t="s">
        <v>4062</v>
      </c>
      <c r="H829" s="26" t="s">
        <v>39</v>
      </c>
      <c r="I829" s="26" t="s">
        <v>4067</v>
      </c>
      <c r="J829" s="11" t="str">
        <f>VLOOKUP(K829,'PN Dictionary'!A:B,2,FALSE)</f>
        <v>GB300 L10</v>
      </c>
      <c r="K829" s="26" t="s">
        <v>3612</v>
      </c>
      <c r="L829" s="26" t="s">
        <v>4068</v>
      </c>
      <c r="M829" s="50" t="s">
        <v>3828</v>
      </c>
      <c r="N829" s="51" t="s">
        <v>53</v>
      </c>
      <c r="O829" s="26" t="s">
        <v>728</v>
      </c>
      <c r="P829" s="26">
        <v>90131</v>
      </c>
      <c r="Q829" s="26" t="s">
        <v>55</v>
      </c>
    </row>
    <row r="830" spans="1:17" hidden="1" x14ac:dyDescent="0.3">
      <c r="A830" s="26" t="s">
        <v>4069</v>
      </c>
      <c r="B830" s="26" t="s">
        <v>4070</v>
      </c>
      <c r="C830" s="26" t="s">
        <v>3608</v>
      </c>
      <c r="D830" s="26" t="s">
        <v>3995</v>
      </c>
      <c r="E830" s="26" t="s">
        <v>128</v>
      </c>
      <c r="F830" s="26" t="s">
        <v>205</v>
      </c>
      <c r="G830" s="26" t="s">
        <v>4062</v>
      </c>
      <c r="H830" s="26" t="s">
        <v>39</v>
      </c>
      <c r="I830" s="26" t="s">
        <v>4071</v>
      </c>
      <c r="J830" s="11" t="str">
        <f>VLOOKUP(K830,'PN Dictionary'!A:B,2,FALSE)</f>
        <v>Cable Cartridge</v>
      </c>
      <c r="K830" s="26" t="s">
        <v>6</v>
      </c>
      <c r="L830" s="26">
        <v>2024325881119</v>
      </c>
      <c r="M830" s="50">
        <v>1824025185484</v>
      </c>
      <c r="N830" s="51" t="s">
        <v>53</v>
      </c>
      <c r="O830" s="26" t="s">
        <v>728</v>
      </c>
      <c r="P830" s="26">
        <v>90169</v>
      </c>
      <c r="Q830" s="26" t="s">
        <v>55</v>
      </c>
    </row>
    <row r="831" spans="1:17" hidden="1" x14ac:dyDescent="0.3">
      <c r="A831" s="26" t="s">
        <v>4072</v>
      </c>
      <c r="B831" s="26" t="s">
        <v>4073</v>
      </c>
      <c r="C831" s="26" t="s">
        <v>3608</v>
      </c>
      <c r="D831" s="26" t="s">
        <v>4074</v>
      </c>
      <c r="E831" s="26" t="s">
        <v>374</v>
      </c>
      <c r="F831" s="26" t="s">
        <v>3893</v>
      </c>
      <c r="G831" s="26" t="s">
        <v>4075</v>
      </c>
      <c r="H831" s="26" t="s">
        <v>39</v>
      </c>
      <c r="I831" s="26" t="s">
        <v>4076</v>
      </c>
      <c r="J831" s="11" t="str">
        <f>VLOOKUP(K831,'PN Dictionary'!A:B,2,FALSE)</f>
        <v>Cable Cartridge</v>
      </c>
      <c r="K831" s="26" t="s">
        <v>6</v>
      </c>
      <c r="L831" s="26">
        <v>2024325881068</v>
      </c>
      <c r="M831" s="50">
        <v>1824025185476</v>
      </c>
      <c r="N831" s="51" t="s">
        <v>53</v>
      </c>
      <c r="O831" s="26" t="s">
        <v>728</v>
      </c>
      <c r="P831" s="26">
        <v>1519</v>
      </c>
      <c r="Q831" s="26" t="s">
        <v>55</v>
      </c>
    </row>
    <row r="832" spans="1:17" hidden="1" x14ac:dyDescent="0.3">
      <c r="A832" s="26" t="s">
        <v>4077</v>
      </c>
      <c r="B832" s="26" t="s">
        <v>4078</v>
      </c>
      <c r="C832" s="26" t="s">
        <v>3608</v>
      </c>
      <c r="D832" s="26" t="s">
        <v>4061</v>
      </c>
      <c r="E832" s="26" t="s">
        <v>230</v>
      </c>
      <c r="F832" s="26" t="s">
        <v>238</v>
      </c>
      <c r="G832" s="26" t="s">
        <v>4075</v>
      </c>
      <c r="H832" s="26" t="s">
        <v>39</v>
      </c>
      <c r="I832" s="26" t="s">
        <v>4079</v>
      </c>
      <c r="J832" s="11" t="str">
        <f>VLOOKUP(K832,'PN Dictionary'!A:B,2,FALSE)</f>
        <v>NVSwitch</v>
      </c>
      <c r="K832" s="26" t="s">
        <v>7</v>
      </c>
      <c r="L832" s="26" t="s">
        <v>4080</v>
      </c>
      <c r="M832" s="50" t="s">
        <v>4081</v>
      </c>
      <c r="N832" s="51" t="s">
        <v>53</v>
      </c>
      <c r="O832" s="26" t="s">
        <v>728</v>
      </c>
      <c r="P832" s="26">
        <v>640</v>
      </c>
      <c r="Q832" s="26" t="s">
        <v>55</v>
      </c>
    </row>
    <row r="833" spans="1:17" hidden="1" x14ac:dyDescent="0.3">
      <c r="A833" s="26" t="s">
        <v>4082</v>
      </c>
      <c r="B833" s="26" t="s">
        <v>4083</v>
      </c>
      <c r="C833" s="26" t="s">
        <v>3608</v>
      </c>
      <c r="D833" s="26" t="s">
        <v>4061</v>
      </c>
      <c r="E833" s="26" t="s">
        <v>230</v>
      </c>
      <c r="F833" s="26" t="s">
        <v>238</v>
      </c>
      <c r="G833" s="26" t="s">
        <v>4075</v>
      </c>
      <c r="H833" s="26" t="s">
        <v>39</v>
      </c>
      <c r="I833" s="26" t="s">
        <v>4084</v>
      </c>
      <c r="J833" s="11" t="str">
        <f>VLOOKUP(K833,'PN Dictionary'!A:B,2,FALSE)</f>
        <v>NVSwitch</v>
      </c>
      <c r="K833" s="26" t="s">
        <v>7</v>
      </c>
      <c r="L833" s="26" t="s">
        <v>4085</v>
      </c>
      <c r="M833" s="50" t="s">
        <v>4086</v>
      </c>
      <c r="N833" s="51" t="s">
        <v>53</v>
      </c>
      <c r="O833" s="26" t="s">
        <v>728</v>
      </c>
      <c r="P833" s="26">
        <v>718</v>
      </c>
      <c r="Q833" s="26" t="s">
        <v>55</v>
      </c>
    </row>
    <row r="834" spans="1:17" hidden="1" x14ac:dyDescent="0.3">
      <c r="A834" s="26" t="s">
        <v>4087</v>
      </c>
      <c r="B834" s="26" t="s">
        <v>4088</v>
      </c>
      <c r="C834" s="26" t="s">
        <v>3608</v>
      </c>
      <c r="D834" s="26" t="s">
        <v>4089</v>
      </c>
      <c r="E834" s="26" t="s">
        <v>128</v>
      </c>
      <c r="F834" s="26" t="s">
        <v>205</v>
      </c>
      <c r="G834" s="26" t="s">
        <v>4075</v>
      </c>
      <c r="H834" s="26" t="s">
        <v>39</v>
      </c>
      <c r="I834" s="26" t="s">
        <v>4090</v>
      </c>
      <c r="J834" s="11" t="str">
        <f>VLOOKUP(K834,'PN Dictionary'!A:B,2,FALSE)</f>
        <v>Cable Cartridge</v>
      </c>
      <c r="K834" s="26" t="s">
        <v>6</v>
      </c>
      <c r="L834" s="26">
        <v>1824025185183</v>
      </c>
      <c r="M834" s="50">
        <v>1824025185502</v>
      </c>
      <c r="N834" s="51" t="s">
        <v>53</v>
      </c>
      <c r="O834" s="26" t="s">
        <v>728</v>
      </c>
      <c r="P834" s="26">
        <v>924</v>
      </c>
      <c r="Q834" s="26" t="s">
        <v>55</v>
      </c>
    </row>
    <row r="835" spans="1:17" hidden="1" x14ac:dyDescent="0.3">
      <c r="A835" s="26" t="s">
        <v>4091</v>
      </c>
      <c r="B835" s="26" t="s">
        <v>4092</v>
      </c>
      <c r="C835" s="26" t="s">
        <v>3608</v>
      </c>
      <c r="D835" s="26" t="s">
        <v>4093</v>
      </c>
      <c r="E835" s="26" t="s">
        <v>4094</v>
      </c>
      <c r="F835" s="26" t="s">
        <v>4095</v>
      </c>
      <c r="G835" s="26" t="s">
        <v>4075</v>
      </c>
      <c r="H835" s="26" t="s">
        <v>39</v>
      </c>
      <c r="I835" s="26" t="s">
        <v>4096</v>
      </c>
      <c r="J835" s="11" t="str">
        <f>VLOOKUP(K835,'PN Dictionary'!A:B,2,FALSE)</f>
        <v>GB300 L10</v>
      </c>
      <c r="K835" s="26" t="s">
        <v>3612</v>
      </c>
      <c r="L835" s="26" t="s">
        <v>4097</v>
      </c>
      <c r="M835" s="50" t="s">
        <v>4098</v>
      </c>
      <c r="N835" s="51" t="s">
        <v>53</v>
      </c>
      <c r="O835" s="26" t="s">
        <v>728</v>
      </c>
      <c r="P835" s="26">
        <v>90131</v>
      </c>
      <c r="Q835" s="26" t="s">
        <v>55</v>
      </c>
    </row>
    <row r="836" spans="1:17" hidden="1" x14ac:dyDescent="0.3">
      <c r="A836" s="26" t="s">
        <v>4099</v>
      </c>
      <c r="B836" s="26" t="s">
        <v>4100</v>
      </c>
      <c r="C836" s="26" t="s">
        <v>3608</v>
      </c>
      <c r="D836" s="26" t="s">
        <v>4065</v>
      </c>
      <c r="E836" s="26" t="s">
        <v>81</v>
      </c>
      <c r="F836" s="26" t="s">
        <v>522</v>
      </c>
      <c r="G836" s="26" t="s">
        <v>4075</v>
      </c>
      <c r="H836" s="26" t="s">
        <v>39</v>
      </c>
      <c r="I836" s="26" t="s">
        <v>4101</v>
      </c>
      <c r="J836" s="11" t="str">
        <f>VLOOKUP(K836,'PN Dictionary'!A:B,2,FALSE)</f>
        <v>GB300 L10</v>
      </c>
      <c r="K836" s="26" t="s">
        <v>3612</v>
      </c>
      <c r="L836" s="26" t="s">
        <v>3828</v>
      </c>
      <c r="M836" s="50" t="s">
        <v>4102</v>
      </c>
      <c r="N836" s="51" t="s">
        <v>53</v>
      </c>
      <c r="O836" s="26" t="s">
        <v>728</v>
      </c>
      <c r="P836" s="26">
        <v>90131</v>
      </c>
      <c r="Q836" s="26" t="s">
        <v>55</v>
      </c>
    </row>
    <row r="837" spans="1:17" hidden="1" x14ac:dyDescent="0.3">
      <c r="A837" s="26" t="s">
        <v>4103</v>
      </c>
      <c r="B837" s="26" t="s">
        <v>4104</v>
      </c>
      <c r="C837" s="26" t="s">
        <v>3608</v>
      </c>
      <c r="D837" s="26" t="s">
        <v>4061</v>
      </c>
      <c r="E837" s="26" t="s">
        <v>81</v>
      </c>
      <c r="F837" s="26" t="s">
        <v>522</v>
      </c>
      <c r="G837" s="26" t="s">
        <v>4075</v>
      </c>
      <c r="H837" s="26" t="s">
        <v>39</v>
      </c>
      <c r="I837" s="26" t="s">
        <v>4105</v>
      </c>
      <c r="J837" s="11" t="str">
        <f>VLOOKUP(K837,'PN Dictionary'!A:B,2,FALSE)</f>
        <v>GB300 L10</v>
      </c>
      <c r="K837" s="26" t="s">
        <v>3612</v>
      </c>
      <c r="L837" s="26" t="s">
        <v>3629</v>
      </c>
      <c r="M837" s="50" t="s">
        <v>4106</v>
      </c>
      <c r="N837" s="51" t="s">
        <v>53</v>
      </c>
      <c r="O837" s="26" t="s">
        <v>728</v>
      </c>
      <c r="P837" s="26">
        <v>90131</v>
      </c>
      <c r="Q837" s="26" t="s">
        <v>55</v>
      </c>
    </row>
    <row r="838" spans="1:17" hidden="1" x14ac:dyDescent="0.3">
      <c r="A838" s="26" t="s">
        <v>4107</v>
      </c>
      <c r="B838" s="26" t="s">
        <v>4108</v>
      </c>
      <c r="C838" s="26" t="s">
        <v>3608</v>
      </c>
      <c r="D838" s="26" t="s">
        <v>4109</v>
      </c>
      <c r="E838" s="26" t="s">
        <v>3122</v>
      </c>
      <c r="F838" s="26" t="s">
        <v>3694</v>
      </c>
      <c r="G838" s="26" t="s">
        <v>4075</v>
      </c>
      <c r="H838" s="26" t="s">
        <v>39</v>
      </c>
      <c r="I838" s="26" t="s">
        <v>4110</v>
      </c>
      <c r="J838" s="11" t="str">
        <f>VLOOKUP(K838,'PN Dictionary'!A:B,2,FALSE)</f>
        <v>Cable Cartridge</v>
      </c>
      <c r="K838" s="26" t="s">
        <v>6</v>
      </c>
      <c r="L838" s="26">
        <v>2024225880842</v>
      </c>
      <c r="M838" s="50">
        <v>1824025185486</v>
      </c>
      <c r="N838" s="51" t="s">
        <v>53</v>
      </c>
      <c r="O838" s="26" t="s">
        <v>728</v>
      </c>
      <c r="P838" s="26">
        <v>90160</v>
      </c>
      <c r="Q838" s="26" t="s">
        <v>55</v>
      </c>
    </row>
    <row r="839" spans="1:17" hidden="1" x14ac:dyDescent="0.3">
      <c r="A839" s="26" t="s">
        <v>4111</v>
      </c>
      <c r="B839" s="26" t="s">
        <v>4112</v>
      </c>
      <c r="C839" s="26" t="s">
        <v>3608</v>
      </c>
      <c r="D839" s="26" t="s">
        <v>4113</v>
      </c>
      <c r="E839" s="26" t="s">
        <v>242</v>
      </c>
      <c r="F839" s="26" t="s">
        <v>604</v>
      </c>
      <c r="G839" s="26" t="s">
        <v>4114</v>
      </c>
      <c r="H839" s="26" t="s">
        <v>536</v>
      </c>
      <c r="I839" s="26" t="s">
        <v>4115</v>
      </c>
      <c r="J839" s="11" t="str">
        <f>VLOOKUP(K839,'PN Dictionary'!A:B,2,FALSE)</f>
        <v>Delta Power Shelf Left Input</v>
      </c>
      <c r="K839" s="26" t="s">
        <v>10</v>
      </c>
      <c r="L839" s="26" t="s">
        <v>4116</v>
      </c>
      <c r="M839" s="50" t="s">
        <v>4117</v>
      </c>
      <c r="N839" s="51" t="s">
        <v>53</v>
      </c>
      <c r="O839" s="26" t="s">
        <v>728</v>
      </c>
      <c r="P839" s="26">
        <v>1519</v>
      </c>
      <c r="Q839" s="26" t="s">
        <v>55</v>
      </c>
    </row>
    <row r="840" spans="1:17" hidden="1" x14ac:dyDescent="0.3">
      <c r="A840" s="26" t="s">
        <v>4118</v>
      </c>
      <c r="B840" s="26" t="s">
        <v>4119</v>
      </c>
      <c r="C840" s="26" t="s">
        <v>3608</v>
      </c>
      <c r="D840" s="26" t="s">
        <v>4093</v>
      </c>
      <c r="E840" s="26" t="s">
        <v>128</v>
      </c>
      <c r="F840" s="26" t="s">
        <v>205</v>
      </c>
      <c r="G840" s="26" t="s">
        <v>4114</v>
      </c>
      <c r="H840" s="26" t="s">
        <v>39</v>
      </c>
      <c r="I840" s="26" t="s">
        <v>205</v>
      </c>
      <c r="J840" s="11" t="str">
        <f>VLOOKUP(K840,'PN Dictionary'!A:B,2,FALSE)</f>
        <v>Cable Cartridge</v>
      </c>
      <c r="K840" s="26" t="s">
        <v>6</v>
      </c>
      <c r="L840" s="26">
        <v>2024225880780</v>
      </c>
      <c r="M840" s="50">
        <v>1823025356967</v>
      </c>
      <c r="N840" s="51" t="s">
        <v>53</v>
      </c>
      <c r="O840" s="26" t="s">
        <v>728</v>
      </c>
      <c r="P840" s="26">
        <v>640</v>
      </c>
      <c r="Q840" s="26" t="s">
        <v>55</v>
      </c>
    </row>
    <row r="841" spans="1:17" hidden="1" x14ac:dyDescent="0.3">
      <c r="A841" s="26" t="s">
        <v>4120</v>
      </c>
      <c r="B841" s="26" t="s">
        <v>4121</v>
      </c>
      <c r="C841" s="26" t="s">
        <v>3608</v>
      </c>
      <c r="D841" s="26" t="s">
        <v>4122</v>
      </c>
      <c r="E841" s="26" t="s">
        <v>128</v>
      </c>
      <c r="F841" s="26" t="s">
        <v>205</v>
      </c>
      <c r="G841" s="26" t="s">
        <v>4114</v>
      </c>
      <c r="H841" s="26" t="s">
        <v>39</v>
      </c>
      <c r="I841" s="26" t="s">
        <v>4123</v>
      </c>
      <c r="J841" s="11" t="str">
        <f>VLOOKUP(K841,'PN Dictionary'!A:B,2,FALSE)</f>
        <v>Cable Cartridge</v>
      </c>
      <c r="K841" s="26" t="s">
        <v>6</v>
      </c>
      <c r="L841" s="26">
        <v>1824025184143</v>
      </c>
      <c r="M841" s="50">
        <v>1824825354799</v>
      </c>
      <c r="N841" s="51" t="s">
        <v>53</v>
      </c>
      <c r="O841" s="26" t="s">
        <v>728</v>
      </c>
      <c r="P841" s="26">
        <v>924</v>
      </c>
      <c r="Q841" s="26" t="s">
        <v>55</v>
      </c>
    </row>
    <row r="842" spans="1:17" hidden="1" x14ac:dyDescent="0.3">
      <c r="A842" s="26" t="s">
        <v>4124</v>
      </c>
      <c r="B842" s="26" t="s">
        <v>4125</v>
      </c>
      <c r="C842" s="26" t="s">
        <v>3608</v>
      </c>
      <c r="D842" s="26" t="s">
        <v>4126</v>
      </c>
      <c r="E842" s="26" t="s">
        <v>3857</v>
      </c>
      <c r="F842" s="26" t="s">
        <v>3858</v>
      </c>
      <c r="G842" s="26" t="s">
        <v>4114</v>
      </c>
      <c r="H842" s="26" t="s">
        <v>39</v>
      </c>
      <c r="I842" s="26" t="s">
        <v>4127</v>
      </c>
      <c r="J842" s="11" t="str">
        <f>VLOOKUP(K842,'PN Dictionary'!A:B,2,FALSE)</f>
        <v>Cable Cartridge</v>
      </c>
      <c r="K842" s="26" t="s">
        <v>6</v>
      </c>
      <c r="L842" s="26">
        <v>1824025186175</v>
      </c>
      <c r="M842" s="50">
        <v>1824825354798</v>
      </c>
      <c r="N842" s="51" t="s">
        <v>53</v>
      </c>
      <c r="O842" s="26" t="s">
        <v>728</v>
      </c>
      <c r="P842" s="26">
        <v>924</v>
      </c>
      <c r="Q842" s="26" t="s">
        <v>55</v>
      </c>
    </row>
    <row r="843" spans="1:17" hidden="1" x14ac:dyDescent="0.3">
      <c r="A843" s="26" t="s">
        <v>4128</v>
      </c>
      <c r="B843" s="26" t="s">
        <v>4129</v>
      </c>
      <c r="C843" s="26" t="s">
        <v>3608</v>
      </c>
      <c r="D843" s="26" t="s">
        <v>4130</v>
      </c>
      <c r="E843" s="26" t="s">
        <v>242</v>
      </c>
      <c r="F843" s="26" t="s">
        <v>604</v>
      </c>
      <c r="G843" s="26" t="s">
        <v>4114</v>
      </c>
      <c r="H843" s="26" t="s">
        <v>39</v>
      </c>
      <c r="I843" s="26" t="s">
        <v>4131</v>
      </c>
      <c r="J843" s="11" t="str">
        <f>VLOOKUP(K843,'PN Dictionary'!A:B,2,FALSE)</f>
        <v>Power Shelf Control Module</v>
      </c>
      <c r="K843" s="26" t="s">
        <v>11</v>
      </c>
      <c r="L843" s="26" t="s">
        <v>4132</v>
      </c>
      <c r="M843" s="50" t="s">
        <v>4133</v>
      </c>
      <c r="N843" s="51" t="s">
        <v>53</v>
      </c>
      <c r="O843" s="26" t="s">
        <v>728</v>
      </c>
      <c r="P843" s="26">
        <v>640</v>
      </c>
      <c r="Q843" s="26" t="s">
        <v>55</v>
      </c>
    </row>
    <row r="844" spans="1:17" hidden="1" x14ac:dyDescent="0.3">
      <c r="A844" s="26" t="s">
        <v>4134</v>
      </c>
      <c r="B844" s="26" t="s">
        <v>4135</v>
      </c>
      <c r="C844" s="26" t="s">
        <v>3608</v>
      </c>
      <c r="D844" s="26" t="s">
        <v>4136</v>
      </c>
      <c r="E844" s="26" t="s">
        <v>242</v>
      </c>
      <c r="F844" s="26" t="s">
        <v>604</v>
      </c>
      <c r="G844" s="26" t="s">
        <v>4114</v>
      </c>
      <c r="H844" s="26" t="s">
        <v>39</v>
      </c>
      <c r="I844" s="26" t="s">
        <v>4137</v>
      </c>
      <c r="J844" s="11" t="str">
        <f>VLOOKUP(K844,'PN Dictionary'!A:B,2,FALSE)</f>
        <v>Power Shelf Control Module</v>
      </c>
      <c r="K844" s="26" t="s">
        <v>11</v>
      </c>
      <c r="L844" s="26" t="s">
        <v>4138</v>
      </c>
      <c r="M844" s="50" t="s">
        <v>4139</v>
      </c>
      <c r="N844" s="51" t="s">
        <v>53</v>
      </c>
      <c r="O844" s="26" t="s">
        <v>728</v>
      </c>
      <c r="P844" s="26">
        <v>718</v>
      </c>
      <c r="Q844" s="26" t="s">
        <v>55</v>
      </c>
    </row>
    <row r="845" spans="1:17" hidden="1" x14ac:dyDescent="0.3">
      <c r="A845" s="26" t="s">
        <v>4140</v>
      </c>
      <c r="B845" s="26" t="s">
        <v>4141</v>
      </c>
      <c r="C845" s="26" t="s">
        <v>3608</v>
      </c>
      <c r="D845" s="26" t="s">
        <v>4142</v>
      </c>
      <c r="E845" s="26" t="s">
        <v>230</v>
      </c>
      <c r="F845" s="26" t="s">
        <v>238</v>
      </c>
      <c r="G845" s="26" t="s">
        <v>4114</v>
      </c>
      <c r="H845" s="26" t="s">
        <v>39</v>
      </c>
      <c r="I845" s="26" t="s">
        <v>4143</v>
      </c>
      <c r="J845" s="11" t="str">
        <f>VLOOKUP(K845,'PN Dictionary'!A:B,2,FALSE)</f>
        <v>NVSwitch</v>
      </c>
      <c r="K845" s="26" t="s">
        <v>7</v>
      </c>
      <c r="L845" s="26" t="s">
        <v>4144</v>
      </c>
      <c r="M845" s="50" t="s">
        <v>4145</v>
      </c>
      <c r="N845" s="51" t="s">
        <v>53</v>
      </c>
      <c r="O845" s="26" t="s">
        <v>728</v>
      </c>
      <c r="P845" s="26">
        <v>1519</v>
      </c>
      <c r="Q845" s="26" t="s">
        <v>55</v>
      </c>
    </row>
    <row r="846" spans="1:17" hidden="1" x14ac:dyDescent="0.3">
      <c r="A846" s="26" t="s">
        <v>4146</v>
      </c>
      <c r="B846" s="26" t="s">
        <v>4147</v>
      </c>
      <c r="C846" s="26" t="s">
        <v>3608</v>
      </c>
      <c r="D846" s="26" t="s">
        <v>4148</v>
      </c>
      <c r="E846" s="26" t="s">
        <v>242</v>
      </c>
      <c r="F846" s="26" t="s">
        <v>604</v>
      </c>
      <c r="G846" s="26" t="s">
        <v>4114</v>
      </c>
      <c r="H846" s="26" t="s">
        <v>39</v>
      </c>
      <c r="I846" s="26" t="s">
        <v>4149</v>
      </c>
      <c r="J846" s="11" t="str">
        <f>VLOOKUP(K846,'PN Dictionary'!A:B,2,FALSE)</f>
        <v>Power Shelf Control Module</v>
      </c>
      <c r="K846" s="26" t="s">
        <v>11</v>
      </c>
      <c r="L846" s="26" t="s">
        <v>4150</v>
      </c>
      <c r="M846" s="50" t="s">
        <v>4151</v>
      </c>
      <c r="N846" s="51" t="s">
        <v>53</v>
      </c>
      <c r="O846" s="26" t="s">
        <v>728</v>
      </c>
      <c r="P846" s="26">
        <v>640</v>
      </c>
      <c r="Q846" s="26" t="s">
        <v>55</v>
      </c>
    </row>
    <row r="847" spans="1:17" hidden="1" x14ac:dyDescent="0.3">
      <c r="A847" s="26" t="s">
        <v>4152</v>
      </c>
      <c r="B847" s="26" t="s">
        <v>4153</v>
      </c>
      <c r="C847" s="26" t="s">
        <v>3608</v>
      </c>
      <c r="D847" s="26" t="s">
        <v>4148</v>
      </c>
      <c r="E847" s="26" t="s">
        <v>4154</v>
      </c>
      <c r="F847" s="26" t="s">
        <v>4155</v>
      </c>
      <c r="G847" s="26" t="s">
        <v>4114</v>
      </c>
      <c r="H847" s="26" t="s">
        <v>39</v>
      </c>
      <c r="I847" s="26" t="s">
        <v>4156</v>
      </c>
      <c r="J847" s="11" t="str">
        <f>VLOOKUP(K847,'PN Dictionary'!A:B,2,FALSE)</f>
        <v>GB300 L10</v>
      </c>
      <c r="K847" s="26" t="s">
        <v>3612</v>
      </c>
      <c r="L847" s="26" t="s">
        <v>4157</v>
      </c>
      <c r="M847" s="50" t="s">
        <v>4158</v>
      </c>
      <c r="N847" s="51" t="s">
        <v>53</v>
      </c>
      <c r="O847" s="26" t="s">
        <v>728</v>
      </c>
      <c r="P847" s="26">
        <v>640</v>
      </c>
      <c r="Q847" s="26" t="s">
        <v>55</v>
      </c>
    </row>
    <row r="848" spans="1:17" hidden="1" x14ac:dyDescent="0.3">
      <c r="A848" s="26" t="s">
        <v>4159</v>
      </c>
      <c r="B848" s="26" t="s">
        <v>4160</v>
      </c>
      <c r="C848" s="26" t="s">
        <v>3608</v>
      </c>
      <c r="D848" s="26" t="s">
        <v>4061</v>
      </c>
      <c r="E848" s="26" t="s">
        <v>81</v>
      </c>
      <c r="F848" s="26" t="s">
        <v>522</v>
      </c>
      <c r="G848" s="26" t="s">
        <v>4114</v>
      </c>
      <c r="H848" s="26" t="s">
        <v>39</v>
      </c>
      <c r="I848" s="26" t="s">
        <v>4161</v>
      </c>
      <c r="J848" s="11" t="str">
        <f>VLOOKUP(K848,'PN Dictionary'!A:B,2,FALSE)</f>
        <v>GB300 L10</v>
      </c>
      <c r="K848" s="26" t="s">
        <v>3612</v>
      </c>
      <c r="L848" s="26" t="s">
        <v>3734</v>
      </c>
      <c r="M848" s="50" t="s">
        <v>4162</v>
      </c>
      <c r="N848" s="51" t="s">
        <v>53</v>
      </c>
      <c r="O848" s="26" t="s">
        <v>728</v>
      </c>
      <c r="P848" s="26">
        <v>90131</v>
      </c>
      <c r="Q848" s="26" t="s">
        <v>55</v>
      </c>
    </row>
    <row r="849" spans="1:17" hidden="1" x14ac:dyDescent="0.3">
      <c r="A849" s="26" t="s">
        <v>4163</v>
      </c>
      <c r="B849" s="26" t="s">
        <v>4164</v>
      </c>
      <c r="C849" s="26" t="s">
        <v>3608</v>
      </c>
      <c r="D849" s="26" t="s">
        <v>4165</v>
      </c>
      <c r="E849" s="26" t="s">
        <v>128</v>
      </c>
      <c r="F849" s="26" t="s">
        <v>205</v>
      </c>
      <c r="G849" s="26" t="s">
        <v>4114</v>
      </c>
      <c r="H849" s="26" t="s">
        <v>39</v>
      </c>
      <c r="I849" s="26" t="s">
        <v>4166</v>
      </c>
      <c r="J849" s="11" t="str">
        <f>VLOOKUP(K849,'PN Dictionary'!A:B,2,FALSE)</f>
        <v>Cable Cartridge</v>
      </c>
      <c r="K849" s="26" t="s">
        <v>6</v>
      </c>
      <c r="L849" s="26">
        <v>2024225880744</v>
      </c>
      <c r="M849" s="50">
        <v>1824825354969</v>
      </c>
      <c r="N849" s="51" t="s">
        <v>53</v>
      </c>
      <c r="O849" s="26" t="s">
        <v>728</v>
      </c>
      <c r="P849" s="26">
        <v>90185</v>
      </c>
      <c r="Q849" s="26" t="s">
        <v>55</v>
      </c>
    </row>
    <row r="850" spans="1:17" hidden="1" x14ac:dyDescent="0.3">
      <c r="A850" s="26" t="s">
        <v>4167</v>
      </c>
      <c r="B850" s="26" t="s">
        <v>4168</v>
      </c>
      <c r="C850" s="26" t="s">
        <v>3608</v>
      </c>
      <c r="D850" s="26" t="s">
        <v>4169</v>
      </c>
      <c r="E850" s="26" t="s">
        <v>128</v>
      </c>
      <c r="F850" s="26" t="s">
        <v>205</v>
      </c>
      <c r="G850" s="26" t="s">
        <v>4114</v>
      </c>
      <c r="H850" s="26" t="s">
        <v>39</v>
      </c>
      <c r="I850" s="26" t="s">
        <v>4170</v>
      </c>
      <c r="J850" s="11" t="str">
        <f>VLOOKUP(K850,'PN Dictionary'!A:B,2,FALSE)</f>
        <v>Cable Cartridge</v>
      </c>
      <c r="K850" s="26" t="s">
        <v>6</v>
      </c>
      <c r="L850" s="26">
        <v>1824125184092</v>
      </c>
      <c r="M850" s="50">
        <v>1824825354961</v>
      </c>
      <c r="N850" s="51" t="s">
        <v>53</v>
      </c>
      <c r="O850" s="26" t="s">
        <v>728</v>
      </c>
      <c r="P850" s="26">
        <v>90169</v>
      </c>
      <c r="Q850" s="26" t="s">
        <v>55</v>
      </c>
    </row>
    <row r="851" spans="1:17" hidden="1" x14ac:dyDescent="0.3">
      <c r="A851" s="26" t="s">
        <v>4171</v>
      </c>
      <c r="B851" s="26" t="s">
        <v>4172</v>
      </c>
      <c r="C851" s="26" t="s">
        <v>3608</v>
      </c>
      <c r="D851" s="26" t="s">
        <v>4173</v>
      </c>
      <c r="E851" s="26" t="s">
        <v>761</v>
      </c>
      <c r="F851" s="26" t="s">
        <v>3688</v>
      </c>
      <c r="G851" s="26" t="s">
        <v>4114</v>
      </c>
      <c r="H851" s="26" t="s">
        <v>39</v>
      </c>
      <c r="I851" s="26" t="s">
        <v>1190</v>
      </c>
      <c r="J851" s="11" t="str">
        <f>VLOOKUP(K851,'PN Dictionary'!A:B,2,FALSE)</f>
        <v>GB300 L10</v>
      </c>
      <c r="K851" s="26" t="s">
        <v>3612</v>
      </c>
      <c r="L851" s="26" t="s">
        <v>4174</v>
      </c>
      <c r="M851" s="50" t="s">
        <v>4175</v>
      </c>
      <c r="N851" s="51" t="s">
        <v>53</v>
      </c>
      <c r="O851" s="26" t="s">
        <v>728</v>
      </c>
      <c r="P851" s="26">
        <v>90169</v>
      </c>
      <c r="Q851" s="26" t="s">
        <v>55</v>
      </c>
    </row>
    <row r="852" spans="1:17" hidden="1" x14ac:dyDescent="0.3">
      <c r="A852" s="26" t="s">
        <v>4176</v>
      </c>
      <c r="B852" s="26" t="s">
        <v>4177</v>
      </c>
      <c r="C852" s="26" t="s">
        <v>3608</v>
      </c>
      <c r="D852" s="26" t="s">
        <v>4178</v>
      </c>
      <c r="E852" s="26" t="s">
        <v>128</v>
      </c>
      <c r="F852" s="26" t="s">
        <v>205</v>
      </c>
      <c r="G852" s="26" t="s">
        <v>4114</v>
      </c>
      <c r="H852" s="26" t="s">
        <v>39</v>
      </c>
      <c r="I852" s="26" t="s">
        <v>4179</v>
      </c>
      <c r="J852" s="11" t="str">
        <f>VLOOKUP(K852,'PN Dictionary'!A:B,2,FALSE)</f>
        <v>Cable Cartridge</v>
      </c>
      <c r="K852" s="26" t="s">
        <v>6</v>
      </c>
      <c r="L852" s="26">
        <v>2024225880922</v>
      </c>
      <c r="M852" s="50">
        <v>1824825354612</v>
      </c>
      <c r="N852" s="51" t="s">
        <v>53</v>
      </c>
      <c r="O852" s="26" t="s">
        <v>728</v>
      </c>
      <c r="P852" s="26">
        <v>90185</v>
      </c>
      <c r="Q852" s="26" t="s">
        <v>55</v>
      </c>
    </row>
    <row r="853" spans="1:17" hidden="1" x14ac:dyDescent="0.3">
      <c r="A853" s="26" t="s">
        <v>4180</v>
      </c>
      <c r="B853" s="26" t="s">
        <v>4181</v>
      </c>
      <c r="C853" s="26" t="s">
        <v>3608</v>
      </c>
      <c r="D853" s="26" t="s">
        <v>4182</v>
      </c>
      <c r="E853" s="26" t="s">
        <v>380</v>
      </c>
      <c r="F853" s="26" t="s">
        <v>620</v>
      </c>
      <c r="G853" s="26" t="s">
        <v>4114</v>
      </c>
      <c r="H853" s="26" t="s">
        <v>39</v>
      </c>
      <c r="I853" s="26" t="s">
        <v>990</v>
      </c>
      <c r="J853" s="11" t="str">
        <f>VLOOKUP(K853,'PN Dictionary'!A:B,2,FALSE)</f>
        <v>GB300 L10</v>
      </c>
      <c r="K853" s="26" t="s">
        <v>3612</v>
      </c>
      <c r="L853" s="26" t="s">
        <v>4183</v>
      </c>
      <c r="M853" s="50" t="s">
        <v>4184</v>
      </c>
      <c r="N853" s="51" t="s">
        <v>53</v>
      </c>
      <c r="O853" s="26" t="s">
        <v>728</v>
      </c>
      <c r="P853" s="26">
        <v>3908</v>
      </c>
      <c r="Q853" s="26" t="s">
        <v>55</v>
      </c>
    </row>
    <row r="854" spans="1:17" hidden="1" x14ac:dyDescent="0.3">
      <c r="A854" s="26" t="s">
        <v>4185</v>
      </c>
      <c r="B854" s="26" t="s">
        <v>4186</v>
      </c>
      <c r="C854" s="26" t="s">
        <v>3608</v>
      </c>
      <c r="D854" s="26" t="s">
        <v>4122</v>
      </c>
      <c r="E854" s="26" t="s">
        <v>411</v>
      </c>
      <c r="F854" s="26" t="s">
        <v>597</v>
      </c>
      <c r="G854" s="26" t="s">
        <v>4114</v>
      </c>
      <c r="H854" s="26" t="s">
        <v>39</v>
      </c>
      <c r="I854" s="26" t="s">
        <v>4187</v>
      </c>
      <c r="J854" s="11" t="str">
        <f>VLOOKUP(K854,'PN Dictionary'!A:B,2,FALSE)</f>
        <v>NVSwitch</v>
      </c>
      <c r="K854" s="26" t="s">
        <v>7</v>
      </c>
      <c r="L854" s="26" t="s">
        <v>4188</v>
      </c>
      <c r="M854" s="50" t="s">
        <v>4189</v>
      </c>
      <c r="N854" s="51" t="s">
        <v>53</v>
      </c>
      <c r="O854" s="26" t="s">
        <v>728</v>
      </c>
      <c r="P854" s="26">
        <v>90160</v>
      </c>
      <c r="Q854" s="26" t="s">
        <v>55</v>
      </c>
    </row>
    <row r="855" spans="1:17" hidden="1" x14ac:dyDescent="0.3">
      <c r="A855" s="26" t="s">
        <v>4190</v>
      </c>
      <c r="B855" s="26" t="s">
        <v>4191</v>
      </c>
      <c r="C855" s="26" t="s">
        <v>3608</v>
      </c>
      <c r="D855" s="26" t="s">
        <v>4192</v>
      </c>
      <c r="E855" s="26" t="s">
        <v>128</v>
      </c>
      <c r="F855" s="26" t="s">
        <v>205</v>
      </c>
      <c r="G855" s="26" t="s">
        <v>4114</v>
      </c>
      <c r="H855" s="26" t="s">
        <v>39</v>
      </c>
      <c r="I855" s="26" t="s">
        <v>4193</v>
      </c>
      <c r="J855" s="11" t="str">
        <f>VLOOKUP(K855,'PN Dictionary'!A:B,2,FALSE)</f>
        <v>Cable Cartridge</v>
      </c>
      <c r="K855" s="26" t="s">
        <v>6</v>
      </c>
      <c r="L855" s="26">
        <v>1823125354929</v>
      </c>
      <c r="M855" s="50">
        <v>1824825354596</v>
      </c>
      <c r="N855" s="51" t="s">
        <v>53</v>
      </c>
      <c r="O855" s="26" t="s">
        <v>728</v>
      </c>
      <c r="P855" s="26">
        <v>90185</v>
      </c>
      <c r="Q855" s="26" t="s">
        <v>55</v>
      </c>
    </row>
    <row r="856" spans="1:17" hidden="1" x14ac:dyDescent="0.3">
      <c r="A856" s="26" t="s">
        <v>4194</v>
      </c>
      <c r="B856" s="26" t="s">
        <v>4195</v>
      </c>
      <c r="C856" s="26" t="s">
        <v>3608</v>
      </c>
      <c r="D856" s="26" t="s">
        <v>4142</v>
      </c>
      <c r="E856" s="26" t="s">
        <v>242</v>
      </c>
      <c r="F856" s="26" t="s">
        <v>604</v>
      </c>
      <c r="G856" s="26" t="s">
        <v>4196</v>
      </c>
      <c r="H856" s="26" t="s">
        <v>39</v>
      </c>
      <c r="I856" s="26" t="s">
        <v>4197</v>
      </c>
      <c r="J856" s="11" t="str">
        <f>VLOOKUP(K856,'PN Dictionary'!A:B,2,FALSE)</f>
        <v>Power Shelf Control Module</v>
      </c>
      <c r="K856" s="26" t="s">
        <v>11</v>
      </c>
      <c r="L856" s="26" t="s">
        <v>4198</v>
      </c>
      <c r="M856" s="50" t="s">
        <v>4199</v>
      </c>
      <c r="N856" s="51" t="s">
        <v>53</v>
      </c>
      <c r="O856" s="26" t="s">
        <v>728</v>
      </c>
      <c r="P856" s="26">
        <v>1519</v>
      </c>
      <c r="Q856" s="26" t="s">
        <v>55</v>
      </c>
    </row>
    <row r="857" spans="1:17" hidden="1" x14ac:dyDescent="0.3">
      <c r="A857" s="26" t="s">
        <v>4200</v>
      </c>
      <c r="B857" s="26" t="s">
        <v>4201</v>
      </c>
      <c r="C857" s="26" t="s">
        <v>3608</v>
      </c>
      <c r="D857" s="26" t="s">
        <v>4202</v>
      </c>
      <c r="E857" s="26" t="s">
        <v>128</v>
      </c>
      <c r="F857" s="26" t="s">
        <v>205</v>
      </c>
      <c r="G857" s="26" t="s">
        <v>4196</v>
      </c>
      <c r="H857" s="26" t="s">
        <v>39</v>
      </c>
      <c r="I857" s="26" t="s">
        <v>205</v>
      </c>
      <c r="J857" s="11" t="str">
        <f>VLOOKUP(K857,'PN Dictionary'!A:B,2,FALSE)</f>
        <v>Cable Cartridge</v>
      </c>
      <c r="K857" s="26" t="s">
        <v>6</v>
      </c>
      <c r="L857" s="26">
        <v>1824025184720</v>
      </c>
      <c r="M857" s="50">
        <v>1823025357024</v>
      </c>
      <c r="N857" s="51" t="s">
        <v>53</v>
      </c>
      <c r="O857" s="26" t="s">
        <v>728</v>
      </c>
      <c r="P857" s="26">
        <v>1237</v>
      </c>
      <c r="Q857" s="26" t="s">
        <v>55</v>
      </c>
    </row>
    <row r="858" spans="1:17" hidden="1" x14ac:dyDescent="0.3">
      <c r="A858" s="26" t="s">
        <v>4203</v>
      </c>
      <c r="B858" s="26" t="s">
        <v>4204</v>
      </c>
      <c r="C858" s="26" t="s">
        <v>3608</v>
      </c>
      <c r="D858" s="26" t="s">
        <v>4202</v>
      </c>
      <c r="E858" s="26" t="s">
        <v>230</v>
      </c>
      <c r="F858" s="26" t="s">
        <v>238</v>
      </c>
      <c r="G858" s="26" t="s">
        <v>4196</v>
      </c>
      <c r="H858" s="26" t="s">
        <v>39</v>
      </c>
      <c r="I858" s="26" t="s">
        <v>4205</v>
      </c>
      <c r="J858" s="11" t="str">
        <f>VLOOKUP(K858,'PN Dictionary'!A:B,2,FALSE)</f>
        <v>NVSwitch</v>
      </c>
      <c r="K858" s="26" t="s">
        <v>7</v>
      </c>
      <c r="L858" s="26" t="s">
        <v>4206</v>
      </c>
      <c r="M858" s="50" t="s">
        <v>4207</v>
      </c>
      <c r="N858" s="51" t="s">
        <v>53</v>
      </c>
      <c r="O858" s="26" t="s">
        <v>728</v>
      </c>
      <c r="P858" s="26">
        <v>90131</v>
      </c>
      <c r="Q858" s="26" t="s">
        <v>55</v>
      </c>
    </row>
    <row r="859" spans="1:17" hidden="1" x14ac:dyDescent="0.3">
      <c r="A859" s="26" t="s">
        <v>4208</v>
      </c>
      <c r="B859" s="26" t="s">
        <v>4209</v>
      </c>
      <c r="C859" s="26" t="s">
        <v>3608</v>
      </c>
      <c r="D859" s="26" t="s">
        <v>4165</v>
      </c>
      <c r="E859" s="26" t="s">
        <v>128</v>
      </c>
      <c r="F859" s="26" t="s">
        <v>205</v>
      </c>
      <c r="G859" s="26" t="s">
        <v>4196</v>
      </c>
      <c r="H859" s="26" t="s">
        <v>39</v>
      </c>
      <c r="I859" s="26" t="s">
        <v>4210</v>
      </c>
      <c r="J859" s="11" t="str">
        <f>VLOOKUP(K859,'PN Dictionary'!A:B,2,FALSE)</f>
        <v>Cable Cartridge</v>
      </c>
      <c r="K859" s="26" t="s">
        <v>6</v>
      </c>
      <c r="L859" s="26">
        <v>2024225881087</v>
      </c>
      <c r="M859" s="50">
        <v>1824825354962</v>
      </c>
      <c r="N859" s="51" t="s">
        <v>53</v>
      </c>
      <c r="O859" s="26" t="s">
        <v>728</v>
      </c>
      <c r="P859" s="26">
        <v>90160</v>
      </c>
      <c r="Q859" s="26" t="s">
        <v>55</v>
      </c>
    </row>
    <row r="860" spans="1:17" hidden="1" x14ac:dyDescent="0.3">
      <c r="A860" s="26" t="s">
        <v>4211</v>
      </c>
      <c r="B860" s="26" t="s">
        <v>4212</v>
      </c>
      <c r="C860" s="26" t="s">
        <v>3608</v>
      </c>
      <c r="D860" s="26" t="s">
        <v>4213</v>
      </c>
      <c r="E860" s="26" t="s">
        <v>230</v>
      </c>
      <c r="F860" s="26" t="s">
        <v>238</v>
      </c>
      <c r="G860" s="26" t="s">
        <v>4196</v>
      </c>
      <c r="H860" s="26" t="s">
        <v>39</v>
      </c>
      <c r="I860" s="26" t="s">
        <v>4214</v>
      </c>
      <c r="J860" s="11" t="str">
        <f>VLOOKUP(K860,'PN Dictionary'!A:B,2,FALSE)</f>
        <v>NVSwitch</v>
      </c>
      <c r="K860" s="26" t="s">
        <v>7</v>
      </c>
      <c r="L860" s="26" t="s">
        <v>4215</v>
      </c>
      <c r="M860" s="50" t="s">
        <v>4216</v>
      </c>
      <c r="N860" s="51" t="s">
        <v>53</v>
      </c>
      <c r="O860" s="26" t="s">
        <v>728</v>
      </c>
      <c r="P860" s="26">
        <v>90185</v>
      </c>
      <c r="Q860" s="26" t="s">
        <v>55</v>
      </c>
    </row>
    <row r="861" spans="1:17" hidden="1" x14ac:dyDescent="0.3">
      <c r="A861" s="26" t="s">
        <v>4217</v>
      </c>
      <c r="B861" s="26" t="s">
        <v>4218</v>
      </c>
      <c r="C861" s="26" t="s">
        <v>3608</v>
      </c>
      <c r="D861" s="26" t="s">
        <v>4219</v>
      </c>
      <c r="E861" s="26" t="s">
        <v>4220</v>
      </c>
      <c r="F861" s="26" t="s">
        <v>4221</v>
      </c>
      <c r="G861" s="26" t="s">
        <v>4196</v>
      </c>
      <c r="H861" s="26" t="s">
        <v>39</v>
      </c>
      <c r="I861" s="26" t="s">
        <v>4222</v>
      </c>
      <c r="J861" s="11" t="str">
        <f>VLOOKUP(K861,'PN Dictionary'!A:B,2,FALSE)</f>
        <v>GB300 L10</v>
      </c>
      <c r="K861" s="26" t="s">
        <v>3612</v>
      </c>
      <c r="L861" s="50" t="s">
        <v>4223</v>
      </c>
      <c r="M861" s="51" t="s">
        <v>4224</v>
      </c>
      <c r="N861" s="26" t="s">
        <v>53</v>
      </c>
      <c r="O861" s="26" t="s">
        <v>728</v>
      </c>
      <c r="P861" s="26">
        <v>90185</v>
      </c>
      <c r="Q861" s="26" t="s">
        <v>55</v>
      </c>
    </row>
    <row r="862" spans="1:17" hidden="1" x14ac:dyDescent="0.3">
      <c r="A862" s="26" t="s">
        <v>4225</v>
      </c>
      <c r="B862" s="26" t="s">
        <v>4226</v>
      </c>
      <c r="C862" s="26" t="s">
        <v>3608</v>
      </c>
      <c r="D862" s="26" t="s">
        <v>4227</v>
      </c>
      <c r="E862" s="26" t="s">
        <v>270</v>
      </c>
      <c r="F862" s="26" t="s">
        <v>3952</v>
      </c>
      <c r="G862" s="26" t="s">
        <v>4228</v>
      </c>
      <c r="H862" s="26" t="s">
        <v>39</v>
      </c>
      <c r="I862" s="26" t="s">
        <v>4229</v>
      </c>
      <c r="J862" s="11" t="str">
        <f>VLOOKUP(K862,'PN Dictionary'!A:B,2,FALSE)</f>
        <v>Power Shelf Control Module</v>
      </c>
      <c r="K862" s="26" t="s">
        <v>11</v>
      </c>
      <c r="L862" s="50" t="s">
        <v>4230</v>
      </c>
      <c r="M862" s="51" t="s">
        <v>4231</v>
      </c>
      <c r="N862" s="26" t="s">
        <v>53</v>
      </c>
      <c r="O862" s="26" t="s">
        <v>728</v>
      </c>
      <c r="P862" s="26">
        <v>924</v>
      </c>
      <c r="Q862" s="26" t="s">
        <v>55</v>
      </c>
    </row>
    <row r="863" spans="1:17" hidden="1" x14ac:dyDescent="0.3">
      <c r="A863" s="26" t="s">
        <v>4232</v>
      </c>
      <c r="B863" s="26" t="s">
        <v>4236</v>
      </c>
      <c r="C863" s="26" t="s">
        <v>3608</v>
      </c>
      <c r="D863" s="26" t="s">
        <v>4233</v>
      </c>
      <c r="E863" s="26" t="s">
        <v>242</v>
      </c>
      <c r="F863" s="26" t="s">
        <v>604</v>
      </c>
      <c r="G863" s="26" t="s">
        <v>4228</v>
      </c>
      <c r="H863" s="26" t="s">
        <v>619</v>
      </c>
      <c r="I863" s="26" t="s">
        <v>4234</v>
      </c>
      <c r="J863" s="11" t="str">
        <f>VLOOKUP(K863,'PN Dictionary'!A:B,2,FALSE)</f>
        <v>Delta power shelf right input</v>
      </c>
      <c r="K863" s="11" t="s">
        <v>353</v>
      </c>
      <c r="L863" s="26" t="s">
        <v>4235</v>
      </c>
      <c r="M863" s="50"/>
      <c r="N863" s="51" t="s">
        <v>53</v>
      </c>
      <c r="O863" s="26" t="s">
        <v>728</v>
      </c>
      <c r="P863" s="26">
        <v>1519</v>
      </c>
      <c r="Q863" s="26" t="s">
        <v>55</v>
      </c>
    </row>
    <row r="864" spans="1:17" hidden="1" x14ac:dyDescent="0.3">
      <c r="A864" s="26" t="s">
        <v>4237</v>
      </c>
      <c r="B864" s="26" t="s">
        <v>4238</v>
      </c>
      <c r="C864" s="26" t="s">
        <v>3608</v>
      </c>
      <c r="D864" s="26" t="s">
        <v>4202</v>
      </c>
      <c r="E864" s="26" t="s">
        <v>3881</v>
      </c>
      <c r="F864" s="26" t="s">
        <v>3882</v>
      </c>
      <c r="G864" s="26" t="s">
        <v>4228</v>
      </c>
      <c r="H864" s="26" t="s">
        <v>39</v>
      </c>
      <c r="I864" s="26" t="s">
        <v>4239</v>
      </c>
      <c r="J864" s="11" t="str">
        <f>VLOOKUP(K864,'PN Dictionary'!A:B,2,FALSE)</f>
        <v>GB300 L10</v>
      </c>
      <c r="K864" s="26" t="s">
        <v>3612</v>
      </c>
      <c r="L864" s="26" t="s">
        <v>4240</v>
      </c>
      <c r="M864" s="50" t="s">
        <v>4241</v>
      </c>
      <c r="N864" s="51" t="s">
        <v>53</v>
      </c>
      <c r="O864" s="26" t="s">
        <v>728</v>
      </c>
      <c r="P864" s="26">
        <v>90131</v>
      </c>
      <c r="Q864" s="26" t="s">
        <v>55</v>
      </c>
    </row>
    <row r="865" spans="1:17" hidden="1" x14ac:dyDescent="0.3">
      <c r="A865" s="26" t="s">
        <v>4242</v>
      </c>
      <c r="B865" s="26" t="s">
        <v>4243</v>
      </c>
      <c r="C865" s="26" t="s">
        <v>3608</v>
      </c>
      <c r="D865" s="26" t="s">
        <v>4233</v>
      </c>
      <c r="E865" s="26" t="s">
        <v>761</v>
      </c>
      <c r="F865" s="26" t="s">
        <v>3688</v>
      </c>
      <c r="G865" s="26" t="s">
        <v>4228</v>
      </c>
      <c r="H865" s="26" t="s">
        <v>39</v>
      </c>
      <c r="I865" s="26" t="s">
        <v>3688</v>
      </c>
      <c r="J865" s="11" t="str">
        <f>VLOOKUP(K865,'PN Dictionary'!A:B,2,FALSE)</f>
        <v>GB300 L10</v>
      </c>
      <c r="K865" s="26" t="s">
        <v>3612</v>
      </c>
      <c r="L865" s="26" t="s">
        <v>4244</v>
      </c>
      <c r="M865" s="50" t="s">
        <v>4245</v>
      </c>
      <c r="N865" s="51" t="s">
        <v>53</v>
      </c>
      <c r="O865" s="26" t="s">
        <v>728</v>
      </c>
      <c r="P865" s="26">
        <v>90185</v>
      </c>
      <c r="Q865" s="26" t="s">
        <v>55</v>
      </c>
    </row>
    <row r="866" spans="1:17" hidden="1" x14ac:dyDescent="0.3">
      <c r="A866" s="26" t="s">
        <v>4246</v>
      </c>
      <c r="B866" s="26" t="s">
        <v>4247</v>
      </c>
      <c r="C866" s="26" t="s">
        <v>3608</v>
      </c>
      <c r="D866" s="26" t="s">
        <v>4248</v>
      </c>
      <c r="E866" s="26" t="s">
        <v>374</v>
      </c>
      <c r="F866" s="26" t="s">
        <v>3893</v>
      </c>
      <c r="G866" s="26" t="s">
        <v>4249</v>
      </c>
      <c r="H866" s="26" t="s">
        <v>39</v>
      </c>
      <c r="I866" s="26" t="s">
        <v>4250</v>
      </c>
      <c r="J866" s="11" t="str">
        <f>VLOOKUP(K866,'PN Dictionary'!A:B,2,FALSE)</f>
        <v>Cable Cartridge</v>
      </c>
      <c r="K866" s="26" t="s">
        <v>6</v>
      </c>
      <c r="L866" s="26">
        <v>2024925350657</v>
      </c>
      <c r="M866" s="50">
        <v>1824825354718</v>
      </c>
      <c r="N866" s="51" t="s">
        <v>53</v>
      </c>
      <c r="O866" s="26" t="s">
        <v>728</v>
      </c>
      <c r="P866" s="26">
        <v>1519</v>
      </c>
      <c r="Q866" s="26" t="s">
        <v>55</v>
      </c>
    </row>
    <row r="867" spans="1:17" hidden="1" x14ac:dyDescent="0.3">
      <c r="A867" s="26" t="s">
        <v>4251</v>
      </c>
      <c r="B867" s="26" t="s">
        <v>4247</v>
      </c>
      <c r="C867" s="26" t="s">
        <v>3608</v>
      </c>
      <c r="D867" s="26" t="s">
        <v>4248</v>
      </c>
      <c r="E867" s="26" t="s">
        <v>374</v>
      </c>
      <c r="F867" s="26" t="s">
        <v>3893</v>
      </c>
      <c r="G867" s="26" t="s">
        <v>4249</v>
      </c>
      <c r="H867" s="26" t="s">
        <v>39</v>
      </c>
      <c r="I867" s="26" t="s">
        <v>4252</v>
      </c>
      <c r="J867" s="11" t="str">
        <f>VLOOKUP(K867,'PN Dictionary'!A:B,2,FALSE)</f>
        <v>Cable Cartridge</v>
      </c>
      <c r="K867" s="26" t="s">
        <v>6</v>
      </c>
      <c r="L867" s="26">
        <v>2024425880133</v>
      </c>
      <c r="M867" s="50">
        <v>1824825354527</v>
      </c>
      <c r="N867" s="51" t="s">
        <v>53</v>
      </c>
      <c r="O867" s="26" t="s">
        <v>728</v>
      </c>
      <c r="P867" s="26">
        <v>1519</v>
      </c>
      <c r="Q867" s="26" t="s">
        <v>55</v>
      </c>
    </row>
    <row r="868" spans="1:17" hidden="1" x14ac:dyDescent="0.3">
      <c r="A868" s="26" t="s">
        <v>4253</v>
      </c>
      <c r="B868" s="26" t="s">
        <v>4254</v>
      </c>
      <c r="C868" s="26" t="s">
        <v>3608</v>
      </c>
      <c r="D868" s="26" t="s">
        <v>4255</v>
      </c>
      <c r="E868" s="26" t="s">
        <v>52</v>
      </c>
      <c r="F868" s="26" t="s">
        <v>79</v>
      </c>
      <c r="G868" s="26" t="s">
        <v>4249</v>
      </c>
      <c r="H868" s="26" t="s">
        <v>39</v>
      </c>
      <c r="I868" s="26" t="s">
        <v>4256</v>
      </c>
      <c r="J868" s="11" t="str">
        <f>VLOOKUP(K868,'PN Dictionary'!A:B,2,FALSE)</f>
        <v>GB300 L10</v>
      </c>
      <c r="K868" s="26" t="s">
        <v>3612</v>
      </c>
      <c r="L868" s="26" t="s">
        <v>4257</v>
      </c>
      <c r="M868" s="50" t="s">
        <v>4258</v>
      </c>
      <c r="N868" s="51" t="s">
        <v>53</v>
      </c>
      <c r="O868" s="26" t="s">
        <v>728</v>
      </c>
      <c r="P868" s="26">
        <v>1237</v>
      </c>
      <c r="Q868" s="26" t="s">
        <v>55</v>
      </c>
    </row>
    <row r="869" spans="1:17" hidden="1" x14ac:dyDescent="0.3">
      <c r="A869" s="26" t="s">
        <v>4259</v>
      </c>
      <c r="B869" s="26" t="s">
        <v>4261</v>
      </c>
      <c r="C869" s="26" t="s">
        <v>3608</v>
      </c>
      <c r="D869" s="26" t="s">
        <v>4260</v>
      </c>
      <c r="E869" s="26" t="s">
        <v>128</v>
      </c>
      <c r="F869" s="26" t="s">
        <v>205</v>
      </c>
      <c r="G869" s="26" t="s">
        <v>4249</v>
      </c>
      <c r="H869" s="26" t="s">
        <v>39</v>
      </c>
      <c r="I869" s="26" t="s">
        <v>4262</v>
      </c>
      <c r="J869" s="11" t="str">
        <f>VLOOKUP(K869,'PN Dictionary'!A:B,2,FALSE)</f>
        <v>Cable Cartridge</v>
      </c>
      <c r="K869" s="26" t="s">
        <v>6</v>
      </c>
      <c r="L869" s="26">
        <v>1824725354335</v>
      </c>
      <c r="M869" s="50">
        <v>1824825354346</v>
      </c>
      <c r="N869" s="51" t="s">
        <v>53</v>
      </c>
      <c r="O869" s="26" t="s">
        <v>728</v>
      </c>
      <c r="P869" s="26">
        <v>2984</v>
      </c>
      <c r="Q869" s="26" t="s">
        <v>55</v>
      </c>
    </row>
    <row r="870" spans="1:17" hidden="1" x14ac:dyDescent="0.3">
      <c r="A870" s="26" t="s">
        <v>4263</v>
      </c>
      <c r="B870" s="26" t="s">
        <v>4264</v>
      </c>
      <c r="C870" s="26" t="s">
        <v>3608</v>
      </c>
      <c r="D870" s="26" t="s">
        <v>4265</v>
      </c>
      <c r="E870" s="26" t="s">
        <v>411</v>
      </c>
      <c r="F870" s="26" t="s">
        <v>597</v>
      </c>
      <c r="G870" s="26" t="s">
        <v>4249</v>
      </c>
      <c r="H870" s="26" t="s">
        <v>39</v>
      </c>
      <c r="I870" s="26" t="s">
        <v>3793</v>
      </c>
      <c r="J870" s="11" t="str">
        <f>VLOOKUP(K870,'PN Dictionary'!A:B,2,FALSE)</f>
        <v>NVSwitch</v>
      </c>
      <c r="K870" s="26" t="s">
        <v>7</v>
      </c>
      <c r="L870" s="50" t="s">
        <v>4266</v>
      </c>
      <c r="M870" s="51" t="s">
        <v>4267</v>
      </c>
      <c r="N870" s="26" t="s">
        <v>53</v>
      </c>
      <c r="O870" s="26" t="s">
        <v>728</v>
      </c>
      <c r="P870" s="26">
        <v>90160</v>
      </c>
      <c r="Q870" s="26" t="s">
        <v>55</v>
      </c>
    </row>
    <row r="871" spans="1:17" hidden="1" x14ac:dyDescent="0.3">
      <c r="A871" s="26" t="s">
        <v>4268</v>
      </c>
      <c r="B871" s="26" t="s">
        <v>4269</v>
      </c>
      <c r="C871" s="26" t="s">
        <v>3608</v>
      </c>
      <c r="D871" s="26" t="s">
        <v>4270</v>
      </c>
      <c r="E871" s="26" t="s">
        <v>3881</v>
      </c>
      <c r="F871" s="26" t="s">
        <v>3882</v>
      </c>
      <c r="G871" s="26" t="s">
        <v>4249</v>
      </c>
      <c r="H871" s="26" t="s">
        <v>39</v>
      </c>
      <c r="I871" s="26" t="s">
        <v>1225</v>
      </c>
      <c r="J871" s="11" t="str">
        <f>VLOOKUP(K871,'PN Dictionary'!A:B,2,FALSE)</f>
        <v>GB300 L10</v>
      </c>
      <c r="K871" s="26" t="s">
        <v>3612</v>
      </c>
      <c r="L871" s="50" t="s">
        <v>4271</v>
      </c>
      <c r="M871" s="51" t="s">
        <v>4272</v>
      </c>
      <c r="N871" s="26" t="s">
        <v>53</v>
      </c>
      <c r="O871" s="26" t="s">
        <v>728</v>
      </c>
      <c r="P871" s="26">
        <v>90184</v>
      </c>
      <c r="Q871" s="26" t="s">
        <v>55</v>
      </c>
    </row>
    <row r="872" spans="1:17" hidden="1" x14ac:dyDescent="0.3">
      <c r="A872" s="26" t="s">
        <v>4273</v>
      </c>
      <c r="B872" s="26" t="s">
        <v>4274</v>
      </c>
      <c r="C872" s="26" t="s">
        <v>3608</v>
      </c>
      <c r="D872" s="26" t="s">
        <v>4270</v>
      </c>
      <c r="E872" s="26" t="s">
        <v>761</v>
      </c>
      <c r="F872" s="26" t="s">
        <v>3688</v>
      </c>
      <c r="G872" s="26" t="s">
        <v>4249</v>
      </c>
      <c r="H872" s="26" t="s">
        <v>39</v>
      </c>
      <c r="I872" s="26" t="s">
        <v>1190</v>
      </c>
      <c r="J872" s="11" t="str">
        <f>VLOOKUP(K872,'PN Dictionary'!A:B,2,FALSE)</f>
        <v>GB300 L10</v>
      </c>
      <c r="K872" s="26" t="s">
        <v>3612</v>
      </c>
      <c r="L872" s="50" t="s">
        <v>4271</v>
      </c>
      <c r="M872" s="51" t="s">
        <v>4272</v>
      </c>
      <c r="N872" s="26" t="s">
        <v>53</v>
      </c>
      <c r="O872" s="26" t="s">
        <v>728</v>
      </c>
      <c r="P872" s="26">
        <v>90160</v>
      </c>
      <c r="Q872" s="26" t="s">
        <v>55</v>
      </c>
    </row>
    <row r="873" spans="1:17" hidden="1" x14ac:dyDescent="0.3">
      <c r="A873" s="26" t="s">
        <v>4275</v>
      </c>
      <c r="B873" s="26" t="s">
        <v>4276</v>
      </c>
      <c r="C873" s="26" t="s">
        <v>3608</v>
      </c>
      <c r="D873" s="26" t="s">
        <v>4277</v>
      </c>
      <c r="E873" s="26" t="s">
        <v>128</v>
      </c>
      <c r="F873" s="26" t="s">
        <v>205</v>
      </c>
      <c r="G873" s="26" t="s">
        <v>4278</v>
      </c>
      <c r="H873" s="26" t="s">
        <v>39</v>
      </c>
      <c r="I873" s="26" t="s">
        <v>4279</v>
      </c>
      <c r="J873" s="11" t="str">
        <f>VLOOKUP(K873,'PN Dictionary'!A:B,2,FALSE)</f>
        <v>Cable Cartridge</v>
      </c>
      <c r="K873" s="26" t="s">
        <v>6</v>
      </c>
      <c r="L873" s="50">
        <v>1824825354425</v>
      </c>
      <c r="M873" s="51">
        <v>1824825354322</v>
      </c>
      <c r="N873" s="26" t="s">
        <v>53</v>
      </c>
      <c r="O873" s="26" t="s">
        <v>728</v>
      </c>
      <c r="P873" s="26">
        <v>90185</v>
      </c>
      <c r="Q873" s="26" t="s">
        <v>55</v>
      </c>
    </row>
    <row r="874" spans="1:17" hidden="1" x14ac:dyDescent="0.3">
      <c r="A874" s="26" t="s">
        <v>4280</v>
      </c>
      <c r="B874" s="26" t="s">
        <v>4281</v>
      </c>
      <c r="C874" s="26" t="s">
        <v>3608</v>
      </c>
      <c r="D874" s="26" t="s">
        <v>4202</v>
      </c>
      <c r="E874" s="26" t="s">
        <v>3881</v>
      </c>
      <c r="F874" s="26" t="s">
        <v>3882</v>
      </c>
      <c r="G874" s="26" t="s">
        <v>4278</v>
      </c>
      <c r="H874" s="26" t="s">
        <v>39</v>
      </c>
      <c r="I874" s="26" t="s">
        <v>2353</v>
      </c>
      <c r="J874" s="11" t="str">
        <f>VLOOKUP(K874,'PN Dictionary'!A:B,2,FALSE)</f>
        <v>GB300 L10</v>
      </c>
      <c r="K874" s="26" t="s">
        <v>3612</v>
      </c>
      <c r="L874" s="50" t="s">
        <v>4282</v>
      </c>
      <c r="M874" s="51" t="s">
        <v>4283</v>
      </c>
      <c r="N874" s="26" t="s">
        <v>53</v>
      </c>
      <c r="O874" s="26" t="s">
        <v>728</v>
      </c>
      <c r="P874" s="26">
        <v>90131</v>
      </c>
      <c r="Q874" s="26" t="s">
        <v>55</v>
      </c>
    </row>
    <row r="875" spans="1:17" hidden="1" x14ac:dyDescent="0.3">
      <c r="A875" s="26" t="s">
        <v>4284</v>
      </c>
      <c r="B875" s="26" t="s">
        <v>4285</v>
      </c>
      <c r="C875" s="26" t="s">
        <v>3608</v>
      </c>
      <c r="D875" s="26" t="s">
        <v>4286</v>
      </c>
      <c r="E875" s="26" t="s">
        <v>128</v>
      </c>
      <c r="F875" s="26" t="s">
        <v>205</v>
      </c>
      <c r="G875" s="26" t="s">
        <v>4278</v>
      </c>
      <c r="H875" s="26" t="s">
        <v>39</v>
      </c>
      <c r="I875" s="26" t="s">
        <v>4287</v>
      </c>
      <c r="J875" s="11" t="str">
        <f>VLOOKUP(K875,'PN Dictionary'!A:B,2,FALSE)</f>
        <v>Cable Cartridge</v>
      </c>
      <c r="K875" s="26" t="s">
        <v>6</v>
      </c>
      <c r="L875" s="50">
        <v>2024925350395</v>
      </c>
      <c r="M875" s="51">
        <v>1824825354199</v>
      </c>
      <c r="N875" s="26" t="s">
        <v>53</v>
      </c>
      <c r="O875" s="26" t="s">
        <v>728</v>
      </c>
      <c r="P875" s="26">
        <v>90160</v>
      </c>
      <c r="Q875" s="26" t="s">
        <v>55</v>
      </c>
    </row>
    <row r="876" spans="1:17" hidden="1" x14ac:dyDescent="0.3">
      <c r="A876" s="26" t="s">
        <v>4288</v>
      </c>
      <c r="B876" s="26" t="s">
        <v>4289</v>
      </c>
      <c r="C876" s="26" t="s">
        <v>3608</v>
      </c>
      <c r="D876" s="26" t="s">
        <v>4265</v>
      </c>
      <c r="E876" s="26" t="s">
        <v>128</v>
      </c>
      <c r="F876" s="26" t="s">
        <v>205</v>
      </c>
      <c r="G876" s="26" t="s">
        <v>4290</v>
      </c>
      <c r="H876" s="26" t="s">
        <v>39</v>
      </c>
      <c r="I876" s="26" t="s">
        <v>4291</v>
      </c>
      <c r="J876" s="11" t="str">
        <f>VLOOKUP(K876,'PN Dictionary'!A:B,2,FALSE)</f>
        <v>Cable Cartridge</v>
      </c>
      <c r="K876" s="26" t="s">
        <v>6</v>
      </c>
      <c r="L876" s="50">
        <v>2024925351115</v>
      </c>
      <c r="M876" s="51">
        <v>1824725355234</v>
      </c>
      <c r="N876" s="26" t="s">
        <v>53</v>
      </c>
      <c r="O876" s="26" t="s">
        <v>728</v>
      </c>
      <c r="P876" s="26">
        <v>90185</v>
      </c>
      <c r="Q876" s="26" t="s">
        <v>55</v>
      </c>
    </row>
    <row r="877" spans="1:17" hidden="1" x14ac:dyDescent="0.3">
      <c r="A877" s="26" t="s">
        <v>4292</v>
      </c>
      <c r="B877" s="26" t="s">
        <v>4293</v>
      </c>
      <c r="C877" s="26" t="s">
        <v>3608</v>
      </c>
      <c r="D877" s="26" t="s">
        <v>4294</v>
      </c>
      <c r="E877" s="26" t="s">
        <v>128</v>
      </c>
      <c r="F877" s="26" t="s">
        <v>205</v>
      </c>
      <c r="G877" s="26" t="s">
        <v>4290</v>
      </c>
      <c r="H877" s="26" t="s">
        <v>39</v>
      </c>
      <c r="I877" s="26" t="s">
        <v>4295</v>
      </c>
      <c r="J877" s="11" t="str">
        <f>VLOOKUP(K877,'PN Dictionary'!A:B,2,FALSE)</f>
        <v>Cable Cartridge</v>
      </c>
      <c r="K877" s="26" t="s">
        <v>6</v>
      </c>
      <c r="L877" s="50">
        <v>1824825356517</v>
      </c>
      <c r="M877" s="51">
        <v>1824825354344</v>
      </c>
      <c r="N877" s="26" t="s">
        <v>53</v>
      </c>
      <c r="O877" s="26" t="s">
        <v>728</v>
      </c>
      <c r="P877" s="26">
        <v>90185</v>
      </c>
      <c r="Q877" s="26" t="s">
        <v>55</v>
      </c>
    </row>
    <row r="878" spans="1:17" hidden="1" x14ac:dyDescent="0.3">
      <c r="A878" s="26" t="s">
        <v>4296</v>
      </c>
      <c r="B878" s="26" t="s">
        <v>4297</v>
      </c>
      <c r="C878" s="26" t="s">
        <v>3608</v>
      </c>
      <c r="D878" s="26" t="s">
        <v>4298</v>
      </c>
      <c r="E878" s="26" t="s">
        <v>761</v>
      </c>
      <c r="F878" s="26" t="s">
        <v>3688</v>
      </c>
      <c r="G878" s="26" t="s">
        <v>4290</v>
      </c>
      <c r="H878" s="26" t="s">
        <v>39</v>
      </c>
      <c r="I878" s="26" t="s">
        <v>1190</v>
      </c>
      <c r="J878" s="11" t="str">
        <f>VLOOKUP(K878,'PN Dictionary'!A:B,2,FALSE)</f>
        <v>GB300 L10</v>
      </c>
      <c r="K878" s="26" t="s">
        <v>3612</v>
      </c>
      <c r="L878" s="50" t="s">
        <v>3653</v>
      </c>
      <c r="M878" s="51" t="s">
        <v>4299</v>
      </c>
      <c r="N878" s="26" t="s">
        <v>53</v>
      </c>
      <c r="O878" s="26" t="s">
        <v>728</v>
      </c>
      <c r="P878" s="26">
        <v>90160</v>
      </c>
      <c r="Q878" s="26" t="s">
        <v>55</v>
      </c>
    </row>
    <row r="879" spans="1:17" hidden="1" x14ac:dyDescent="0.3">
      <c r="A879" s="26" t="s">
        <v>4300</v>
      </c>
      <c r="B879" s="26" t="s">
        <v>4301</v>
      </c>
      <c r="C879" s="26" t="s">
        <v>3608</v>
      </c>
      <c r="D879" s="26" t="s">
        <v>4277</v>
      </c>
      <c r="E879" s="26" t="s">
        <v>761</v>
      </c>
      <c r="F879" s="26" t="s">
        <v>3688</v>
      </c>
      <c r="G879" s="26" t="s">
        <v>4290</v>
      </c>
      <c r="H879" s="26" t="s">
        <v>39</v>
      </c>
      <c r="I879" s="26" t="s">
        <v>1190</v>
      </c>
      <c r="J879" s="11" t="str">
        <f>VLOOKUP(K879,'PN Dictionary'!A:B,2,FALSE)</f>
        <v>GB300 L10</v>
      </c>
      <c r="K879" s="26" t="s">
        <v>3612</v>
      </c>
      <c r="L879" s="50" t="s">
        <v>4302</v>
      </c>
      <c r="M879" s="51" t="s">
        <v>4303</v>
      </c>
      <c r="N879" s="26" t="s">
        <v>53</v>
      </c>
      <c r="O879" s="26" t="s">
        <v>728</v>
      </c>
      <c r="P879" s="26">
        <v>90160</v>
      </c>
      <c r="Q879" s="26" t="s">
        <v>55</v>
      </c>
    </row>
    <row r="880" spans="1:17" hidden="1" x14ac:dyDescent="0.3">
      <c r="A880" s="26" t="s">
        <v>4304</v>
      </c>
      <c r="B880" s="26" t="s">
        <v>4305</v>
      </c>
      <c r="C880" s="26" t="s">
        <v>3608</v>
      </c>
      <c r="D880" s="26" t="s">
        <v>4277</v>
      </c>
      <c r="E880" s="26" t="s">
        <v>761</v>
      </c>
      <c r="F880" s="26" t="s">
        <v>3688</v>
      </c>
      <c r="G880" s="26" t="s">
        <v>4290</v>
      </c>
      <c r="H880" s="26" t="s">
        <v>39</v>
      </c>
      <c r="I880" s="26" t="s">
        <v>1190</v>
      </c>
      <c r="J880" s="11" t="str">
        <f>VLOOKUP(K880,'PN Dictionary'!A:B,2,FALSE)</f>
        <v>GB300 L10</v>
      </c>
      <c r="K880" s="26" t="s">
        <v>3612</v>
      </c>
      <c r="L880" s="50" t="s">
        <v>3828</v>
      </c>
      <c r="M880" s="51" t="s">
        <v>4306</v>
      </c>
      <c r="N880" s="26" t="s">
        <v>53</v>
      </c>
      <c r="O880" s="26" t="s">
        <v>728</v>
      </c>
      <c r="P880" s="26">
        <v>90160</v>
      </c>
      <c r="Q880" s="26" t="s">
        <v>55</v>
      </c>
    </row>
    <row r="881" spans="1:17" x14ac:dyDescent="0.3">
      <c r="A881" s="26" t="s">
        <v>4307</v>
      </c>
      <c r="B881" s="26" t="s">
        <v>4308</v>
      </c>
      <c r="C881" s="26" t="s">
        <v>4309</v>
      </c>
      <c r="D881" s="26" t="s">
        <v>4310</v>
      </c>
      <c r="E881" s="26" t="s">
        <v>128</v>
      </c>
      <c r="F881" s="26" t="s">
        <v>205</v>
      </c>
      <c r="G881" s="26" t="s">
        <v>4290</v>
      </c>
      <c r="H881" s="26" t="s">
        <v>39</v>
      </c>
      <c r="I881" s="26" t="s">
        <v>4311</v>
      </c>
      <c r="J881" s="11" t="str">
        <f>VLOOKUP(K881,'PN Dictionary'!A:B,2,FALSE)</f>
        <v>Cable Cartridge</v>
      </c>
      <c r="K881" s="26" t="s">
        <v>6</v>
      </c>
      <c r="L881" s="50">
        <v>2024925350749</v>
      </c>
      <c r="M881" s="51">
        <v>1824825354575</v>
      </c>
      <c r="N881" s="26" t="s">
        <v>53</v>
      </c>
      <c r="O881" s="26" t="s">
        <v>728</v>
      </c>
      <c r="P881" s="26">
        <v>90185</v>
      </c>
      <c r="Q881" s="26" t="s">
        <v>55</v>
      </c>
    </row>
    <row r="882" spans="1:17" hidden="1" x14ac:dyDescent="0.3">
      <c r="A882" s="26" t="s">
        <v>4312</v>
      </c>
      <c r="B882" s="26" t="s">
        <v>4313</v>
      </c>
      <c r="C882" s="26" t="s">
        <v>3608</v>
      </c>
      <c r="D882" s="26" t="s">
        <v>4248</v>
      </c>
      <c r="E882" s="26" t="s">
        <v>761</v>
      </c>
      <c r="F882" s="26" t="s">
        <v>3688</v>
      </c>
      <c r="G882" s="26" t="s">
        <v>4290</v>
      </c>
      <c r="H882" s="26" t="s">
        <v>39</v>
      </c>
      <c r="I882" s="26" t="s">
        <v>3688</v>
      </c>
      <c r="J882" s="11" t="str">
        <f>VLOOKUP(K882,'PN Dictionary'!A:B,2,FALSE)</f>
        <v>GB300 L10</v>
      </c>
      <c r="K882" s="26" t="s">
        <v>3612</v>
      </c>
      <c r="L882" s="50" t="s">
        <v>4314</v>
      </c>
      <c r="M882" s="51" t="s">
        <v>4315</v>
      </c>
      <c r="N882" s="26" t="s">
        <v>53</v>
      </c>
      <c r="O882" s="26" t="s">
        <v>728</v>
      </c>
      <c r="P882" s="26">
        <v>90185</v>
      </c>
      <c r="Q882" s="26" t="s">
        <v>55</v>
      </c>
    </row>
    <row r="883" spans="1:17" x14ac:dyDescent="0.3">
      <c r="A883" s="26" t="s">
        <v>4316</v>
      </c>
      <c r="B883" s="26" t="s">
        <v>4317</v>
      </c>
      <c r="C883" s="26" t="s">
        <v>4309</v>
      </c>
      <c r="D883" s="26" t="s">
        <v>4310</v>
      </c>
      <c r="E883" s="26" t="s">
        <v>761</v>
      </c>
      <c r="F883" s="26" t="s">
        <v>3688</v>
      </c>
      <c r="G883" s="26" t="s">
        <v>4290</v>
      </c>
      <c r="H883" s="26" t="s">
        <v>39</v>
      </c>
      <c r="I883" s="26" t="s">
        <v>1190</v>
      </c>
      <c r="J883" s="11" t="str">
        <f>VLOOKUP(K883,'PN Dictionary'!A:B,2,FALSE)</f>
        <v>GB300 L10</v>
      </c>
      <c r="K883" s="26" t="s">
        <v>4318</v>
      </c>
      <c r="L883" s="50" t="s">
        <v>4319</v>
      </c>
      <c r="M883" s="51" t="s">
        <v>4320</v>
      </c>
      <c r="N883" s="26" t="s">
        <v>53</v>
      </c>
      <c r="O883" s="26" t="s">
        <v>728</v>
      </c>
      <c r="P883" s="26">
        <v>90160</v>
      </c>
      <c r="Q883" s="26" t="s">
        <v>55</v>
      </c>
    </row>
    <row r="884" spans="1:17" hidden="1" x14ac:dyDescent="0.3">
      <c r="A884" s="53" t="s">
        <v>4321</v>
      </c>
      <c r="B884" s="26" t="s">
        <v>4322</v>
      </c>
      <c r="C884" s="26" t="s">
        <v>3608</v>
      </c>
      <c r="D884" s="26" t="s">
        <v>4323</v>
      </c>
      <c r="E884" s="26" t="s">
        <v>761</v>
      </c>
      <c r="F884" s="26" t="s">
        <v>3688</v>
      </c>
      <c r="G884" s="26" t="s">
        <v>4290</v>
      </c>
      <c r="H884" s="26" t="s">
        <v>39</v>
      </c>
      <c r="I884" s="26" t="s">
        <v>1190</v>
      </c>
      <c r="J884" s="11" t="str">
        <f>VLOOKUP(K884,'PN Dictionary'!A:B,2,FALSE)</f>
        <v>GB300 L10</v>
      </c>
      <c r="K884" s="26" t="s">
        <v>3612</v>
      </c>
      <c r="L884" s="50" t="s">
        <v>3634</v>
      </c>
      <c r="M884" s="51" t="s">
        <v>4324</v>
      </c>
      <c r="N884" s="26" t="s">
        <v>53</v>
      </c>
      <c r="O884" s="26" t="s">
        <v>728</v>
      </c>
      <c r="P884" s="26">
        <v>90160</v>
      </c>
      <c r="Q884" s="26" t="s">
        <v>55</v>
      </c>
    </row>
    <row r="885" spans="1:17" hidden="1" x14ac:dyDescent="0.3">
      <c r="A885" s="26" t="s">
        <v>4325</v>
      </c>
      <c r="B885" s="26" t="s">
        <v>4326</v>
      </c>
      <c r="C885" s="26" t="s">
        <v>3608</v>
      </c>
      <c r="D885" s="26" t="s">
        <v>4265</v>
      </c>
      <c r="E885" s="26" t="s">
        <v>128</v>
      </c>
      <c r="F885" s="26" t="s">
        <v>205</v>
      </c>
      <c r="G885" s="26" t="s">
        <v>4327</v>
      </c>
      <c r="H885" s="26" t="s">
        <v>39</v>
      </c>
      <c r="I885" s="26" t="s">
        <v>3123</v>
      </c>
      <c r="J885" s="11" t="str">
        <f>VLOOKUP(K885,'PN Dictionary'!A:B,2,FALSE)</f>
        <v>Cable Cartridge</v>
      </c>
      <c r="K885" s="26" t="s">
        <v>6</v>
      </c>
      <c r="L885" s="26">
        <v>2024425880215</v>
      </c>
      <c r="M885" s="50">
        <v>1824825356517</v>
      </c>
      <c r="N885" s="51" t="s">
        <v>53</v>
      </c>
      <c r="O885" s="26" t="s">
        <v>728</v>
      </c>
      <c r="P885" s="26">
        <v>90160</v>
      </c>
      <c r="Q885" s="26" t="s">
        <v>55</v>
      </c>
    </row>
    <row r="886" spans="1:17" hidden="1" x14ac:dyDescent="0.3">
      <c r="A886" s="26" t="s">
        <v>4328</v>
      </c>
      <c r="B886" s="26" t="s">
        <v>4335</v>
      </c>
      <c r="C886" s="26" t="s">
        <v>3608</v>
      </c>
      <c r="D886" s="26" t="s">
        <v>4329</v>
      </c>
      <c r="E886" s="26" t="s">
        <v>4330</v>
      </c>
      <c r="F886" s="26" t="s">
        <v>4331</v>
      </c>
      <c r="G886" s="26" t="s">
        <v>4332</v>
      </c>
      <c r="H886" s="26" t="s">
        <v>619</v>
      </c>
      <c r="I886" s="26" t="s">
        <v>4333</v>
      </c>
      <c r="J886" s="11" t="str">
        <f>VLOOKUP(K886,'PN Dictionary'!A:B,2,FALSE)</f>
        <v>Delta power shelf right input</v>
      </c>
      <c r="K886" s="26" t="s">
        <v>353</v>
      </c>
      <c r="L886" s="26" t="s">
        <v>4334</v>
      </c>
      <c r="M886" s="50"/>
      <c r="N886" s="51" t="s">
        <v>53</v>
      </c>
      <c r="O886" s="26" t="s">
        <v>728</v>
      </c>
      <c r="P886" s="26">
        <v>924</v>
      </c>
      <c r="Q886" s="26" t="s">
        <v>55</v>
      </c>
    </row>
    <row r="887" spans="1:17" hidden="1" x14ac:dyDescent="0.3">
      <c r="A887" s="26" t="s">
        <v>4336</v>
      </c>
      <c r="B887" s="26" t="s">
        <v>4337</v>
      </c>
      <c r="C887" s="26" t="s">
        <v>3608</v>
      </c>
      <c r="D887" s="26" t="s">
        <v>4265</v>
      </c>
      <c r="E887" s="26" t="s">
        <v>128</v>
      </c>
      <c r="F887" s="26" t="s">
        <v>205</v>
      </c>
      <c r="G887" s="26" t="s">
        <v>4332</v>
      </c>
      <c r="H887" s="26" t="s">
        <v>39</v>
      </c>
      <c r="I887" s="26" t="s">
        <v>4338</v>
      </c>
      <c r="J887" s="11" t="str">
        <f>VLOOKUP(K887,'PN Dictionary'!A:B,2,FALSE)</f>
        <v>Cable Cartridge</v>
      </c>
      <c r="K887" s="26" t="s">
        <v>6</v>
      </c>
      <c r="L887" s="50">
        <v>2024425880215</v>
      </c>
      <c r="M887" s="51">
        <v>1824825356517</v>
      </c>
      <c r="N887" s="26" t="s">
        <v>53</v>
      </c>
      <c r="O887" s="26" t="s">
        <v>728</v>
      </c>
      <c r="P887" s="26">
        <v>90160</v>
      </c>
      <c r="Q887" s="26" t="s">
        <v>55</v>
      </c>
    </row>
    <row r="888" spans="1:17" hidden="1" x14ac:dyDescent="0.3">
      <c r="A888" s="26" t="s">
        <v>4339</v>
      </c>
      <c r="B888" s="26" t="s">
        <v>4340</v>
      </c>
      <c r="C888" s="26" t="s">
        <v>3608</v>
      </c>
      <c r="D888" s="26" t="s">
        <v>4298</v>
      </c>
      <c r="E888" s="26" t="s">
        <v>761</v>
      </c>
      <c r="F888" s="26" t="s">
        <v>3688</v>
      </c>
      <c r="G888" s="26" t="s">
        <v>4332</v>
      </c>
      <c r="H888" s="26" t="s">
        <v>39</v>
      </c>
      <c r="I888" s="26" t="s">
        <v>1190</v>
      </c>
      <c r="J888" s="11" t="str">
        <f>VLOOKUP(K888,'PN Dictionary'!A:B,2,FALSE)</f>
        <v>GB300 L10</v>
      </c>
      <c r="K888" s="26" t="s">
        <v>3612</v>
      </c>
      <c r="L888" s="50" t="s">
        <v>3629</v>
      </c>
      <c r="M888" s="51" t="s">
        <v>3653</v>
      </c>
      <c r="N888" s="26" t="s">
        <v>53</v>
      </c>
      <c r="O888" s="26" t="s">
        <v>728</v>
      </c>
      <c r="P888" s="26">
        <v>90160</v>
      </c>
      <c r="Q888" s="26" t="s">
        <v>55</v>
      </c>
    </row>
    <row r="889" spans="1:17" hidden="1" x14ac:dyDescent="0.3">
      <c r="A889" s="26" t="s">
        <v>4341</v>
      </c>
      <c r="B889" s="26" t="s">
        <v>4342</v>
      </c>
      <c r="C889" s="26" t="s">
        <v>3608</v>
      </c>
      <c r="D889" s="26" t="s">
        <v>4298</v>
      </c>
      <c r="E889" s="26" t="s">
        <v>761</v>
      </c>
      <c r="F889" s="26" t="s">
        <v>3688</v>
      </c>
      <c r="G889" s="26" t="s">
        <v>4332</v>
      </c>
      <c r="H889" s="26" t="s">
        <v>39</v>
      </c>
      <c r="I889" s="26" t="s">
        <v>1190</v>
      </c>
      <c r="J889" s="11" t="str">
        <f>VLOOKUP(K889,'PN Dictionary'!A:B,2,FALSE)</f>
        <v>GB300 L10</v>
      </c>
      <c r="K889" s="26" t="s">
        <v>3612</v>
      </c>
      <c r="L889" s="50" t="s">
        <v>3653</v>
      </c>
      <c r="M889" s="51" t="s">
        <v>4343</v>
      </c>
      <c r="N889" s="26" t="s">
        <v>53</v>
      </c>
      <c r="O889" s="26" t="s">
        <v>728</v>
      </c>
      <c r="P889" s="26">
        <v>90160</v>
      </c>
      <c r="Q889" s="26" t="s">
        <v>55</v>
      </c>
    </row>
    <row r="890" spans="1:17" hidden="1" x14ac:dyDescent="0.3">
      <c r="A890" s="26" t="s">
        <v>4344</v>
      </c>
      <c r="B890" s="26" t="s">
        <v>4345</v>
      </c>
      <c r="C890" s="26" t="s">
        <v>3608</v>
      </c>
      <c r="D890" s="26" t="s">
        <v>4329</v>
      </c>
      <c r="E890" s="26" t="s">
        <v>761</v>
      </c>
      <c r="F890" s="26" t="s">
        <v>3688</v>
      </c>
      <c r="G890" s="26" t="s">
        <v>4332</v>
      </c>
      <c r="H890" s="26" t="s">
        <v>39</v>
      </c>
      <c r="I890" s="26" t="s">
        <v>1190</v>
      </c>
      <c r="J890" s="11" t="str">
        <f>VLOOKUP(K890,'PN Dictionary'!A:B,2,FALSE)</f>
        <v>GB300 L10</v>
      </c>
      <c r="K890" s="26" t="s">
        <v>3612</v>
      </c>
      <c r="L890" s="50" t="s">
        <v>4346</v>
      </c>
      <c r="M890" s="51" t="s">
        <v>4347</v>
      </c>
      <c r="N890" s="26" t="s">
        <v>53</v>
      </c>
      <c r="O890" s="26" t="s">
        <v>728</v>
      </c>
      <c r="P890" s="26">
        <v>90160</v>
      </c>
      <c r="Q890" s="26" t="s">
        <v>55</v>
      </c>
    </row>
    <row r="891" spans="1:17" hidden="1" x14ac:dyDescent="0.3">
      <c r="A891" s="26" t="s">
        <v>4348</v>
      </c>
      <c r="B891" s="26" t="s">
        <v>4349</v>
      </c>
      <c r="C891" s="26" t="s">
        <v>3608</v>
      </c>
      <c r="D891" s="26" t="s">
        <v>4329</v>
      </c>
      <c r="E891" s="26" t="s">
        <v>761</v>
      </c>
      <c r="F891" s="26" t="s">
        <v>3688</v>
      </c>
      <c r="G891" s="26" t="s">
        <v>4332</v>
      </c>
      <c r="H891" s="26" t="s">
        <v>39</v>
      </c>
      <c r="I891" s="26" t="s">
        <v>1190</v>
      </c>
      <c r="J891" s="11" t="str">
        <f>VLOOKUP(K891,'PN Dictionary'!A:B,2,FALSE)</f>
        <v>GB300 L10</v>
      </c>
      <c r="K891" s="26" t="s">
        <v>3612</v>
      </c>
      <c r="L891" s="50" t="s">
        <v>4350</v>
      </c>
      <c r="M891" s="51" t="s">
        <v>4351</v>
      </c>
      <c r="N891" s="26" t="s">
        <v>53</v>
      </c>
      <c r="O891" s="26" t="s">
        <v>728</v>
      </c>
      <c r="P891" s="26">
        <v>90160</v>
      </c>
      <c r="Q891" s="26" t="s">
        <v>55</v>
      </c>
    </row>
    <row r="892" spans="1:17" hidden="1" x14ac:dyDescent="0.3">
      <c r="A892" s="26" t="s">
        <v>4352</v>
      </c>
      <c r="B892" s="26" t="s">
        <v>4353</v>
      </c>
      <c r="C892" s="26" t="s">
        <v>3608</v>
      </c>
      <c r="D892" s="26" t="s">
        <v>4329</v>
      </c>
      <c r="E892" s="26" t="s">
        <v>761</v>
      </c>
      <c r="F892" s="26" t="s">
        <v>3688</v>
      </c>
      <c r="G892" s="26" t="s">
        <v>4332</v>
      </c>
      <c r="H892" s="26" t="s">
        <v>39</v>
      </c>
      <c r="I892" s="26" t="s">
        <v>1190</v>
      </c>
      <c r="J892" s="11" t="str">
        <f>VLOOKUP(K892,'PN Dictionary'!A:B,2,FALSE)</f>
        <v>GB300 L10</v>
      </c>
      <c r="K892" s="26" t="s">
        <v>3612</v>
      </c>
      <c r="L892" s="50" t="s">
        <v>4354</v>
      </c>
      <c r="M892" s="51" t="s">
        <v>4240</v>
      </c>
      <c r="N892" s="26" t="s">
        <v>53</v>
      </c>
      <c r="O892" s="26" t="s">
        <v>728</v>
      </c>
      <c r="P892" s="26">
        <v>90160</v>
      </c>
      <c r="Q892" s="26" t="s">
        <v>55</v>
      </c>
    </row>
    <row r="893" spans="1:17" hidden="1" x14ac:dyDescent="0.3">
      <c r="A893" s="26" t="s">
        <v>4355</v>
      </c>
      <c r="B893" s="26" t="s">
        <v>4356</v>
      </c>
      <c r="C893" s="26" t="s">
        <v>3608</v>
      </c>
      <c r="D893" s="26" t="s">
        <v>4357</v>
      </c>
      <c r="E893" s="26" t="s">
        <v>761</v>
      </c>
      <c r="F893" s="26" t="s">
        <v>3688</v>
      </c>
      <c r="G893" s="26" t="s">
        <v>4332</v>
      </c>
      <c r="H893" s="26" t="s">
        <v>39</v>
      </c>
      <c r="I893" s="26" t="s">
        <v>1190</v>
      </c>
      <c r="J893" s="11" t="str">
        <f>VLOOKUP(K893,'PN Dictionary'!A:B,2,FALSE)</f>
        <v>GB300 L10</v>
      </c>
      <c r="K893" s="26" t="s">
        <v>3612</v>
      </c>
      <c r="L893" s="50" t="s">
        <v>4021</v>
      </c>
      <c r="M893" s="51" t="s">
        <v>4358</v>
      </c>
      <c r="N893" s="26" t="s">
        <v>53</v>
      </c>
      <c r="O893" s="26" t="s">
        <v>728</v>
      </c>
      <c r="P893" s="26">
        <v>90160</v>
      </c>
      <c r="Q893" s="26" t="s">
        <v>55</v>
      </c>
    </row>
    <row r="894" spans="1:17" hidden="1" x14ac:dyDescent="0.3">
      <c r="A894" s="26" t="s">
        <v>4359</v>
      </c>
      <c r="B894" s="26" t="s">
        <v>4360</v>
      </c>
      <c r="C894" s="26" t="s">
        <v>3608</v>
      </c>
      <c r="D894" s="26" t="s">
        <v>4361</v>
      </c>
      <c r="E894" s="26" t="s">
        <v>230</v>
      </c>
      <c r="F894" s="26" t="s">
        <v>238</v>
      </c>
      <c r="G894" s="26" t="s">
        <v>4362</v>
      </c>
      <c r="H894" s="26" t="s">
        <v>39</v>
      </c>
      <c r="I894" s="26" t="s">
        <v>4363</v>
      </c>
      <c r="J894" s="11" t="str">
        <f>VLOOKUP(K894,'PN Dictionary'!A:B,2,FALSE)</f>
        <v>NVSwitch</v>
      </c>
      <c r="K894" s="26" t="s">
        <v>7</v>
      </c>
      <c r="L894" s="50" t="s">
        <v>4364</v>
      </c>
      <c r="M894" s="51" t="s">
        <v>4365</v>
      </c>
      <c r="N894" s="26" t="s">
        <v>53</v>
      </c>
      <c r="O894" s="26" t="s">
        <v>728</v>
      </c>
      <c r="P894" s="26">
        <v>1519</v>
      </c>
      <c r="Q894" s="26" t="s">
        <v>55</v>
      </c>
    </row>
    <row r="895" spans="1:17" hidden="1" x14ac:dyDescent="0.3">
      <c r="A895" s="26" t="s">
        <v>4366</v>
      </c>
      <c r="B895" s="26" t="s">
        <v>4367</v>
      </c>
      <c r="C895" s="26" t="s">
        <v>3608</v>
      </c>
      <c r="D895" s="26" t="s">
        <v>4368</v>
      </c>
      <c r="E895" s="26" t="s">
        <v>128</v>
      </c>
      <c r="F895" s="26" t="s">
        <v>205</v>
      </c>
      <c r="G895" s="26" t="s">
        <v>4362</v>
      </c>
      <c r="H895" s="26" t="s">
        <v>39</v>
      </c>
      <c r="I895" s="26" t="s">
        <v>4369</v>
      </c>
      <c r="J895" s="11" t="str">
        <f>VLOOKUP(K895,'PN Dictionary'!A:B,2,FALSE)</f>
        <v>Cable Cartridge</v>
      </c>
      <c r="K895" s="26" t="s">
        <v>6</v>
      </c>
      <c r="L895" s="50">
        <v>2024925350644</v>
      </c>
      <c r="M895" s="51">
        <v>1824825354312</v>
      </c>
      <c r="N895" s="26" t="s">
        <v>53</v>
      </c>
      <c r="O895" s="26" t="s">
        <v>728</v>
      </c>
      <c r="P895" s="26">
        <v>1519</v>
      </c>
      <c r="Q895" s="26" t="s">
        <v>55</v>
      </c>
    </row>
    <row r="896" spans="1:17" hidden="1" x14ac:dyDescent="0.3">
      <c r="A896" s="26" t="s">
        <v>4370</v>
      </c>
      <c r="B896" s="26" t="s">
        <v>4371</v>
      </c>
      <c r="C896" s="26" t="s">
        <v>3608</v>
      </c>
      <c r="D896" s="26" t="s">
        <v>4372</v>
      </c>
      <c r="E896" s="26" t="s">
        <v>128</v>
      </c>
      <c r="F896" s="26" t="s">
        <v>205</v>
      </c>
      <c r="G896" s="26" t="s">
        <v>4362</v>
      </c>
      <c r="H896" s="26" t="s">
        <v>39</v>
      </c>
      <c r="I896" s="26" t="s">
        <v>4373</v>
      </c>
      <c r="J896" s="11" t="str">
        <f>VLOOKUP(K896,'PN Dictionary'!A:B,2,FALSE)</f>
        <v>Cable Cartridge</v>
      </c>
      <c r="K896" s="26" t="s">
        <v>6</v>
      </c>
      <c r="L896" s="50">
        <v>2024925350782</v>
      </c>
      <c r="M896" s="51">
        <v>1824825354192</v>
      </c>
      <c r="N896" s="26" t="s">
        <v>53</v>
      </c>
      <c r="O896" s="26" t="s">
        <v>728</v>
      </c>
      <c r="P896" s="26">
        <v>1519</v>
      </c>
      <c r="Q896" s="26" t="s">
        <v>55</v>
      </c>
    </row>
    <row r="897" spans="1:17" hidden="1" x14ac:dyDescent="0.3">
      <c r="A897" s="26" t="s">
        <v>4374</v>
      </c>
      <c r="B897" s="26" t="s">
        <v>4375</v>
      </c>
      <c r="C897" s="26" t="s">
        <v>3608</v>
      </c>
      <c r="D897" s="26" t="s">
        <v>4361</v>
      </c>
      <c r="E897" s="26" t="s">
        <v>761</v>
      </c>
      <c r="F897" s="26" t="s">
        <v>3688</v>
      </c>
      <c r="G897" s="26" t="s">
        <v>4362</v>
      </c>
      <c r="H897" s="26" t="s">
        <v>39</v>
      </c>
      <c r="I897" s="26" t="s">
        <v>1190</v>
      </c>
      <c r="J897" s="11" t="str">
        <f>VLOOKUP(K897,'PN Dictionary'!A:B,2,FALSE)</f>
        <v>GB300 L10</v>
      </c>
      <c r="K897" s="26" t="s">
        <v>3612</v>
      </c>
      <c r="L897" s="26" t="s">
        <v>4376</v>
      </c>
      <c r="M897" s="50" t="s">
        <v>4377</v>
      </c>
      <c r="N897" s="51" t="s">
        <v>53</v>
      </c>
      <c r="O897" s="26" t="s">
        <v>728</v>
      </c>
      <c r="P897" s="26">
        <v>90160</v>
      </c>
      <c r="Q897" s="26" t="s">
        <v>55</v>
      </c>
    </row>
    <row r="898" spans="1:17" hidden="1" x14ac:dyDescent="0.3">
      <c r="A898" s="26" t="s">
        <v>4378</v>
      </c>
      <c r="B898" s="26" t="s">
        <v>4379</v>
      </c>
      <c r="C898" s="26" t="s">
        <v>3608</v>
      </c>
      <c r="D898" s="26" t="s">
        <v>4380</v>
      </c>
      <c r="E898" s="26" t="s">
        <v>761</v>
      </c>
      <c r="F898" s="26" t="s">
        <v>3688</v>
      </c>
      <c r="G898" s="26" t="s">
        <v>4362</v>
      </c>
      <c r="H898" s="26" t="s">
        <v>39</v>
      </c>
      <c r="I898" s="26" t="s">
        <v>1190</v>
      </c>
      <c r="J898" s="11" t="str">
        <f>VLOOKUP(K898,'PN Dictionary'!A:B,2,FALSE)</f>
        <v>GB300 L10</v>
      </c>
      <c r="K898" s="26" t="s">
        <v>3612</v>
      </c>
      <c r="L898" s="26" t="s">
        <v>4381</v>
      </c>
      <c r="M898" s="50" t="s">
        <v>4382</v>
      </c>
      <c r="N898" s="51" t="s">
        <v>53</v>
      </c>
      <c r="O898" s="26" t="s">
        <v>728</v>
      </c>
      <c r="P898" s="26">
        <v>90160</v>
      </c>
      <c r="Q898" s="26" t="s">
        <v>55</v>
      </c>
    </row>
    <row r="899" spans="1:17" hidden="1" x14ac:dyDescent="0.3">
      <c r="A899" s="26" t="s">
        <v>4383</v>
      </c>
      <c r="B899" s="26" t="s">
        <v>4384</v>
      </c>
      <c r="C899" s="26" t="s">
        <v>3608</v>
      </c>
      <c r="D899" s="26" t="s">
        <v>4380</v>
      </c>
      <c r="E899" s="26" t="s">
        <v>52</v>
      </c>
      <c r="F899" s="26" t="s">
        <v>79</v>
      </c>
      <c r="G899" s="26" t="s">
        <v>4362</v>
      </c>
      <c r="H899" s="26" t="s">
        <v>39</v>
      </c>
      <c r="I899" s="26" t="s">
        <v>4385</v>
      </c>
      <c r="J899" s="11" t="str">
        <f>VLOOKUP(K899,'PN Dictionary'!A:B,2,FALSE)</f>
        <v>GB300 L10</v>
      </c>
      <c r="K899" s="26" t="s">
        <v>3612</v>
      </c>
      <c r="L899" s="26" t="s">
        <v>4386</v>
      </c>
      <c r="M899" s="50" t="s">
        <v>4387</v>
      </c>
      <c r="N899" s="51" t="s">
        <v>53</v>
      </c>
      <c r="O899" s="26" t="s">
        <v>728</v>
      </c>
      <c r="P899" s="26">
        <v>90160</v>
      </c>
      <c r="Q899" s="26" t="s">
        <v>55</v>
      </c>
    </row>
    <row r="900" spans="1:17" hidden="1" x14ac:dyDescent="0.3">
      <c r="A900" s="26" t="s">
        <v>4388</v>
      </c>
      <c r="B900" s="26" t="s">
        <v>4389</v>
      </c>
      <c r="C900" s="26" t="s">
        <v>3608</v>
      </c>
      <c r="D900" s="26" t="s">
        <v>4380</v>
      </c>
      <c r="E900" s="26" t="s">
        <v>761</v>
      </c>
      <c r="F900" s="26" t="s">
        <v>3688</v>
      </c>
      <c r="G900" s="26" t="s">
        <v>4362</v>
      </c>
      <c r="H900" s="26" t="s">
        <v>39</v>
      </c>
      <c r="I900" s="26" t="s">
        <v>1190</v>
      </c>
      <c r="J900" s="11" t="str">
        <f>VLOOKUP(K900,'PN Dictionary'!A:B,2,FALSE)</f>
        <v>GB300 L10</v>
      </c>
      <c r="K900" s="26" t="s">
        <v>3612</v>
      </c>
      <c r="L900" s="26" t="s">
        <v>4387</v>
      </c>
      <c r="M900" s="50" t="s">
        <v>4390</v>
      </c>
      <c r="N900" s="51" t="s">
        <v>53</v>
      </c>
      <c r="O900" s="26" t="s">
        <v>728</v>
      </c>
      <c r="P900" s="26">
        <v>90160</v>
      </c>
      <c r="Q900" s="26" t="s">
        <v>55</v>
      </c>
    </row>
    <row r="901" spans="1:17" hidden="1" x14ac:dyDescent="0.3">
      <c r="A901" s="26" t="s">
        <v>4391</v>
      </c>
      <c r="B901" s="26" t="s">
        <v>4392</v>
      </c>
      <c r="C901" s="26" t="s">
        <v>3608</v>
      </c>
      <c r="D901" s="26" t="s">
        <v>4393</v>
      </c>
      <c r="E901" s="26" t="s">
        <v>242</v>
      </c>
      <c r="F901" s="26" t="s">
        <v>604</v>
      </c>
      <c r="G901" s="26" t="s">
        <v>4394</v>
      </c>
      <c r="H901" s="26" t="s">
        <v>39</v>
      </c>
      <c r="I901" s="26" t="s">
        <v>4395</v>
      </c>
      <c r="J901" s="11" t="str">
        <f>VLOOKUP(K901,'PN Dictionary'!A:B,2,FALSE)</f>
        <v>Delta Power Shelf Left Input</v>
      </c>
      <c r="K901" s="26" t="s">
        <v>10</v>
      </c>
      <c r="L901" s="26" t="s">
        <v>4396</v>
      </c>
      <c r="M901" s="50" t="s">
        <v>4397</v>
      </c>
      <c r="N901" s="51" t="s">
        <v>53</v>
      </c>
      <c r="O901" s="26" t="s">
        <v>728</v>
      </c>
      <c r="P901" s="26">
        <v>1519</v>
      </c>
      <c r="Q901" s="26" t="s">
        <v>55</v>
      </c>
    </row>
    <row r="902" spans="1:17" hidden="1" x14ac:dyDescent="0.3">
      <c r="A902" s="26" t="s">
        <v>4398</v>
      </c>
      <c r="B902" s="26" t="s">
        <v>4399</v>
      </c>
      <c r="C902" s="26" t="s">
        <v>3608</v>
      </c>
      <c r="D902" s="26" t="s">
        <v>4393</v>
      </c>
      <c r="E902" s="26" t="s">
        <v>4330</v>
      </c>
      <c r="F902" s="26" t="s">
        <v>4331</v>
      </c>
      <c r="G902" s="26" t="s">
        <v>4394</v>
      </c>
      <c r="H902" s="26" t="s">
        <v>536</v>
      </c>
      <c r="I902" s="26" t="s">
        <v>4400</v>
      </c>
      <c r="J902" s="11" t="str">
        <f>VLOOKUP(K902,'PN Dictionary'!A:B,2,FALSE)</f>
        <v>Delta power shelf right input</v>
      </c>
      <c r="K902" s="26" t="s">
        <v>353</v>
      </c>
      <c r="L902" s="26" t="s">
        <v>4401</v>
      </c>
      <c r="M902" s="50" t="s">
        <v>4402</v>
      </c>
      <c r="N902" s="51" t="s">
        <v>53</v>
      </c>
      <c r="O902" s="26" t="s">
        <v>728</v>
      </c>
      <c r="P902" s="26">
        <v>1519</v>
      </c>
      <c r="Q902" s="26" t="s">
        <v>55</v>
      </c>
    </row>
    <row r="903" spans="1:17" hidden="1" x14ac:dyDescent="0.3">
      <c r="A903" s="26" t="s">
        <v>4403</v>
      </c>
      <c r="B903" s="26" t="s">
        <v>4399</v>
      </c>
      <c r="C903" s="26" t="s">
        <v>3608</v>
      </c>
      <c r="D903" s="26" t="s">
        <v>4393</v>
      </c>
      <c r="E903" s="26" t="s">
        <v>4330</v>
      </c>
      <c r="F903" s="26" t="s">
        <v>4331</v>
      </c>
      <c r="G903" s="26" t="s">
        <v>4394</v>
      </c>
      <c r="H903" s="26" t="s">
        <v>536</v>
      </c>
      <c r="I903" s="26" t="s">
        <v>4404</v>
      </c>
      <c r="J903" s="11" t="str">
        <f>VLOOKUP(K903,'PN Dictionary'!A:B,2,FALSE)</f>
        <v>Delta power shelf right input</v>
      </c>
      <c r="K903" s="26" t="s">
        <v>353</v>
      </c>
      <c r="L903" s="26" t="s">
        <v>4405</v>
      </c>
      <c r="M903" s="50" t="s">
        <v>4406</v>
      </c>
      <c r="N903" s="51" t="s">
        <v>53</v>
      </c>
      <c r="O903" s="26" t="s">
        <v>728</v>
      </c>
      <c r="P903" s="26">
        <v>1519</v>
      </c>
      <c r="Q903" s="26" t="s">
        <v>55</v>
      </c>
    </row>
    <row r="904" spans="1:17" hidden="1" x14ac:dyDescent="0.3">
      <c r="A904" s="26" t="s">
        <v>4407</v>
      </c>
      <c r="B904" s="26" t="s">
        <v>4399</v>
      </c>
      <c r="C904" s="26" t="s">
        <v>3608</v>
      </c>
      <c r="D904" s="26" t="s">
        <v>4393</v>
      </c>
      <c r="E904" s="26" t="s">
        <v>4330</v>
      </c>
      <c r="F904" s="26" t="s">
        <v>4331</v>
      </c>
      <c r="G904" s="26" t="s">
        <v>4394</v>
      </c>
      <c r="H904" s="26" t="s">
        <v>536</v>
      </c>
      <c r="I904" s="26" t="s">
        <v>4408</v>
      </c>
      <c r="J904" s="11" t="str">
        <f>VLOOKUP(K904,'PN Dictionary'!A:B,2,FALSE)</f>
        <v>Delta power shelf right input</v>
      </c>
      <c r="K904" s="26" t="s">
        <v>353</v>
      </c>
      <c r="L904" s="26" t="s">
        <v>4409</v>
      </c>
      <c r="M904" s="50" t="s">
        <v>4410</v>
      </c>
      <c r="N904" s="51" t="s">
        <v>53</v>
      </c>
      <c r="O904" s="26" t="s">
        <v>728</v>
      </c>
      <c r="P904" s="26">
        <v>1519</v>
      </c>
      <c r="Q904" s="26" t="s">
        <v>55</v>
      </c>
    </row>
    <row r="905" spans="1:17" hidden="1" x14ac:dyDescent="0.3">
      <c r="A905" s="26" t="s">
        <v>4411</v>
      </c>
      <c r="B905" s="26" t="s">
        <v>4412</v>
      </c>
      <c r="C905" s="26" t="s">
        <v>3608</v>
      </c>
      <c r="D905" s="26" t="s">
        <v>4413</v>
      </c>
      <c r="E905" s="26" t="s">
        <v>761</v>
      </c>
      <c r="F905" s="26" t="s">
        <v>3688</v>
      </c>
      <c r="G905" s="26" t="s">
        <v>4394</v>
      </c>
      <c r="H905" s="26" t="s">
        <v>39</v>
      </c>
      <c r="I905" s="26" t="s">
        <v>1190</v>
      </c>
      <c r="J905" s="11" t="str">
        <f>VLOOKUP(K905,'PN Dictionary'!A:B,2,FALSE)</f>
        <v>Delta power shelf right input</v>
      </c>
      <c r="K905" s="26" t="s">
        <v>353</v>
      </c>
      <c r="L905" s="50" t="s">
        <v>4414</v>
      </c>
      <c r="M905" s="51" t="s">
        <v>4415</v>
      </c>
      <c r="N905" s="26" t="s">
        <v>53</v>
      </c>
      <c r="O905" s="26" t="s">
        <v>728</v>
      </c>
      <c r="P905" s="26">
        <v>90160</v>
      </c>
      <c r="Q905" s="26" t="s">
        <v>55</v>
      </c>
    </row>
    <row r="906" spans="1:17" hidden="1" x14ac:dyDescent="0.3">
      <c r="A906" s="26" t="s">
        <v>4416</v>
      </c>
      <c r="B906" s="26" t="s">
        <v>4417</v>
      </c>
      <c r="C906" s="26" t="s">
        <v>3608</v>
      </c>
      <c r="D906" s="26" t="s">
        <v>4413</v>
      </c>
      <c r="E906" s="26" t="s">
        <v>761</v>
      </c>
      <c r="F906" s="26" t="s">
        <v>3688</v>
      </c>
      <c r="G906" s="26" t="s">
        <v>4394</v>
      </c>
      <c r="H906" s="26" t="s">
        <v>39</v>
      </c>
      <c r="I906" s="26" t="s">
        <v>1190</v>
      </c>
      <c r="J906" s="11" t="str">
        <f>VLOOKUP(K906,'PN Dictionary'!A:B,2,FALSE)</f>
        <v>GB300 L10</v>
      </c>
      <c r="K906" s="26" t="s">
        <v>3612</v>
      </c>
      <c r="L906" s="50" t="s">
        <v>4418</v>
      </c>
      <c r="M906" s="51" t="s">
        <v>4419</v>
      </c>
      <c r="N906" s="26" t="s">
        <v>53</v>
      </c>
      <c r="O906" s="26" t="s">
        <v>728</v>
      </c>
      <c r="P906" s="26">
        <v>90160</v>
      </c>
      <c r="Q906" s="26" t="s">
        <v>55</v>
      </c>
    </row>
    <row r="907" spans="1:17" hidden="1" x14ac:dyDescent="0.3">
      <c r="A907" s="26" t="s">
        <v>4420</v>
      </c>
      <c r="B907" s="26" t="s">
        <v>4421</v>
      </c>
      <c r="C907" s="26" t="s">
        <v>3608</v>
      </c>
      <c r="D907" s="26" t="s">
        <v>4413</v>
      </c>
      <c r="E907" s="26" t="s">
        <v>761</v>
      </c>
      <c r="F907" s="26" t="s">
        <v>3688</v>
      </c>
      <c r="G907" s="26" t="s">
        <v>4394</v>
      </c>
      <c r="H907" s="26" t="s">
        <v>39</v>
      </c>
      <c r="I907" s="26" t="s">
        <v>1190</v>
      </c>
      <c r="J907" s="11" t="str">
        <f>VLOOKUP(K907,'PN Dictionary'!A:B,2,FALSE)</f>
        <v>Delta power shelf right input</v>
      </c>
      <c r="K907" s="26" t="s">
        <v>353</v>
      </c>
      <c r="L907" s="50" t="s">
        <v>4422</v>
      </c>
      <c r="M907" s="51" t="s">
        <v>4423</v>
      </c>
      <c r="N907" s="26" t="s">
        <v>53</v>
      </c>
      <c r="O907" s="26" t="s">
        <v>728</v>
      </c>
      <c r="P907" s="26">
        <v>90160</v>
      </c>
      <c r="Q907" s="26" t="s">
        <v>55</v>
      </c>
    </row>
    <row r="908" spans="1:17" hidden="1" x14ac:dyDescent="0.3">
      <c r="A908" s="26" t="s">
        <v>4424</v>
      </c>
      <c r="B908" s="26" t="s">
        <v>4425</v>
      </c>
      <c r="C908" s="26" t="s">
        <v>3608</v>
      </c>
      <c r="D908" s="26" t="s">
        <v>4426</v>
      </c>
      <c r="E908" s="26" t="s">
        <v>761</v>
      </c>
      <c r="F908" s="26" t="s">
        <v>3688</v>
      </c>
      <c r="G908" s="26" t="s">
        <v>4394</v>
      </c>
      <c r="H908" s="26" t="s">
        <v>39</v>
      </c>
      <c r="I908" s="26" t="s">
        <v>1190</v>
      </c>
      <c r="J908" s="11" t="str">
        <f>VLOOKUP(K908,'PN Dictionary'!A:B,2,FALSE)</f>
        <v>GB300 L10</v>
      </c>
      <c r="K908" s="26" t="s">
        <v>3612</v>
      </c>
      <c r="L908" s="50" t="s">
        <v>4422</v>
      </c>
      <c r="M908" s="51" t="s">
        <v>4423</v>
      </c>
      <c r="N908" s="26" t="s">
        <v>53</v>
      </c>
      <c r="O908" s="26" t="s">
        <v>728</v>
      </c>
      <c r="P908" s="26">
        <v>90160</v>
      </c>
      <c r="Q908" s="26" t="s">
        <v>55</v>
      </c>
    </row>
    <row r="909" spans="1:17" hidden="1" x14ac:dyDescent="0.3">
      <c r="A909" s="26" t="s">
        <v>4427</v>
      </c>
      <c r="B909" s="26" t="s">
        <v>4441</v>
      </c>
      <c r="C909" s="26" t="s">
        <v>3608</v>
      </c>
      <c r="D909" s="26" t="s">
        <v>4428</v>
      </c>
      <c r="E909" s="26" t="s">
        <v>128</v>
      </c>
      <c r="F909" s="26" t="s">
        <v>205</v>
      </c>
      <c r="G909" s="26" t="s">
        <v>4429</v>
      </c>
      <c r="H909" s="26" t="s">
        <v>39</v>
      </c>
      <c r="I909" s="26" t="s">
        <v>4430</v>
      </c>
      <c r="J909" s="11" t="str">
        <f>VLOOKUP(K909,'PN Dictionary'!A:B,2,FALSE)</f>
        <v>Cable Cartridge</v>
      </c>
      <c r="K909" s="26" t="s">
        <v>6</v>
      </c>
      <c r="L909" s="50">
        <v>1824725354510</v>
      </c>
      <c r="M909" s="51" t="s">
        <v>4442</v>
      </c>
      <c r="N909" s="26" t="s">
        <v>53</v>
      </c>
      <c r="O909" s="26" t="s">
        <v>728</v>
      </c>
      <c r="P909" s="26">
        <v>1519</v>
      </c>
      <c r="Q909" s="26" t="s">
        <v>55</v>
      </c>
    </row>
    <row r="910" spans="1:17" hidden="1" x14ac:dyDescent="0.3">
      <c r="A910" s="26" t="s">
        <v>4431</v>
      </c>
      <c r="B910" s="26" t="s">
        <v>4443</v>
      </c>
      <c r="C910" s="26" t="s">
        <v>3608</v>
      </c>
      <c r="D910" s="26" t="s">
        <v>4432</v>
      </c>
      <c r="E910" s="26" t="s">
        <v>128</v>
      </c>
      <c r="F910" s="26" t="s">
        <v>205</v>
      </c>
      <c r="G910" s="26" t="s">
        <v>4429</v>
      </c>
      <c r="H910" s="26" t="s">
        <v>39</v>
      </c>
      <c r="I910" s="26" t="s">
        <v>4444</v>
      </c>
      <c r="J910" s="11" t="str">
        <f>VLOOKUP(K910,'PN Dictionary'!A:B,2,FALSE)</f>
        <v>Cable Cartridge</v>
      </c>
      <c r="K910" s="26" t="s">
        <v>6</v>
      </c>
      <c r="L910" s="50">
        <v>1824825354581</v>
      </c>
      <c r="M910" s="51">
        <v>2025125351859</v>
      </c>
      <c r="N910" s="26" t="s">
        <v>53</v>
      </c>
      <c r="O910" s="26" t="s">
        <v>728</v>
      </c>
      <c r="P910" s="26">
        <v>1519</v>
      </c>
      <c r="Q910" s="26" t="s">
        <v>55</v>
      </c>
    </row>
    <row r="911" spans="1:17" hidden="1" x14ac:dyDescent="0.3">
      <c r="A911" s="26" t="s">
        <v>4433</v>
      </c>
      <c r="B911" s="26" t="s">
        <v>4443</v>
      </c>
      <c r="C911" s="26" t="s">
        <v>3608</v>
      </c>
      <c r="D911" s="26" t="s">
        <v>4432</v>
      </c>
      <c r="E911" s="26" t="s">
        <v>230</v>
      </c>
      <c r="F911" s="26" t="s">
        <v>238</v>
      </c>
      <c r="G911" s="26" t="s">
        <v>4429</v>
      </c>
      <c r="H911" s="26" t="s">
        <v>39</v>
      </c>
      <c r="I911" s="26" t="s">
        <v>4434</v>
      </c>
      <c r="J911" s="11" t="str">
        <f>VLOOKUP(K911,'PN Dictionary'!A:B,2,FALSE)</f>
        <v>NVSwitch</v>
      </c>
      <c r="K911" s="26" t="s">
        <v>7</v>
      </c>
      <c r="L911" s="50" t="s">
        <v>4435</v>
      </c>
      <c r="M911" s="51" t="s">
        <v>4445</v>
      </c>
      <c r="N911" s="26" t="s">
        <v>53</v>
      </c>
      <c r="O911" s="26" t="s">
        <v>728</v>
      </c>
      <c r="P911" s="26">
        <v>1519</v>
      </c>
      <c r="Q911" s="26" t="s">
        <v>55</v>
      </c>
    </row>
    <row r="912" spans="1:17" hidden="1" x14ac:dyDescent="0.3">
      <c r="A912" s="26" t="s">
        <v>4436</v>
      </c>
      <c r="B912" s="26" t="s">
        <v>4446</v>
      </c>
      <c r="C912" s="26" t="s">
        <v>3608</v>
      </c>
      <c r="D912" s="26" t="s">
        <v>4265</v>
      </c>
      <c r="E912" s="26" t="s">
        <v>81</v>
      </c>
      <c r="F912" s="26" t="s">
        <v>522</v>
      </c>
      <c r="G912" s="26" t="s">
        <v>4429</v>
      </c>
      <c r="H912" s="26" t="s">
        <v>39</v>
      </c>
      <c r="I912" s="26" t="s">
        <v>4437</v>
      </c>
      <c r="J912" s="11" t="str">
        <f>VLOOKUP(K912,'PN Dictionary'!A:B,2,FALSE)</f>
        <v>Cable Cartridge</v>
      </c>
      <c r="K912" s="26" t="s">
        <v>6</v>
      </c>
      <c r="L912" s="50">
        <v>2024925350485</v>
      </c>
      <c r="M912" s="51">
        <v>2025125351877</v>
      </c>
      <c r="N912" s="26" t="s">
        <v>53</v>
      </c>
      <c r="O912" s="26" t="s">
        <v>728</v>
      </c>
      <c r="P912" s="26">
        <v>1519</v>
      </c>
      <c r="Q912" s="26" t="s">
        <v>55</v>
      </c>
    </row>
    <row r="913" spans="1:17" hidden="1" x14ac:dyDescent="0.3">
      <c r="A913" s="26" t="s">
        <v>4438</v>
      </c>
      <c r="B913" s="26" t="s">
        <v>4447</v>
      </c>
      <c r="C913" s="26" t="s">
        <v>3608</v>
      </c>
      <c r="D913" s="26" t="s">
        <v>4439</v>
      </c>
      <c r="E913" s="26" t="s">
        <v>374</v>
      </c>
      <c r="F913" s="26" t="s">
        <v>3893</v>
      </c>
      <c r="G913" s="26" t="s">
        <v>4429</v>
      </c>
      <c r="H913" s="26" t="s">
        <v>39</v>
      </c>
      <c r="I913" s="26" t="s">
        <v>4440</v>
      </c>
      <c r="J913" s="11" t="str">
        <f>VLOOKUP(K913,'PN Dictionary'!A:B,2,FALSE)</f>
        <v>Cable Cartridge</v>
      </c>
      <c r="K913" s="26" t="s">
        <v>6</v>
      </c>
      <c r="L913" s="50">
        <v>2024925350772</v>
      </c>
      <c r="M913" s="51">
        <v>2025125351632</v>
      </c>
      <c r="N913" s="26" t="s">
        <v>53</v>
      </c>
      <c r="O913" s="26" t="s">
        <v>728</v>
      </c>
      <c r="P913" s="26">
        <v>1519</v>
      </c>
      <c r="Q913" s="26" t="s">
        <v>55</v>
      </c>
    </row>
    <row r="914" spans="1:17" hidden="1" x14ac:dyDescent="0.3">
      <c r="A914" s="26" t="s">
        <v>4448</v>
      </c>
      <c r="B914" s="26" t="s">
        <v>4449</v>
      </c>
      <c r="C914" s="26" t="s">
        <v>3608</v>
      </c>
      <c r="D914" s="26" t="s">
        <v>4428</v>
      </c>
      <c r="E914" s="26" t="s">
        <v>4450</v>
      </c>
      <c r="F914" s="26" t="s">
        <v>4451</v>
      </c>
      <c r="G914" s="26" t="s">
        <v>4452</v>
      </c>
      <c r="H914" s="26" t="s">
        <v>39</v>
      </c>
      <c r="I914" s="26" t="s">
        <v>4453</v>
      </c>
      <c r="J914" s="11" t="str">
        <f>VLOOKUP(K914,'PN Dictionary'!A:B,2,FALSE)</f>
        <v>GB300 L10</v>
      </c>
      <c r="K914" s="26" t="s">
        <v>3612</v>
      </c>
      <c r="L914" s="50" t="s">
        <v>4466</v>
      </c>
      <c r="M914" s="50" t="s">
        <v>4467</v>
      </c>
      <c r="N914" s="26" t="s">
        <v>53</v>
      </c>
      <c r="O914" s="26" t="s">
        <v>728</v>
      </c>
      <c r="P914" s="26">
        <v>1519</v>
      </c>
      <c r="Q914" s="26" t="s">
        <v>55</v>
      </c>
    </row>
    <row r="915" spans="1:17" hidden="1" x14ac:dyDescent="0.3">
      <c r="A915" s="26" t="s">
        <v>4454</v>
      </c>
      <c r="B915" s="26" t="s">
        <v>4455</v>
      </c>
      <c r="C915" s="26" t="s">
        <v>3608</v>
      </c>
      <c r="D915" s="26" t="s">
        <v>4456</v>
      </c>
      <c r="E915" s="26" t="s">
        <v>761</v>
      </c>
      <c r="F915" s="26" t="s">
        <v>3688</v>
      </c>
      <c r="G915" s="26" t="s">
        <v>4452</v>
      </c>
      <c r="H915" s="26" t="s">
        <v>39</v>
      </c>
      <c r="I915" s="26" t="s">
        <v>1190</v>
      </c>
      <c r="J915" s="11" t="str">
        <f>VLOOKUP(K915,'PN Dictionary'!A:B,2,FALSE)</f>
        <v>GB300 L10</v>
      </c>
      <c r="K915" s="26" t="s">
        <v>3612</v>
      </c>
      <c r="L915" s="50" t="s">
        <v>4457</v>
      </c>
      <c r="M915" s="51" t="s">
        <v>4458</v>
      </c>
      <c r="N915" s="26" t="s">
        <v>53</v>
      </c>
      <c r="O915" s="26" t="s">
        <v>728</v>
      </c>
      <c r="P915" s="26">
        <v>90160</v>
      </c>
      <c r="Q915" s="26" t="s">
        <v>55</v>
      </c>
    </row>
    <row r="916" spans="1:17" hidden="1" x14ac:dyDescent="0.3">
      <c r="A916" s="26" t="s">
        <v>4459</v>
      </c>
      <c r="B916" s="26" t="s">
        <v>4460</v>
      </c>
      <c r="C916" s="26" t="s">
        <v>3608</v>
      </c>
      <c r="D916" s="26" t="s">
        <v>4456</v>
      </c>
      <c r="E916" s="26" t="s">
        <v>761</v>
      </c>
      <c r="F916" s="26" t="s">
        <v>3688</v>
      </c>
      <c r="G916" s="26" t="s">
        <v>4452</v>
      </c>
      <c r="H916" s="26" t="s">
        <v>39</v>
      </c>
      <c r="I916" s="26" t="s">
        <v>1190</v>
      </c>
      <c r="J916" s="11" t="str">
        <f>VLOOKUP(K916,'PN Dictionary'!A:B,2,FALSE)</f>
        <v>GB300 L10</v>
      </c>
      <c r="K916" s="26" t="s">
        <v>3612</v>
      </c>
      <c r="L916" s="50" t="s">
        <v>4461</v>
      </c>
      <c r="M916" s="51" t="s">
        <v>4381</v>
      </c>
      <c r="N916" s="26" t="s">
        <v>53</v>
      </c>
      <c r="O916" s="26" t="s">
        <v>728</v>
      </c>
      <c r="P916" s="26">
        <v>90160</v>
      </c>
      <c r="Q916" s="26" t="s">
        <v>55</v>
      </c>
    </row>
    <row r="917" spans="1:17" hidden="1" x14ac:dyDescent="0.3">
      <c r="A917" s="26" t="s">
        <v>4462</v>
      </c>
      <c r="B917" s="26" t="s">
        <v>4463</v>
      </c>
      <c r="C917" s="26" t="s">
        <v>3608</v>
      </c>
      <c r="D917" s="26" t="s">
        <v>4456</v>
      </c>
      <c r="E917" s="26" t="s">
        <v>761</v>
      </c>
      <c r="F917" s="26" t="s">
        <v>3688</v>
      </c>
      <c r="G917" s="26" t="s">
        <v>4452</v>
      </c>
      <c r="H917" s="26" t="s">
        <v>39</v>
      </c>
      <c r="I917" s="26" t="s">
        <v>1190</v>
      </c>
      <c r="J917" s="11" t="str">
        <f>VLOOKUP(K917,'PN Dictionary'!A:B,2,FALSE)</f>
        <v>GB300 L10</v>
      </c>
      <c r="K917" s="26" t="s">
        <v>3612</v>
      </c>
      <c r="L917" s="50" t="s">
        <v>4464</v>
      </c>
      <c r="M917" s="51" t="s">
        <v>4465</v>
      </c>
      <c r="N917" s="26" t="s">
        <v>53</v>
      </c>
      <c r="O917" s="26" t="s">
        <v>728</v>
      </c>
      <c r="P917" s="26">
        <v>90160</v>
      </c>
      <c r="Q917" s="26" t="s">
        <v>55</v>
      </c>
    </row>
    <row r="918" spans="1:17" hidden="1" x14ac:dyDescent="0.3">
      <c r="A918" s="26" t="s">
        <v>4468</v>
      </c>
      <c r="B918" s="26" t="s">
        <v>4471</v>
      </c>
      <c r="C918" s="26" t="s">
        <v>3608</v>
      </c>
      <c r="D918" s="26" t="s">
        <v>4469</v>
      </c>
      <c r="E918" s="26" t="s">
        <v>128</v>
      </c>
      <c r="F918" s="26" t="s">
        <v>205</v>
      </c>
      <c r="G918" s="26" t="s">
        <v>4470</v>
      </c>
      <c r="H918" s="26" t="s">
        <v>39</v>
      </c>
      <c r="I918" s="26" t="s">
        <v>4472</v>
      </c>
      <c r="J918" s="11" t="str">
        <f>VLOOKUP(K918,'PN Dictionary'!A:B,2,FALSE)</f>
        <v>Cable Cartridge</v>
      </c>
      <c r="K918" s="11" t="s">
        <v>6</v>
      </c>
      <c r="L918" s="26">
        <v>1823025357593</v>
      </c>
      <c r="M918" s="50">
        <v>1823225351004</v>
      </c>
      <c r="N918" s="51" t="s">
        <v>53</v>
      </c>
      <c r="O918" s="26" t="s">
        <v>728</v>
      </c>
      <c r="P918" s="26">
        <v>1519</v>
      </c>
      <c r="Q918" s="26" t="s">
        <v>55</v>
      </c>
    </row>
    <row r="919" spans="1:17" hidden="1" x14ac:dyDescent="0.3">
      <c r="A919" s="26" t="s">
        <v>4473</v>
      </c>
      <c r="B919" s="26" t="s">
        <v>4471</v>
      </c>
      <c r="C919" s="26" t="s">
        <v>3608</v>
      </c>
      <c r="D919" s="26" t="s">
        <v>4469</v>
      </c>
      <c r="E919" s="26" t="s">
        <v>128</v>
      </c>
      <c r="F919" s="26" t="s">
        <v>205</v>
      </c>
      <c r="G919" s="26" t="s">
        <v>4470</v>
      </c>
      <c r="H919" s="26" t="s">
        <v>39</v>
      </c>
      <c r="I919" s="26" t="s">
        <v>4474</v>
      </c>
      <c r="J919" s="11" t="str">
        <f>VLOOKUP(K919,'PN Dictionary'!A:B,2,FALSE)</f>
        <v>Cable Cartridge</v>
      </c>
      <c r="K919" s="26" t="s">
        <v>6</v>
      </c>
      <c r="L919" s="26">
        <v>1823125354422</v>
      </c>
      <c r="M919" s="50">
        <v>2025125351344</v>
      </c>
      <c r="N919" s="51" t="s">
        <v>53</v>
      </c>
      <c r="O919" s="26" t="s">
        <v>728</v>
      </c>
      <c r="P919" s="26">
        <v>1519</v>
      </c>
      <c r="Q919" s="26" t="s">
        <v>55</v>
      </c>
    </row>
    <row r="920" spans="1:17" x14ac:dyDescent="0.3">
      <c r="A920" s="26" t="s">
        <v>4475</v>
      </c>
      <c r="B920" s="26" t="s">
        <v>4476</v>
      </c>
      <c r="C920" s="26" t="s">
        <v>4309</v>
      </c>
      <c r="D920" s="26" t="s">
        <v>4477</v>
      </c>
      <c r="E920" s="26" t="s">
        <v>411</v>
      </c>
      <c r="F920" s="26" t="s">
        <v>597</v>
      </c>
      <c r="G920" s="26" t="s">
        <v>4470</v>
      </c>
      <c r="H920" s="26" t="s">
        <v>39</v>
      </c>
      <c r="I920" s="26" t="s">
        <v>4478</v>
      </c>
      <c r="J920" s="11" t="str">
        <f>VLOOKUP(K920,'PN Dictionary'!A:B,2,FALSE)</f>
        <v>NVSwitch</v>
      </c>
      <c r="K920" s="26" t="s">
        <v>7</v>
      </c>
      <c r="L920" s="26" t="s">
        <v>4479</v>
      </c>
      <c r="M920" s="50" t="s">
        <v>4480</v>
      </c>
      <c r="N920" s="51" t="s">
        <v>53</v>
      </c>
      <c r="O920" s="26" t="s">
        <v>728</v>
      </c>
      <c r="P920" s="26">
        <v>90160</v>
      </c>
      <c r="Q920" s="26" t="s">
        <v>55</v>
      </c>
    </row>
    <row r="921" spans="1:17" hidden="1" x14ac:dyDescent="0.3">
      <c r="A921" s="26" t="s">
        <v>4481</v>
      </c>
      <c r="B921" s="26" t="s">
        <v>4482</v>
      </c>
      <c r="C921" s="26" t="s">
        <v>3608</v>
      </c>
      <c r="D921" s="26" t="s">
        <v>4483</v>
      </c>
      <c r="E921" s="26" t="s">
        <v>4031</v>
      </c>
      <c r="F921" s="26" t="s">
        <v>4032</v>
      </c>
      <c r="G921" s="26" t="s">
        <v>4484</v>
      </c>
      <c r="H921" s="26" t="s">
        <v>39</v>
      </c>
      <c r="I921" s="26" t="s">
        <v>4485</v>
      </c>
      <c r="J921" s="11" t="str">
        <f>VLOOKUP(K921,'PN Dictionary'!A:B,2,FALSE)</f>
        <v>GB300 L10</v>
      </c>
      <c r="K921" s="26" t="s">
        <v>3612</v>
      </c>
      <c r="L921" s="26" t="s">
        <v>4346</v>
      </c>
      <c r="M921" s="50" t="s">
        <v>4486</v>
      </c>
      <c r="N921" s="51" t="s">
        <v>53</v>
      </c>
      <c r="O921" s="26" t="s">
        <v>728</v>
      </c>
      <c r="P921" s="26">
        <v>90185</v>
      </c>
      <c r="Q921" s="26" t="s">
        <v>55</v>
      </c>
    </row>
    <row r="922" spans="1:17" hidden="1" x14ac:dyDescent="0.3">
      <c r="A922" s="26" t="s">
        <v>4487</v>
      </c>
      <c r="B922" s="26" t="s">
        <v>4490</v>
      </c>
      <c r="C922" s="26" t="s">
        <v>3608</v>
      </c>
      <c r="D922" s="26" t="s">
        <v>4488</v>
      </c>
      <c r="E922" s="26" t="s">
        <v>128</v>
      </c>
      <c r="F922" s="26" t="s">
        <v>205</v>
      </c>
      <c r="G922" s="26" t="s">
        <v>4484</v>
      </c>
      <c r="H922" s="26" t="s">
        <v>39</v>
      </c>
      <c r="I922" s="26" t="s">
        <v>4489</v>
      </c>
      <c r="J922" s="11" t="str">
        <f>VLOOKUP(K922,'PN Dictionary'!A:B,2,FALSE)</f>
        <v>Cable Cartridge</v>
      </c>
      <c r="K922" s="11" t="s">
        <v>6</v>
      </c>
      <c r="L922" s="26">
        <v>2025125351568</v>
      </c>
      <c r="M922" s="26">
        <v>1823525354024</v>
      </c>
      <c r="N922" s="50" t="s">
        <v>53</v>
      </c>
      <c r="O922" s="51" t="s">
        <v>728</v>
      </c>
      <c r="P922" s="26">
        <v>2984</v>
      </c>
      <c r="Q922" s="26" t="s">
        <v>55</v>
      </c>
    </row>
    <row r="923" spans="1:17" hidden="1" x14ac:dyDescent="0.3">
      <c r="A923" s="26" t="s">
        <v>4491</v>
      </c>
      <c r="B923" s="26" t="s">
        <v>4492</v>
      </c>
      <c r="C923" s="26" t="s">
        <v>3608</v>
      </c>
      <c r="D923" s="26" t="s">
        <v>4493</v>
      </c>
      <c r="E923" s="26" t="s">
        <v>761</v>
      </c>
      <c r="F923" s="26" t="s">
        <v>3688</v>
      </c>
      <c r="G923" s="26" t="s">
        <v>4484</v>
      </c>
      <c r="H923" s="26" t="s">
        <v>39</v>
      </c>
      <c r="I923" s="26" t="s">
        <v>1190</v>
      </c>
      <c r="J923" s="11" t="str">
        <f>VLOOKUP(K923,'PN Dictionary'!A:B,2,FALSE)</f>
        <v>GB300 L10</v>
      </c>
      <c r="K923" s="26" t="s">
        <v>3612</v>
      </c>
      <c r="L923" s="26" t="s">
        <v>4494</v>
      </c>
      <c r="M923" s="50" t="s">
        <v>4495</v>
      </c>
      <c r="N923" s="51" t="s">
        <v>53</v>
      </c>
      <c r="O923" s="26" t="s">
        <v>728</v>
      </c>
      <c r="P923" s="26">
        <v>90160</v>
      </c>
      <c r="Q923" s="26" t="s">
        <v>55</v>
      </c>
    </row>
    <row r="924" spans="1:17" hidden="1" x14ac:dyDescent="0.3">
      <c r="A924" s="26" t="s">
        <v>4496</v>
      </c>
      <c r="B924" s="26" t="s">
        <v>4497</v>
      </c>
      <c r="C924" s="26" t="s">
        <v>3608</v>
      </c>
      <c r="D924" s="26" t="s">
        <v>4493</v>
      </c>
      <c r="E924" s="26" t="s">
        <v>128</v>
      </c>
      <c r="F924" s="26" t="s">
        <v>205</v>
      </c>
      <c r="G924" s="26" t="s">
        <v>4484</v>
      </c>
      <c r="H924" s="26" t="s">
        <v>39</v>
      </c>
      <c r="I924" s="26" t="s">
        <v>4498</v>
      </c>
      <c r="J924" s="11" t="str">
        <f>VLOOKUP(K924,'PN Dictionary'!A:B,2,FALSE)</f>
        <v>Cable Cartridge</v>
      </c>
      <c r="K924" s="26" t="s">
        <v>6</v>
      </c>
      <c r="L924" s="26">
        <v>2025125351579</v>
      </c>
      <c r="M924" s="50">
        <v>2025125351863</v>
      </c>
      <c r="N924" s="51" t="s">
        <v>53</v>
      </c>
      <c r="O924" s="26" t="s">
        <v>728</v>
      </c>
      <c r="P924" s="26">
        <v>90160</v>
      </c>
      <c r="Q924" s="26" t="s">
        <v>55</v>
      </c>
    </row>
    <row r="925" spans="1:17" hidden="1" x14ac:dyDescent="0.3">
      <c r="A925" s="26" t="s">
        <v>4500</v>
      </c>
      <c r="B925" s="26" t="s">
        <v>4501</v>
      </c>
      <c r="C925" s="26" t="s">
        <v>3608</v>
      </c>
      <c r="D925" s="26" t="s">
        <v>4493</v>
      </c>
      <c r="E925" s="26" t="s">
        <v>761</v>
      </c>
      <c r="F925" s="26" t="s">
        <v>3688</v>
      </c>
      <c r="G925" s="26" t="s">
        <v>4502</v>
      </c>
      <c r="H925" s="26" t="s">
        <v>39</v>
      </c>
      <c r="I925" s="26" t="s">
        <v>1190</v>
      </c>
      <c r="J925" s="11" t="str">
        <f>VLOOKUP(K925,'PN Dictionary'!A:B,2,FALSE)</f>
        <v>GB300 L10</v>
      </c>
      <c r="K925" s="26" t="s">
        <v>3612</v>
      </c>
      <c r="L925" s="26" t="s">
        <v>4461</v>
      </c>
      <c r="M925" s="50" t="s">
        <v>4503</v>
      </c>
      <c r="N925" s="51" t="s">
        <v>53</v>
      </c>
      <c r="O925" s="26" t="s">
        <v>728</v>
      </c>
      <c r="P925" s="26">
        <v>90160</v>
      </c>
      <c r="Q925" s="26" t="s">
        <v>55</v>
      </c>
    </row>
    <row r="926" spans="1:17" hidden="1" x14ac:dyDescent="0.3">
      <c r="A926" s="26" t="s">
        <v>4504</v>
      </c>
      <c r="B926" s="26" t="s">
        <v>4505</v>
      </c>
      <c r="C926" s="26" t="s">
        <v>3608</v>
      </c>
      <c r="D926" s="26" t="s">
        <v>4493</v>
      </c>
      <c r="E926" s="26" t="s">
        <v>761</v>
      </c>
      <c r="F926" s="26" t="s">
        <v>3688</v>
      </c>
      <c r="G926" s="26" t="s">
        <v>4502</v>
      </c>
      <c r="H926" s="26" t="s">
        <v>39</v>
      </c>
      <c r="I926" s="26" t="s">
        <v>1190</v>
      </c>
      <c r="J926" s="11" t="str">
        <f>VLOOKUP(K926,'PN Dictionary'!A:B,2,FALSE)</f>
        <v>GB300 L10</v>
      </c>
      <c r="K926" s="26" t="s">
        <v>3612</v>
      </c>
      <c r="L926" s="26" t="s">
        <v>4503</v>
      </c>
      <c r="M926" s="50" t="s">
        <v>4506</v>
      </c>
      <c r="N926" s="51" t="s">
        <v>53</v>
      </c>
      <c r="O926" s="26" t="s">
        <v>728</v>
      </c>
      <c r="P926" s="26">
        <v>90160</v>
      </c>
      <c r="Q926" s="26" t="s">
        <v>55</v>
      </c>
    </row>
    <row r="927" spans="1:17" hidden="1" x14ac:dyDescent="0.3">
      <c r="A927" s="26" t="s">
        <v>4507</v>
      </c>
      <c r="B927" s="26" t="s">
        <v>4508</v>
      </c>
      <c r="C927" s="26" t="s">
        <v>3608</v>
      </c>
      <c r="D927" s="26" t="s">
        <v>4483</v>
      </c>
      <c r="E927" s="26" t="s">
        <v>761</v>
      </c>
      <c r="F927" s="26" t="s">
        <v>3688</v>
      </c>
      <c r="G927" s="26" t="s">
        <v>4502</v>
      </c>
      <c r="H927" s="26" t="s">
        <v>39</v>
      </c>
      <c r="I927" s="26" t="s">
        <v>1190</v>
      </c>
      <c r="J927" s="11" t="str">
        <f>VLOOKUP(K927,'PN Dictionary'!A:B,2,FALSE)</f>
        <v>GB300 L10</v>
      </c>
      <c r="K927" s="26" t="s">
        <v>3612</v>
      </c>
      <c r="L927" s="26" t="s">
        <v>4346</v>
      </c>
      <c r="M927" s="50" t="s">
        <v>4509</v>
      </c>
      <c r="N927" s="51" t="s">
        <v>53</v>
      </c>
      <c r="O927" s="26" t="s">
        <v>728</v>
      </c>
      <c r="P927" s="26">
        <v>90160</v>
      </c>
      <c r="Q927" s="26" t="s">
        <v>55</v>
      </c>
    </row>
    <row r="928" spans="1:17" hidden="1" x14ac:dyDescent="0.3">
      <c r="A928" s="26" t="s">
        <v>4510</v>
      </c>
      <c r="B928" s="26" t="s">
        <v>4511</v>
      </c>
      <c r="C928" s="26" t="s">
        <v>3608</v>
      </c>
      <c r="D928" s="26" t="s">
        <v>4493</v>
      </c>
      <c r="E928" s="26" t="s">
        <v>761</v>
      </c>
      <c r="F928" s="26" t="s">
        <v>3688</v>
      </c>
      <c r="G928" s="26" t="s">
        <v>4512</v>
      </c>
      <c r="H928" s="26" t="s">
        <v>39</v>
      </c>
      <c r="I928" s="26" t="s">
        <v>1190</v>
      </c>
      <c r="J928" s="11" t="str">
        <f>VLOOKUP(K928,'PN Dictionary'!A:B,2,FALSE)</f>
        <v>GB300 L10</v>
      </c>
      <c r="K928" s="26" t="s">
        <v>3612</v>
      </c>
      <c r="L928" s="26" t="s">
        <v>4513</v>
      </c>
      <c r="M928" s="50" t="s">
        <v>4514</v>
      </c>
      <c r="N928" s="51" t="s">
        <v>53</v>
      </c>
      <c r="O928" s="26" t="s">
        <v>728</v>
      </c>
      <c r="P928" s="26">
        <v>90160</v>
      </c>
      <c r="Q928" s="26" t="s">
        <v>55</v>
      </c>
    </row>
    <row r="929" spans="1:17" x14ac:dyDescent="0.3">
      <c r="A929" s="26" t="s">
        <v>4515</v>
      </c>
      <c r="B929" s="26" t="s">
        <v>4516</v>
      </c>
      <c r="C929" s="26" t="s">
        <v>4309</v>
      </c>
      <c r="D929" s="26" t="s">
        <v>4517</v>
      </c>
      <c r="E929" s="26" t="s">
        <v>230</v>
      </c>
      <c r="F929" s="26" t="s">
        <v>238</v>
      </c>
      <c r="G929" s="26" t="s">
        <v>4512</v>
      </c>
      <c r="H929" s="26" t="s">
        <v>39</v>
      </c>
      <c r="I929" s="26" t="s">
        <v>4518</v>
      </c>
      <c r="J929" s="11" t="str">
        <f>VLOOKUP(K929,'PN Dictionary'!A:B,2,FALSE)</f>
        <v>NVSwitch</v>
      </c>
      <c r="K929" s="26" t="s">
        <v>7</v>
      </c>
      <c r="L929" s="26" t="s">
        <v>4519</v>
      </c>
      <c r="M929" s="50" t="s">
        <v>4520</v>
      </c>
      <c r="N929" s="51" t="s">
        <v>53</v>
      </c>
      <c r="O929" s="26" t="s">
        <v>728</v>
      </c>
      <c r="P929" s="26">
        <v>2984</v>
      </c>
      <c r="Q929" s="26" t="s">
        <v>55</v>
      </c>
    </row>
    <row r="930" spans="1:17" hidden="1" x14ac:dyDescent="0.3">
      <c r="A930" s="26" t="s">
        <v>4521</v>
      </c>
      <c r="B930" s="26" t="s">
        <v>4522</v>
      </c>
      <c r="C930" s="26" t="s">
        <v>3608</v>
      </c>
      <c r="D930" s="26" t="s">
        <v>4493</v>
      </c>
      <c r="E930" s="26" t="s">
        <v>761</v>
      </c>
      <c r="F930" s="26" t="s">
        <v>3688</v>
      </c>
      <c r="G930" s="26" t="s">
        <v>4512</v>
      </c>
      <c r="H930" s="26" t="s">
        <v>39</v>
      </c>
      <c r="I930" s="26" t="s">
        <v>1190</v>
      </c>
      <c r="J930" s="11" t="str">
        <f>VLOOKUP(K930,'PN Dictionary'!A:B,2,FALSE)</f>
        <v>GB300 L10</v>
      </c>
      <c r="K930" s="26" t="s">
        <v>3612</v>
      </c>
      <c r="L930" s="50" t="s">
        <v>3799</v>
      </c>
      <c r="M930" s="51" t="s">
        <v>4464</v>
      </c>
      <c r="N930" s="26" t="s">
        <v>53</v>
      </c>
      <c r="O930" s="26" t="s">
        <v>728</v>
      </c>
      <c r="P930" s="26">
        <v>90160</v>
      </c>
      <c r="Q930" s="26" t="s">
        <v>55</v>
      </c>
    </row>
    <row r="931" spans="1:17" hidden="1" x14ac:dyDescent="0.3">
      <c r="A931" s="26" t="s">
        <v>4523</v>
      </c>
      <c r="B931" s="26" t="s">
        <v>4524</v>
      </c>
      <c r="C931" s="26" t="s">
        <v>4525</v>
      </c>
      <c r="D931" s="26" t="s">
        <v>4526</v>
      </c>
      <c r="E931" s="26" t="s">
        <v>242</v>
      </c>
      <c r="F931" s="26" t="s">
        <v>604</v>
      </c>
      <c r="G931" s="26" t="s">
        <v>4527</v>
      </c>
      <c r="H931" s="26" t="s">
        <v>39</v>
      </c>
      <c r="I931" s="26" t="s">
        <v>4528</v>
      </c>
      <c r="J931" s="11" t="str">
        <f>VLOOKUP(K931,'PN Dictionary'!A:B,2,FALSE)</f>
        <v>Power Shelf Control Module</v>
      </c>
      <c r="K931" s="26" t="s">
        <v>11</v>
      </c>
      <c r="L931" s="50" t="s">
        <v>4529</v>
      </c>
      <c r="M931" s="51" t="s">
        <v>4530</v>
      </c>
      <c r="N931" s="26" t="s">
        <v>53</v>
      </c>
      <c r="O931" s="26" t="s">
        <v>728</v>
      </c>
      <c r="P931" s="26">
        <v>90160</v>
      </c>
      <c r="Q931" s="26" t="s">
        <v>55</v>
      </c>
    </row>
    <row r="932" spans="1:17" hidden="1" x14ac:dyDescent="0.3">
      <c r="A932" s="26" t="s">
        <v>4531</v>
      </c>
      <c r="B932" s="26" t="s">
        <v>4532</v>
      </c>
      <c r="C932" s="26" t="s">
        <v>3608</v>
      </c>
      <c r="D932" s="26" t="s">
        <v>4533</v>
      </c>
      <c r="E932" s="26" t="s">
        <v>128</v>
      </c>
      <c r="F932" s="26" t="s">
        <v>205</v>
      </c>
      <c r="G932" s="26" t="s">
        <v>4527</v>
      </c>
      <c r="H932" s="26" t="s">
        <v>39</v>
      </c>
      <c r="I932" s="26" t="s">
        <v>4534</v>
      </c>
      <c r="J932" s="11" t="str">
        <f>VLOOKUP(K932,'PN Dictionary'!A:B,2,FALSE)</f>
        <v>Cable Cartridge</v>
      </c>
      <c r="K932" s="26" t="s">
        <v>6</v>
      </c>
      <c r="L932" s="50">
        <v>2025125351582</v>
      </c>
      <c r="M932" s="51">
        <v>2025125351872</v>
      </c>
      <c r="N932" s="26" t="s">
        <v>53</v>
      </c>
      <c r="O932" s="26" t="s">
        <v>728</v>
      </c>
      <c r="P932" s="26">
        <v>90160</v>
      </c>
      <c r="Q932" s="26" t="s">
        <v>55</v>
      </c>
    </row>
    <row r="933" spans="1:17" x14ac:dyDescent="0.3">
      <c r="A933" s="26" t="s">
        <v>4535</v>
      </c>
      <c r="B933" s="26" t="s">
        <v>4536</v>
      </c>
      <c r="C933" s="26" t="s">
        <v>4309</v>
      </c>
      <c r="D933" s="26" t="s">
        <v>4537</v>
      </c>
      <c r="E933" s="26" t="s">
        <v>4538</v>
      </c>
      <c r="F933" s="26" t="s">
        <v>4539</v>
      </c>
      <c r="G933" s="26" t="s">
        <v>4527</v>
      </c>
      <c r="H933" s="26" t="s">
        <v>39</v>
      </c>
      <c r="I933" s="26" t="s">
        <v>4540</v>
      </c>
      <c r="J933" s="11" t="str">
        <f>VLOOKUP(K933,'PN Dictionary'!A:B,2,FALSE)</f>
        <v>GB300 L10</v>
      </c>
      <c r="K933" s="26" t="s">
        <v>4318</v>
      </c>
      <c r="L933" s="50" t="s">
        <v>4541</v>
      </c>
      <c r="M933" s="51" t="s">
        <v>4542</v>
      </c>
      <c r="N933" s="26" t="s">
        <v>53</v>
      </c>
      <c r="O933" s="26" t="s">
        <v>728</v>
      </c>
      <c r="P933" s="26">
        <v>90160</v>
      </c>
      <c r="Q933" s="26" t="s">
        <v>55</v>
      </c>
    </row>
    <row r="934" spans="1:17" hidden="1" x14ac:dyDescent="0.3">
      <c r="A934" s="26" t="s">
        <v>4544</v>
      </c>
      <c r="B934" s="26" t="s">
        <v>4545</v>
      </c>
      <c r="C934" s="26" t="s">
        <v>4525</v>
      </c>
      <c r="D934" s="26" t="s">
        <v>4546</v>
      </c>
      <c r="E934" s="26" t="s">
        <v>761</v>
      </c>
      <c r="F934" s="26" t="s">
        <v>3688</v>
      </c>
      <c r="G934" s="26" t="s">
        <v>4527</v>
      </c>
      <c r="H934" s="26" t="s">
        <v>39</v>
      </c>
      <c r="I934" s="26" t="s">
        <v>1190</v>
      </c>
      <c r="J934" s="11" t="str">
        <f>VLOOKUP(K934,'PN Dictionary'!A:B,2,FALSE)</f>
        <v>GB300 L10</v>
      </c>
      <c r="K934" s="26" t="s">
        <v>3612</v>
      </c>
      <c r="L934" s="26" t="s">
        <v>4346</v>
      </c>
      <c r="M934" s="50" t="s">
        <v>4513</v>
      </c>
      <c r="N934" s="51" t="s">
        <v>53</v>
      </c>
      <c r="O934" s="26" t="s">
        <v>728</v>
      </c>
      <c r="P934" s="26">
        <v>90160</v>
      </c>
      <c r="Q934" s="26" t="s">
        <v>55</v>
      </c>
    </row>
    <row r="935" spans="1:17" x14ac:dyDescent="0.3">
      <c r="A935" s="26" t="s">
        <v>4547</v>
      </c>
      <c r="B935" s="26" t="s">
        <v>4548</v>
      </c>
      <c r="C935" s="26" t="s">
        <v>4309</v>
      </c>
      <c r="D935" s="26" t="s">
        <v>4549</v>
      </c>
      <c r="E935" s="26" t="s">
        <v>128</v>
      </c>
      <c r="F935" s="26" t="s">
        <v>205</v>
      </c>
      <c r="G935" s="26" t="s">
        <v>4550</v>
      </c>
      <c r="H935" s="26" t="s">
        <v>39</v>
      </c>
      <c r="I935" s="26" t="s">
        <v>4551</v>
      </c>
      <c r="J935" s="11" t="str">
        <f>VLOOKUP(K935,'PN Dictionary'!A:B,2,FALSE)</f>
        <v>Cable Cartridge</v>
      </c>
      <c r="K935" s="26" t="s">
        <v>6</v>
      </c>
      <c r="L935" s="26">
        <v>2025125351658</v>
      </c>
      <c r="M935" s="50">
        <v>2025125351714</v>
      </c>
      <c r="N935" s="51" t="s">
        <v>53</v>
      </c>
      <c r="O935" s="26" t="s">
        <v>728</v>
      </c>
      <c r="P935" s="26">
        <v>90160</v>
      </c>
      <c r="Q935" s="26" t="s">
        <v>55</v>
      </c>
    </row>
    <row r="936" spans="1:17" x14ac:dyDescent="0.3">
      <c r="A936" s="26" t="s">
        <v>4552</v>
      </c>
      <c r="B936" s="26" t="s">
        <v>4553</v>
      </c>
      <c r="C936" s="26" t="s">
        <v>4309</v>
      </c>
      <c r="D936" s="26" t="s">
        <v>4554</v>
      </c>
      <c r="E936" s="26" t="s">
        <v>380</v>
      </c>
      <c r="F936" s="26" t="s">
        <v>620</v>
      </c>
      <c r="G936" s="26" t="s">
        <v>4550</v>
      </c>
      <c r="H936" s="26" t="s">
        <v>39</v>
      </c>
      <c r="I936" s="26" t="s">
        <v>990</v>
      </c>
      <c r="J936" s="11" t="str">
        <f>VLOOKUP(K936,'PN Dictionary'!A:B,2,FALSE)</f>
        <v>GB300 L10</v>
      </c>
      <c r="K936" s="26" t="s">
        <v>4318</v>
      </c>
      <c r="L936" s="26" t="s">
        <v>4555</v>
      </c>
      <c r="M936" s="50" t="s">
        <v>4556</v>
      </c>
      <c r="N936" s="51" t="s">
        <v>53</v>
      </c>
      <c r="O936" s="26" t="s">
        <v>728</v>
      </c>
      <c r="P936" s="26">
        <v>90131</v>
      </c>
      <c r="Q936" s="26" t="s">
        <v>55</v>
      </c>
    </row>
    <row r="937" spans="1:17" x14ac:dyDescent="0.3">
      <c r="A937" s="26" t="s">
        <v>4557</v>
      </c>
      <c r="B937" s="26" t="s">
        <v>4558</v>
      </c>
      <c r="C937" s="26" t="s">
        <v>4309</v>
      </c>
      <c r="D937" s="26" t="s">
        <v>4559</v>
      </c>
      <c r="E937" s="26" t="s">
        <v>761</v>
      </c>
      <c r="F937" s="26" t="s">
        <v>3688</v>
      </c>
      <c r="G937" s="26" t="s">
        <v>4550</v>
      </c>
      <c r="H937" s="26" t="s">
        <v>39</v>
      </c>
      <c r="I937" s="26" t="s">
        <v>4560</v>
      </c>
      <c r="J937" s="11" t="str">
        <f>VLOOKUP(K937,'PN Dictionary'!A:B,2,FALSE)</f>
        <v>GB300 L10</v>
      </c>
      <c r="K937" s="26" t="s">
        <v>4318</v>
      </c>
      <c r="L937" s="26" t="s">
        <v>4561</v>
      </c>
      <c r="M937" s="50" t="s">
        <v>4562</v>
      </c>
      <c r="N937" s="51" t="s">
        <v>53</v>
      </c>
      <c r="O937" s="26" t="s">
        <v>728</v>
      </c>
      <c r="P937" s="26">
        <v>90131</v>
      </c>
      <c r="Q937" s="26" t="s">
        <v>55</v>
      </c>
    </row>
    <row r="938" spans="1:17" hidden="1" x14ac:dyDescent="0.3">
      <c r="A938" s="26" t="s">
        <v>4563</v>
      </c>
      <c r="B938" s="26" t="s">
        <v>4564</v>
      </c>
      <c r="C938" s="26" t="s">
        <v>3608</v>
      </c>
      <c r="D938" s="26" t="s">
        <v>4565</v>
      </c>
      <c r="E938" s="26" t="s">
        <v>761</v>
      </c>
      <c r="F938" s="26" t="s">
        <v>3688</v>
      </c>
      <c r="G938" s="26" t="s">
        <v>4550</v>
      </c>
      <c r="H938" s="26" t="s">
        <v>39</v>
      </c>
      <c r="I938" s="26" t="s">
        <v>1190</v>
      </c>
      <c r="J938" s="11" t="str">
        <f>VLOOKUP(K938,'PN Dictionary'!A:B,2,FALSE)</f>
        <v>GB300 L10</v>
      </c>
      <c r="K938" s="26" t="s">
        <v>3612</v>
      </c>
      <c r="L938" s="26" t="s">
        <v>4566</v>
      </c>
      <c r="M938" s="50" t="s">
        <v>4567</v>
      </c>
      <c r="N938" s="51" t="s">
        <v>53</v>
      </c>
      <c r="O938" s="26" t="s">
        <v>728</v>
      </c>
      <c r="P938" s="26">
        <v>90160</v>
      </c>
      <c r="Q938" s="26" t="s">
        <v>55</v>
      </c>
    </row>
    <row r="939" spans="1:17" x14ac:dyDescent="0.3">
      <c r="A939" s="26" t="s">
        <v>4568</v>
      </c>
      <c r="B939" s="26" t="s">
        <v>4569</v>
      </c>
      <c r="C939" s="26" t="s">
        <v>4309</v>
      </c>
      <c r="D939" s="26" t="s">
        <v>4570</v>
      </c>
      <c r="E939" s="26" t="s">
        <v>374</v>
      </c>
      <c r="F939" s="26" t="s">
        <v>3893</v>
      </c>
      <c r="G939" s="26" t="s">
        <v>4550</v>
      </c>
      <c r="H939" s="26" t="s">
        <v>39</v>
      </c>
      <c r="I939" s="26" t="s">
        <v>4571</v>
      </c>
      <c r="J939" s="11" t="str">
        <f>VLOOKUP(K939,'PN Dictionary'!A:B,2,FALSE)</f>
        <v>GB300 L10</v>
      </c>
      <c r="K939" s="26" t="s">
        <v>4318</v>
      </c>
      <c r="L939" s="26" t="s">
        <v>4572</v>
      </c>
      <c r="M939" s="50" t="s">
        <v>4573</v>
      </c>
      <c r="N939" s="51" t="s">
        <v>53</v>
      </c>
      <c r="O939" s="26" t="s">
        <v>728</v>
      </c>
      <c r="P939" s="26">
        <v>924</v>
      </c>
      <c r="Q939" s="26" t="s">
        <v>55</v>
      </c>
    </row>
    <row r="940" spans="1:17" x14ac:dyDescent="0.3">
      <c r="A940" s="26" t="s">
        <v>4574</v>
      </c>
      <c r="B940" s="26" t="s">
        <v>4575</v>
      </c>
      <c r="C940" s="26" t="s">
        <v>4309</v>
      </c>
      <c r="D940" s="26" t="s">
        <v>4559</v>
      </c>
      <c r="E940" s="26" t="s">
        <v>52</v>
      </c>
      <c r="F940" s="26" t="s">
        <v>79</v>
      </c>
      <c r="G940" s="26" t="s">
        <v>4550</v>
      </c>
      <c r="H940" s="26" t="s">
        <v>39</v>
      </c>
      <c r="I940" s="26" t="s">
        <v>79</v>
      </c>
      <c r="J940" s="11" t="str">
        <f>VLOOKUP(K940,'PN Dictionary'!A:B,2,FALSE)</f>
        <v>GB300 L10</v>
      </c>
      <c r="K940" s="26" t="s">
        <v>4318</v>
      </c>
      <c r="L940" s="26" t="s">
        <v>4562</v>
      </c>
      <c r="M940" s="50" t="s">
        <v>4576</v>
      </c>
      <c r="N940" s="51" t="s">
        <v>53</v>
      </c>
      <c r="O940" s="26" t="s">
        <v>728</v>
      </c>
      <c r="P940" s="26">
        <v>640</v>
      </c>
      <c r="Q940" s="26" t="s">
        <v>55</v>
      </c>
    </row>
    <row r="941" spans="1:17" x14ac:dyDescent="0.3">
      <c r="A941" s="26" t="s">
        <v>4577</v>
      </c>
      <c r="B941" s="26" t="s">
        <v>4578</v>
      </c>
      <c r="C941" s="26" t="s">
        <v>4309</v>
      </c>
      <c r="D941" s="26" t="s">
        <v>4579</v>
      </c>
      <c r="E941" s="26" t="s">
        <v>128</v>
      </c>
      <c r="F941" s="26" t="s">
        <v>205</v>
      </c>
      <c r="G941" s="26" t="s">
        <v>4550</v>
      </c>
      <c r="H941" s="26" t="s">
        <v>39</v>
      </c>
      <c r="I941" s="26" t="s">
        <v>4580</v>
      </c>
      <c r="J941" s="11" t="str">
        <f>VLOOKUP(K941,'PN Dictionary'!A:B,2,FALSE)</f>
        <v>Cable Cartridge</v>
      </c>
      <c r="K941" s="26" t="s">
        <v>6</v>
      </c>
      <c r="L941" s="26">
        <v>1820626356948</v>
      </c>
      <c r="M941" s="50">
        <v>1820626356459</v>
      </c>
      <c r="N941" s="51" t="s">
        <v>53</v>
      </c>
      <c r="O941" s="26" t="s">
        <v>728</v>
      </c>
      <c r="P941" s="26">
        <v>90131</v>
      </c>
      <c r="Q941" s="26" t="s">
        <v>55</v>
      </c>
    </row>
    <row r="942" spans="1:17" x14ac:dyDescent="0.3">
      <c r="A942" s="26" t="s">
        <v>4581</v>
      </c>
      <c r="B942" s="26" t="s">
        <v>4582</v>
      </c>
      <c r="C942" s="26" t="s">
        <v>4309</v>
      </c>
      <c r="D942" s="26" t="s">
        <v>4579</v>
      </c>
      <c r="E942" s="26" t="s">
        <v>128</v>
      </c>
      <c r="F942" s="26" t="s">
        <v>205</v>
      </c>
      <c r="G942" s="26" t="s">
        <v>4550</v>
      </c>
      <c r="H942" s="26" t="s">
        <v>39</v>
      </c>
      <c r="I942" s="26" t="s">
        <v>4583</v>
      </c>
      <c r="J942" s="11" t="str">
        <f>VLOOKUP(K942,'PN Dictionary'!A:B,2,FALSE)</f>
        <v>Cable Cartridge</v>
      </c>
      <c r="K942" s="26" t="s">
        <v>6</v>
      </c>
      <c r="L942" s="26">
        <v>1820626356512</v>
      </c>
      <c r="M942" s="50">
        <v>1820626357042</v>
      </c>
      <c r="N942" s="51" t="s">
        <v>53</v>
      </c>
      <c r="O942" s="26" t="s">
        <v>728</v>
      </c>
      <c r="P942" s="26">
        <v>90131</v>
      </c>
      <c r="Q942" s="26" t="s">
        <v>55</v>
      </c>
    </row>
    <row r="943" spans="1:17" x14ac:dyDescent="0.3">
      <c r="A943" s="26" t="s">
        <v>4584</v>
      </c>
      <c r="B943" s="26" t="s">
        <v>4585</v>
      </c>
      <c r="C943" s="26" t="s">
        <v>4309</v>
      </c>
      <c r="D943" s="26" t="s">
        <v>4586</v>
      </c>
      <c r="E943" s="26" t="s">
        <v>4587</v>
      </c>
      <c r="F943" s="26" t="s">
        <v>4588</v>
      </c>
      <c r="G943" s="26" t="s">
        <v>4550</v>
      </c>
      <c r="H943" s="26" t="s">
        <v>39</v>
      </c>
      <c r="I943" s="26" t="s">
        <v>93</v>
      </c>
      <c r="J943" s="11" t="str">
        <f>VLOOKUP(K943,'PN Dictionary'!A:B,2,FALSE)</f>
        <v>GB300 L10</v>
      </c>
      <c r="K943" s="26" t="s">
        <v>4318</v>
      </c>
      <c r="L943" s="26" t="s">
        <v>4589</v>
      </c>
      <c r="M943" s="50" t="s">
        <v>4590</v>
      </c>
      <c r="N943" s="51" t="s">
        <v>53</v>
      </c>
      <c r="O943" s="26" t="s">
        <v>728</v>
      </c>
      <c r="P943" s="26">
        <v>90131</v>
      </c>
      <c r="Q943" s="26" t="s">
        <v>55</v>
      </c>
    </row>
    <row r="944" spans="1:17" x14ac:dyDescent="0.3">
      <c r="A944" s="26" t="s">
        <v>4591</v>
      </c>
      <c r="B944" s="26" t="s">
        <v>4592</v>
      </c>
      <c r="C944" s="26" t="s">
        <v>4309</v>
      </c>
      <c r="D944" s="26" t="s">
        <v>4593</v>
      </c>
      <c r="E944" s="26" t="s">
        <v>761</v>
      </c>
      <c r="F944" s="26" t="s">
        <v>3688</v>
      </c>
      <c r="G944" s="26" t="s">
        <v>4594</v>
      </c>
      <c r="H944" s="26" t="s">
        <v>39</v>
      </c>
      <c r="I944" s="26" t="s">
        <v>375</v>
      </c>
      <c r="J944" s="11" t="str">
        <f>VLOOKUP(K944,'PN Dictionary'!A:B,2,FALSE)</f>
        <v>GB300 L10</v>
      </c>
      <c r="K944" s="26" t="s">
        <v>4318</v>
      </c>
      <c r="L944" s="26" t="s">
        <v>4595</v>
      </c>
      <c r="M944" s="50" t="s">
        <v>4596</v>
      </c>
      <c r="N944" s="51" t="s">
        <v>53</v>
      </c>
      <c r="O944" s="26" t="s">
        <v>728</v>
      </c>
      <c r="P944" s="26">
        <v>90131</v>
      </c>
      <c r="Q944" s="26" t="s">
        <v>55</v>
      </c>
    </row>
    <row r="945" spans="1:17" x14ac:dyDescent="0.3">
      <c r="A945" s="26" t="s">
        <v>4597</v>
      </c>
      <c r="B945" s="26" t="s">
        <v>4598</v>
      </c>
      <c r="C945" s="26" t="s">
        <v>4309</v>
      </c>
      <c r="D945" s="26" t="s">
        <v>4599</v>
      </c>
      <c r="E945" s="26" t="s">
        <v>3881</v>
      </c>
      <c r="F945" s="26" t="s">
        <v>3882</v>
      </c>
      <c r="G945" s="26" t="s">
        <v>4594</v>
      </c>
      <c r="H945" s="26" t="s">
        <v>39</v>
      </c>
      <c r="I945" s="26" t="s">
        <v>3882</v>
      </c>
      <c r="J945" s="11" t="str">
        <f>VLOOKUP(K945,'PN Dictionary'!A:B,2,FALSE)</f>
        <v>GB300 L10</v>
      </c>
      <c r="K945" s="26" t="s">
        <v>4318</v>
      </c>
      <c r="L945" s="26" t="s">
        <v>4600</v>
      </c>
      <c r="M945" s="50" t="s">
        <v>4601</v>
      </c>
      <c r="N945" s="51" t="s">
        <v>53</v>
      </c>
      <c r="O945" s="26" t="s">
        <v>728</v>
      </c>
      <c r="P945" s="26">
        <v>90185</v>
      </c>
      <c r="Q945" s="26" t="s">
        <v>55</v>
      </c>
    </row>
    <row r="946" spans="1:17" x14ac:dyDescent="0.3">
      <c r="A946" s="26" t="s">
        <v>4602</v>
      </c>
      <c r="B946" s="26" t="s">
        <v>4603</v>
      </c>
      <c r="C946" s="26" t="s">
        <v>4309</v>
      </c>
      <c r="D946" s="26" t="s">
        <v>4604</v>
      </c>
      <c r="E946" s="26" t="s">
        <v>3881</v>
      </c>
      <c r="F946" s="26" t="s">
        <v>3882</v>
      </c>
      <c r="G946" s="26" t="s">
        <v>4594</v>
      </c>
      <c r="H946" s="26" t="s">
        <v>39</v>
      </c>
      <c r="I946" s="26" t="s">
        <v>3882</v>
      </c>
      <c r="J946" s="11" t="str">
        <f>VLOOKUP(K946,'PN Dictionary'!A:B,2,FALSE)</f>
        <v>GB300 L10</v>
      </c>
      <c r="K946" s="26" t="s">
        <v>4318</v>
      </c>
      <c r="L946" s="26" t="s">
        <v>4605</v>
      </c>
      <c r="M946" s="50" t="s">
        <v>4601</v>
      </c>
      <c r="N946" s="51" t="s">
        <v>53</v>
      </c>
      <c r="O946" s="26" t="s">
        <v>728</v>
      </c>
      <c r="P946" s="26">
        <v>90185</v>
      </c>
      <c r="Q946" s="26" t="s">
        <v>55</v>
      </c>
    </row>
    <row r="947" spans="1:17" x14ac:dyDescent="0.3">
      <c r="A947" s="26" t="s">
        <v>4606</v>
      </c>
      <c r="B947" s="26" t="s">
        <v>4607</v>
      </c>
      <c r="C947" s="26" t="s">
        <v>4309</v>
      </c>
      <c r="D947" s="26" t="s">
        <v>4608</v>
      </c>
      <c r="E947" s="26" t="s">
        <v>761</v>
      </c>
      <c r="F947" s="26" t="s">
        <v>3688</v>
      </c>
      <c r="G947" s="26" t="s">
        <v>4594</v>
      </c>
      <c r="H947" s="26" t="s">
        <v>39</v>
      </c>
      <c r="I947" s="26" t="s">
        <v>3688</v>
      </c>
      <c r="J947" s="11" t="str">
        <f>VLOOKUP(K947,'PN Dictionary'!A:B,2,FALSE)</f>
        <v>GB300 L10</v>
      </c>
      <c r="K947" s="26" t="s">
        <v>4318</v>
      </c>
      <c r="L947" s="26" t="s">
        <v>4609</v>
      </c>
      <c r="M947" s="50" t="s">
        <v>4610</v>
      </c>
      <c r="N947" s="51" t="s">
        <v>53</v>
      </c>
      <c r="O947" s="26" t="s">
        <v>728</v>
      </c>
      <c r="P947" s="26">
        <v>90185</v>
      </c>
      <c r="Q947" s="26" t="s">
        <v>55</v>
      </c>
    </row>
    <row r="948" spans="1:17" x14ac:dyDescent="0.3">
      <c r="A948" s="26" t="s">
        <v>4611</v>
      </c>
      <c r="B948" s="26" t="s">
        <v>4612</v>
      </c>
      <c r="C948" s="26" t="s">
        <v>4309</v>
      </c>
      <c r="D948" s="26" t="s">
        <v>4613</v>
      </c>
      <c r="E948" s="26" t="s">
        <v>761</v>
      </c>
      <c r="F948" s="26" t="s">
        <v>3688</v>
      </c>
      <c r="G948" s="26" t="s">
        <v>4594</v>
      </c>
      <c r="H948" s="26" t="s">
        <v>39</v>
      </c>
      <c r="I948" s="26" t="s">
        <v>3688</v>
      </c>
      <c r="J948" s="11" t="str">
        <f>VLOOKUP(K948,'PN Dictionary'!A:B,2,FALSE)</f>
        <v>GB300 L10</v>
      </c>
      <c r="K948" s="26" t="s">
        <v>4318</v>
      </c>
      <c r="L948" s="26" t="s">
        <v>4614</v>
      </c>
      <c r="M948" s="50" t="s">
        <v>4615</v>
      </c>
      <c r="N948" s="51" t="s">
        <v>53</v>
      </c>
      <c r="O948" s="26" t="s">
        <v>728</v>
      </c>
      <c r="P948" s="26">
        <v>3908</v>
      </c>
      <c r="Q948" s="26" t="s">
        <v>55</v>
      </c>
    </row>
    <row r="949" spans="1:17" x14ac:dyDescent="0.3">
      <c r="A949" s="26" t="s">
        <v>4616</v>
      </c>
      <c r="B949" s="26" t="s">
        <v>4617</v>
      </c>
      <c r="C949" s="26" t="s">
        <v>4309</v>
      </c>
      <c r="D949" s="26" t="s">
        <v>4586</v>
      </c>
      <c r="E949" s="26" t="s">
        <v>761</v>
      </c>
      <c r="F949" s="26" t="s">
        <v>3688</v>
      </c>
      <c r="G949" s="26" t="s">
        <v>4594</v>
      </c>
      <c r="H949" s="26" t="s">
        <v>39</v>
      </c>
      <c r="I949" s="26" t="s">
        <v>4618</v>
      </c>
      <c r="J949" s="11" t="str">
        <f>VLOOKUP(K949,'PN Dictionary'!A:B,2,FALSE)</f>
        <v>GB300 L10</v>
      </c>
      <c r="K949" s="26" t="s">
        <v>4318</v>
      </c>
      <c r="L949" s="26" t="s">
        <v>4590</v>
      </c>
      <c r="M949" s="50" t="s">
        <v>4619</v>
      </c>
      <c r="N949" s="51" t="s">
        <v>53</v>
      </c>
      <c r="O949" s="26" t="s">
        <v>728</v>
      </c>
      <c r="P949" s="26">
        <v>1519</v>
      </c>
      <c r="Q949" s="26" t="s">
        <v>55</v>
      </c>
    </row>
    <row r="950" spans="1:17" x14ac:dyDescent="0.3">
      <c r="A950" s="26" t="s">
        <v>4620</v>
      </c>
      <c r="B950" s="26" t="s">
        <v>4621</v>
      </c>
      <c r="C950" s="26" t="s">
        <v>4309</v>
      </c>
      <c r="D950" s="26" t="s">
        <v>4622</v>
      </c>
      <c r="E950" s="26" t="s">
        <v>4220</v>
      </c>
      <c r="F950" s="26" t="s">
        <v>4221</v>
      </c>
      <c r="G950" s="26" t="s">
        <v>4594</v>
      </c>
      <c r="H950" s="26" t="s">
        <v>39</v>
      </c>
      <c r="I950" s="26" t="s">
        <v>4623</v>
      </c>
      <c r="J950" s="11" t="str">
        <f>VLOOKUP(K950,'PN Dictionary'!A:B,2,FALSE)</f>
        <v>GB300 L10</v>
      </c>
      <c r="K950" s="26" t="s">
        <v>4318</v>
      </c>
      <c r="L950" s="26" t="s">
        <v>4624</v>
      </c>
      <c r="M950" s="50" t="s">
        <v>4625</v>
      </c>
      <c r="N950" s="51" t="s">
        <v>53</v>
      </c>
      <c r="O950" s="26" t="s">
        <v>728</v>
      </c>
      <c r="P950" s="26">
        <v>1519</v>
      </c>
      <c r="Q950" s="26" t="s">
        <v>55</v>
      </c>
    </row>
    <row r="951" spans="1:17" x14ac:dyDescent="0.3">
      <c r="A951" s="26" t="s">
        <v>4626</v>
      </c>
      <c r="B951" s="26" t="s">
        <v>4627</v>
      </c>
      <c r="C951" s="26" t="s">
        <v>4309</v>
      </c>
      <c r="D951" s="26" t="s">
        <v>4628</v>
      </c>
      <c r="E951" s="26" t="s">
        <v>633</v>
      </c>
      <c r="F951" s="26" t="s">
        <v>1796</v>
      </c>
      <c r="G951" s="26" t="s">
        <v>4594</v>
      </c>
      <c r="H951" s="26" t="s">
        <v>39</v>
      </c>
      <c r="I951" s="26" t="s">
        <v>2143</v>
      </c>
      <c r="J951" s="11" t="str">
        <f>VLOOKUP(K951,'PN Dictionary'!A:B,2,FALSE)</f>
        <v>GB300 L10</v>
      </c>
      <c r="K951" s="26" t="s">
        <v>4318</v>
      </c>
      <c r="L951" s="26" t="s">
        <v>4629</v>
      </c>
      <c r="M951" s="50" t="s">
        <v>4590</v>
      </c>
      <c r="N951" s="51" t="s">
        <v>53</v>
      </c>
      <c r="O951" s="26" t="s">
        <v>728</v>
      </c>
      <c r="P951" s="26">
        <v>1519</v>
      </c>
      <c r="Q951" s="26" t="s">
        <v>55</v>
      </c>
    </row>
    <row r="952" spans="1:17" hidden="1" x14ac:dyDescent="0.3">
      <c r="A952" s="26" t="s">
        <v>4630</v>
      </c>
      <c r="B952" s="26" t="s">
        <v>4631</v>
      </c>
      <c r="C952" s="26" t="s">
        <v>3608</v>
      </c>
      <c r="D952" s="26" t="s">
        <v>4632</v>
      </c>
      <c r="E952" s="26" t="s">
        <v>761</v>
      </c>
      <c r="F952" s="26" t="s">
        <v>3688</v>
      </c>
      <c r="G952" s="26" t="s">
        <v>4594</v>
      </c>
      <c r="H952" s="26" t="s">
        <v>39</v>
      </c>
      <c r="I952" s="26" t="s">
        <v>3688</v>
      </c>
      <c r="J952" s="11" t="str">
        <f>VLOOKUP(K952,'PN Dictionary'!A:B,2,FALSE)</f>
        <v>GB300 L10</v>
      </c>
      <c r="K952" s="26" t="s">
        <v>3612</v>
      </c>
      <c r="L952" s="26" t="s">
        <v>3734</v>
      </c>
      <c r="M952" s="50" t="s">
        <v>4633</v>
      </c>
      <c r="N952" s="51" t="s">
        <v>53</v>
      </c>
      <c r="O952" s="26" t="s">
        <v>728</v>
      </c>
      <c r="P952" s="26">
        <v>3908</v>
      </c>
      <c r="Q952" s="26" t="s">
        <v>55</v>
      </c>
    </row>
    <row r="953" spans="1:17" x14ac:dyDescent="0.3">
      <c r="A953" s="26" t="s">
        <v>4634</v>
      </c>
      <c r="B953" s="26" t="s">
        <v>4635</v>
      </c>
      <c r="C953" s="26" t="s">
        <v>4309</v>
      </c>
      <c r="D953" s="26" t="s">
        <v>4628</v>
      </c>
      <c r="E953" s="26" t="s">
        <v>633</v>
      </c>
      <c r="F953" s="26" t="s">
        <v>1796</v>
      </c>
      <c r="G953" s="26" t="s">
        <v>4594</v>
      </c>
      <c r="H953" s="26" t="s">
        <v>39</v>
      </c>
      <c r="I953" s="26" t="s">
        <v>1796</v>
      </c>
      <c r="J953" s="11" t="str">
        <f>VLOOKUP(K953,'PN Dictionary'!A:B,2,FALSE)</f>
        <v>GB300 L10</v>
      </c>
      <c r="K953" s="26" t="s">
        <v>4318</v>
      </c>
      <c r="L953" s="26" t="s">
        <v>4636</v>
      </c>
      <c r="M953" s="50" t="s">
        <v>4629</v>
      </c>
      <c r="N953" s="51" t="s">
        <v>53</v>
      </c>
      <c r="O953" s="26" t="s">
        <v>728</v>
      </c>
      <c r="P953" s="26">
        <v>1519</v>
      </c>
      <c r="Q953" s="26" t="s">
        <v>55</v>
      </c>
    </row>
    <row r="954" spans="1:17" x14ac:dyDescent="0.3">
      <c r="A954" s="26" t="s">
        <v>4637</v>
      </c>
      <c r="B954" s="26" t="s">
        <v>4638</v>
      </c>
      <c r="C954" s="26" t="s">
        <v>4309</v>
      </c>
      <c r="D954" s="26" t="s">
        <v>4622</v>
      </c>
      <c r="E954" s="26" t="s">
        <v>4220</v>
      </c>
      <c r="F954" s="26" t="s">
        <v>4221</v>
      </c>
      <c r="G954" s="26" t="s">
        <v>4594</v>
      </c>
      <c r="H954" s="26" t="s">
        <v>39</v>
      </c>
      <c r="I954" s="26" t="s">
        <v>4221</v>
      </c>
      <c r="J954" s="11" t="str">
        <f>VLOOKUP(K954,'PN Dictionary'!A:B,2,FALSE)</f>
        <v>GB300 L10</v>
      </c>
      <c r="K954" s="26" t="s">
        <v>4318</v>
      </c>
      <c r="L954" s="26" t="s">
        <v>4624</v>
      </c>
      <c r="M954" s="50" t="s">
        <v>4625</v>
      </c>
      <c r="N954" s="51" t="s">
        <v>53</v>
      </c>
      <c r="O954" s="26" t="s">
        <v>728</v>
      </c>
      <c r="P954" s="26">
        <v>1519</v>
      </c>
      <c r="Q954" s="26" t="s">
        <v>55</v>
      </c>
    </row>
    <row r="955" spans="1:17" hidden="1" x14ac:dyDescent="0.3">
      <c r="A955" s="26" t="s">
        <v>4639</v>
      </c>
      <c r="B955" s="26" t="s">
        <v>4640</v>
      </c>
      <c r="C955" s="26" t="s">
        <v>3608</v>
      </c>
      <c r="D955" s="26" t="s">
        <v>4632</v>
      </c>
      <c r="E955" s="26" t="s">
        <v>761</v>
      </c>
      <c r="F955" s="26" t="s">
        <v>3688</v>
      </c>
      <c r="G955" s="26" t="s">
        <v>4594</v>
      </c>
      <c r="H955" s="26" t="s">
        <v>39</v>
      </c>
      <c r="I955" s="26" t="s">
        <v>1190</v>
      </c>
      <c r="J955" s="11" t="str">
        <f>VLOOKUP(K955,'PN Dictionary'!A:B,2,FALSE)</f>
        <v>GB300 L10</v>
      </c>
      <c r="K955" s="26" t="s">
        <v>4318</v>
      </c>
      <c r="L955" s="26" t="s">
        <v>4566</v>
      </c>
      <c r="M955" s="50" t="s">
        <v>4641</v>
      </c>
      <c r="N955" s="51" t="s">
        <v>53</v>
      </c>
      <c r="O955" s="26" t="s">
        <v>728</v>
      </c>
      <c r="P955" s="26">
        <v>3908</v>
      </c>
      <c r="Q955" s="26" t="s">
        <v>55</v>
      </c>
    </row>
    <row r="956" spans="1:17" hidden="1" x14ac:dyDescent="0.3">
      <c r="A956" s="26" t="s">
        <v>4642</v>
      </c>
      <c r="B956" s="26" t="s">
        <v>4643</v>
      </c>
      <c r="C956" s="26" t="s">
        <v>3608</v>
      </c>
      <c r="D956" s="26" t="s">
        <v>4632</v>
      </c>
      <c r="E956" s="26" t="s">
        <v>4644</v>
      </c>
      <c r="F956" s="26" t="s">
        <v>4645</v>
      </c>
      <c r="G956" s="26" t="s">
        <v>4646</v>
      </c>
      <c r="H956" s="26" t="s">
        <v>39</v>
      </c>
      <c r="I956" s="26" t="s">
        <v>4647</v>
      </c>
      <c r="J956" s="11" t="str">
        <f>VLOOKUP(K956,'PN Dictionary'!A:B,2,FALSE)</f>
        <v>GB300 L10</v>
      </c>
      <c r="K956" s="26" t="s">
        <v>3612</v>
      </c>
      <c r="L956" s="26" t="s">
        <v>3777</v>
      </c>
      <c r="M956" s="50" t="s">
        <v>4648</v>
      </c>
      <c r="N956" s="51" t="s">
        <v>53</v>
      </c>
      <c r="O956" s="26" t="s">
        <v>728</v>
      </c>
      <c r="P956" s="26">
        <v>90185</v>
      </c>
      <c r="Q956" s="26" t="s">
        <v>55</v>
      </c>
    </row>
    <row r="957" spans="1:17" hidden="1" x14ac:dyDescent="0.3">
      <c r="A957" s="26" t="s">
        <v>4649</v>
      </c>
      <c r="B957" s="26" t="s">
        <v>4650</v>
      </c>
      <c r="C957" s="26" t="s">
        <v>3608</v>
      </c>
      <c r="D957" s="26" t="s">
        <v>4632</v>
      </c>
      <c r="E957" s="26" t="s">
        <v>128</v>
      </c>
      <c r="F957" s="26" t="s">
        <v>205</v>
      </c>
      <c r="G957" s="26" t="s">
        <v>4646</v>
      </c>
      <c r="H957" s="26" t="s">
        <v>39</v>
      </c>
      <c r="I957" s="26" t="s">
        <v>2010</v>
      </c>
      <c r="J957" s="11" t="str">
        <f>VLOOKUP(K957,'PN Dictionary'!A:B,2,FALSE)</f>
        <v>GB300 L10</v>
      </c>
      <c r="K957" s="26" t="s">
        <v>3612</v>
      </c>
      <c r="L957" s="26" t="s">
        <v>4651</v>
      </c>
      <c r="M957" s="50" t="s">
        <v>3734</v>
      </c>
      <c r="N957" s="51" t="s">
        <v>53</v>
      </c>
      <c r="O957" s="26" t="s">
        <v>728</v>
      </c>
      <c r="P957" s="26">
        <v>90185</v>
      </c>
      <c r="Q957" s="26" t="s">
        <v>55</v>
      </c>
    </row>
    <row r="958" spans="1:17" hidden="1" x14ac:dyDescent="0.3">
      <c r="A958" s="26" t="s">
        <v>4652</v>
      </c>
      <c r="B958" s="26" t="s">
        <v>4653</v>
      </c>
      <c r="C958" s="26" t="s">
        <v>4525</v>
      </c>
      <c r="D958" s="26" t="s">
        <v>4546</v>
      </c>
      <c r="E958" s="26" t="s">
        <v>4644</v>
      </c>
      <c r="F958" s="26" t="s">
        <v>4645</v>
      </c>
      <c r="G958" s="26" t="s">
        <v>4646</v>
      </c>
      <c r="H958" s="26" t="s">
        <v>39</v>
      </c>
      <c r="I958" s="26" t="s">
        <v>4654</v>
      </c>
      <c r="J958" s="11" t="str">
        <f>VLOOKUP(K958,'PN Dictionary'!A:B,2,FALSE)</f>
        <v>GB300 L10</v>
      </c>
      <c r="K958" s="26" t="s">
        <v>3612</v>
      </c>
      <c r="L958" s="26" t="s">
        <v>4655</v>
      </c>
      <c r="M958" s="50" t="s">
        <v>3653</v>
      </c>
      <c r="N958" s="51" t="s">
        <v>53</v>
      </c>
      <c r="O958" s="26" t="s">
        <v>728</v>
      </c>
      <c r="P958" s="26">
        <v>90185</v>
      </c>
      <c r="Q958" s="26" t="s">
        <v>55</v>
      </c>
    </row>
    <row r="959" spans="1:17" hidden="1" x14ac:dyDescent="0.3">
      <c r="A959" s="26" t="s">
        <v>4656</v>
      </c>
      <c r="B959" s="26" t="s">
        <v>4657</v>
      </c>
      <c r="C959" s="26" t="s">
        <v>3608</v>
      </c>
      <c r="D959" s="26" t="s">
        <v>4632</v>
      </c>
      <c r="E959" s="26" t="s">
        <v>38</v>
      </c>
      <c r="F959" s="26" t="s">
        <v>4658</v>
      </c>
      <c r="G959" s="26" t="s">
        <v>4646</v>
      </c>
      <c r="H959" s="26" t="s">
        <v>39</v>
      </c>
      <c r="I959" s="26" t="s">
        <v>4659</v>
      </c>
      <c r="J959" s="11" t="str">
        <f>VLOOKUP(K959,'PN Dictionary'!A:B,2,FALSE)</f>
        <v>GB300 L10</v>
      </c>
      <c r="K959" s="26" t="s">
        <v>3612</v>
      </c>
      <c r="L959" s="26" t="s">
        <v>4660</v>
      </c>
      <c r="M959" s="50" t="s">
        <v>4661</v>
      </c>
      <c r="N959" s="51" t="s">
        <v>53</v>
      </c>
      <c r="O959" s="26" t="s">
        <v>728</v>
      </c>
      <c r="P959" s="26">
        <v>90185</v>
      </c>
      <c r="Q959" s="26" t="s">
        <v>55</v>
      </c>
    </row>
    <row r="960" spans="1:17" hidden="1" x14ac:dyDescent="0.3">
      <c r="A960" s="26" t="s">
        <v>4662</v>
      </c>
      <c r="B960" s="26" t="s">
        <v>4663</v>
      </c>
      <c r="C960" s="26" t="s">
        <v>3608</v>
      </c>
      <c r="D960" s="26" t="s">
        <v>4632</v>
      </c>
      <c r="E960" s="26" t="s">
        <v>4644</v>
      </c>
      <c r="F960" s="26" t="s">
        <v>4645</v>
      </c>
      <c r="G960" s="26" t="s">
        <v>4646</v>
      </c>
      <c r="H960" s="26" t="s">
        <v>39</v>
      </c>
      <c r="I960" s="26" t="s">
        <v>4647</v>
      </c>
      <c r="J960" s="11" t="str">
        <f>VLOOKUP(K960,'PN Dictionary'!A:B,2,FALSE)</f>
        <v>GB300 L10</v>
      </c>
      <c r="K960" s="26" t="s">
        <v>3612</v>
      </c>
      <c r="L960" s="26" t="s">
        <v>4503</v>
      </c>
      <c r="M960" s="50" t="s">
        <v>4566</v>
      </c>
      <c r="N960" s="51" t="s">
        <v>53</v>
      </c>
      <c r="O960" s="26" t="s">
        <v>728</v>
      </c>
      <c r="P960" s="26">
        <v>90185</v>
      </c>
      <c r="Q960" s="26" t="s">
        <v>55</v>
      </c>
    </row>
    <row r="961" spans="1:17" hidden="1" x14ac:dyDescent="0.3">
      <c r="A961" s="26" t="s">
        <v>4664</v>
      </c>
      <c r="B961" s="26" t="s">
        <v>4665</v>
      </c>
      <c r="C961" s="26" t="s">
        <v>3608</v>
      </c>
      <c r="D961" s="26" t="s">
        <v>4632</v>
      </c>
      <c r="E961" s="26" t="s">
        <v>4666</v>
      </c>
      <c r="F961" s="26" t="s">
        <v>4667</v>
      </c>
      <c r="G961" s="26" t="s">
        <v>4646</v>
      </c>
      <c r="H961" s="26" t="s">
        <v>39</v>
      </c>
      <c r="I961" s="26" t="s">
        <v>4668</v>
      </c>
      <c r="J961" s="11" t="str">
        <f>VLOOKUP(K961,'PN Dictionary'!A:B,2,FALSE)</f>
        <v>GB300 L10</v>
      </c>
      <c r="K961" s="26" t="s">
        <v>3612</v>
      </c>
      <c r="L961" s="26" t="s">
        <v>4021</v>
      </c>
      <c r="M961" s="50" t="s">
        <v>4669</v>
      </c>
      <c r="N961" s="51" t="s">
        <v>53</v>
      </c>
      <c r="O961" s="26" t="s">
        <v>728</v>
      </c>
      <c r="P961" s="26">
        <v>90185</v>
      </c>
      <c r="Q961" s="26" t="s">
        <v>55</v>
      </c>
    </row>
    <row r="962" spans="1:17" x14ac:dyDescent="0.3">
      <c r="A962" s="26" t="s">
        <v>4670</v>
      </c>
      <c r="B962" s="26" t="s">
        <v>4671</v>
      </c>
      <c r="C962" s="26" t="s">
        <v>4309</v>
      </c>
      <c r="D962" s="26" t="s">
        <v>4628</v>
      </c>
      <c r="E962" s="26" t="s">
        <v>128</v>
      </c>
      <c r="F962" s="26" t="s">
        <v>205</v>
      </c>
      <c r="G962" s="26" t="s">
        <v>4646</v>
      </c>
      <c r="H962" s="26" t="s">
        <v>39</v>
      </c>
      <c r="I962" s="26" t="s">
        <v>4672</v>
      </c>
      <c r="J962" s="11" t="str">
        <f>VLOOKUP(K962,'PN Dictionary'!A:B,2,FALSE)</f>
        <v>Cable Cartridge</v>
      </c>
      <c r="K962" s="26" t="s">
        <v>6</v>
      </c>
      <c r="L962" s="26">
        <v>1820626355913</v>
      </c>
      <c r="M962" s="50">
        <v>1820626356406</v>
      </c>
      <c r="N962" s="51" t="s">
        <v>53</v>
      </c>
      <c r="O962" s="26" t="s">
        <v>728</v>
      </c>
      <c r="P962" s="26">
        <v>90131</v>
      </c>
      <c r="Q962" s="26" t="s">
        <v>55</v>
      </c>
    </row>
    <row r="963" spans="1:17" x14ac:dyDescent="0.3">
      <c r="A963" s="26" t="s">
        <v>4674</v>
      </c>
      <c r="B963" s="26" t="s">
        <v>4675</v>
      </c>
      <c r="C963" s="26" t="s">
        <v>4309</v>
      </c>
      <c r="D963" s="26" t="s">
        <v>4676</v>
      </c>
      <c r="E963" s="26" t="s">
        <v>761</v>
      </c>
      <c r="F963" s="26" t="s">
        <v>3688</v>
      </c>
      <c r="G963" s="26" t="s">
        <v>4646</v>
      </c>
      <c r="H963" s="26" t="s">
        <v>39</v>
      </c>
      <c r="I963" s="26" t="s">
        <v>1190</v>
      </c>
      <c r="J963" s="11" t="str">
        <f>VLOOKUP(K963,'PN Dictionary'!A:B,2,FALSE)</f>
        <v>GB300 L10</v>
      </c>
      <c r="K963" s="26" t="s">
        <v>4318</v>
      </c>
      <c r="L963" s="26" t="s">
        <v>4677</v>
      </c>
      <c r="M963" s="50" t="s">
        <v>4678</v>
      </c>
      <c r="N963" s="51" t="s">
        <v>53</v>
      </c>
      <c r="O963" s="26" t="s">
        <v>728</v>
      </c>
      <c r="P963" s="26">
        <v>90160</v>
      </c>
      <c r="Q963" s="26" t="s">
        <v>55</v>
      </c>
    </row>
    <row r="964" spans="1:17" x14ac:dyDescent="0.3">
      <c r="A964" s="26" t="s">
        <v>4692</v>
      </c>
      <c r="B964" s="26" t="s">
        <v>4693</v>
      </c>
      <c r="C964" s="26" t="s">
        <v>4309</v>
      </c>
      <c r="D964" s="26" t="s">
        <v>4694</v>
      </c>
      <c r="E964" s="26" t="s">
        <v>38</v>
      </c>
      <c r="F964" s="26" t="s">
        <v>4658</v>
      </c>
      <c r="G964" s="26" t="s">
        <v>4682</v>
      </c>
      <c r="H964" s="26" t="s">
        <v>39</v>
      </c>
      <c r="I964" s="26" t="s">
        <v>4659</v>
      </c>
      <c r="J964" s="11" t="str">
        <f>VLOOKUP(K964,'PN Dictionary'!A:B,2,FALSE)</f>
        <v>GB300 L10</v>
      </c>
      <c r="K964" s="26" t="s">
        <v>4318</v>
      </c>
      <c r="L964" s="26" t="s">
        <v>4695</v>
      </c>
      <c r="M964" s="50" t="s">
        <v>4696</v>
      </c>
      <c r="N964" s="51" t="s">
        <v>53</v>
      </c>
      <c r="O964" s="26" t="s">
        <v>728</v>
      </c>
      <c r="P964" s="26">
        <v>924</v>
      </c>
      <c r="Q964" s="26" t="s">
        <v>55</v>
      </c>
    </row>
    <row r="965" spans="1:17" x14ac:dyDescent="0.3">
      <c r="A965" s="26" t="s">
        <v>4708</v>
      </c>
      <c r="B965" s="26" t="s">
        <v>4709</v>
      </c>
      <c r="C965" s="26" t="s">
        <v>4309</v>
      </c>
      <c r="D965" s="26" t="s">
        <v>4710</v>
      </c>
      <c r="E965" s="26" t="s">
        <v>572</v>
      </c>
      <c r="F965" s="26" t="s">
        <v>4711</v>
      </c>
      <c r="G965" s="26" t="s">
        <v>4682</v>
      </c>
      <c r="H965" s="26" t="s">
        <v>39</v>
      </c>
      <c r="I965" s="26" t="s">
        <v>4712</v>
      </c>
      <c r="J965" s="11" t="str">
        <f>VLOOKUP(K965,'PN Dictionary'!A:B,2,FALSE)</f>
        <v>GB300 L10</v>
      </c>
      <c r="K965" s="26" t="s">
        <v>4318</v>
      </c>
      <c r="L965" s="26" t="s">
        <v>4713</v>
      </c>
      <c r="M965" s="50" t="s">
        <v>4714</v>
      </c>
      <c r="N965" s="51" t="s">
        <v>53</v>
      </c>
      <c r="O965" s="26" t="s">
        <v>728</v>
      </c>
      <c r="P965" s="26">
        <v>924</v>
      </c>
      <c r="Q965" s="26" t="s">
        <v>55</v>
      </c>
    </row>
    <row r="966" spans="1:17" x14ac:dyDescent="0.3">
      <c r="A966" s="26" t="s">
        <v>4722</v>
      </c>
      <c r="B966" s="26" t="s">
        <v>4723</v>
      </c>
      <c r="C966" s="26" t="s">
        <v>4309</v>
      </c>
      <c r="D966" s="26" t="s">
        <v>4724</v>
      </c>
      <c r="E966" s="26" t="s">
        <v>4717</v>
      </c>
      <c r="F966" s="26" t="s">
        <v>4718</v>
      </c>
      <c r="G966" s="26" t="s">
        <v>4682</v>
      </c>
      <c r="H966" s="26" t="s">
        <v>39</v>
      </c>
      <c r="I966" s="26" t="s">
        <v>4719</v>
      </c>
      <c r="J966" s="11" t="str">
        <f>VLOOKUP(K966,'PN Dictionary'!A:B,2,FALSE)</f>
        <v>GB300 L10</v>
      </c>
      <c r="K966" s="26" t="s">
        <v>4318</v>
      </c>
      <c r="L966" s="26" t="s">
        <v>4725</v>
      </c>
      <c r="M966" s="50" t="s">
        <v>4726</v>
      </c>
      <c r="N966" s="51" t="s">
        <v>53</v>
      </c>
      <c r="O966" s="26" t="s">
        <v>728</v>
      </c>
      <c r="P966" s="26">
        <v>718</v>
      </c>
      <c r="Q966" s="26" t="s">
        <v>55</v>
      </c>
    </row>
    <row r="967" spans="1:17" x14ac:dyDescent="0.3">
      <c r="A967" s="26" t="s">
        <v>4715</v>
      </c>
      <c r="B967" s="26" t="s">
        <v>4716</v>
      </c>
      <c r="C967" s="26" t="s">
        <v>4309</v>
      </c>
      <c r="D967" s="26" t="s">
        <v>4586</v>
      </c>
      <c r="E967" s="26" t="s">
        <v>4717</v>
      </c>
      <c r="F967" s="26" t="s">
        <v>4718</v>
      </c>
      <c r="G967" s="26" t="s">
        <v>4682</v>
      </c>
      <c r="H967" s="26" t="s">
        <v>39</v>
      </c>
      <c r="I967" s="26" t="s">
        <v>4719</v>
      </c>
      <c r="J967" s="11" t="str">
        <f>VLOOKUP(K967,'PN Dictionary'!A:B,2,FALSE)</f>
        <v>GB300 L10</v>
      </c>
      <c r="K967" s="26" t="s">
        <v>4318</v>
      </c>
      <c r="L967" s="26" t="s">
        <v>4720</v>
      </c>
      <c r="M967" s="50" t="s">
        <v>4721</v>
      </c>
      <c r="N967" s="51" t="s">
        <v>53</v>
      </c>
      <c r="O967" s="26" t="s">
        <v>728</v>
      </c>
      <c r="P967" s="26">
        <v>718</v>
      </c>
      <c r="Q967" s="26" t="s">
        <v>55</v>
      </c>
    </row>
    <row r="968" spans="1:17" x14ac:dyDescent="0.3">
      <c r="A968" s="26" t="s">
        <v>4697</v>
      </c>
      <c r="B968" s="26" t="s">
        <v>4698</v>
      </c>
      <c r="C968" s="26" t="s">
        <v>4309</v>
      </c>
      <c r="D968" s="26" t="s">
        <v>4699</v>
      </c>
      <c r="E968" s="26" t="s">
        <v>128</v>
      </c>
      <c r="F968" s="26" t="s">
        <v>205</v>
      </c>
      <c r="G968" s="26" t="s">
        <v>4682</v>
      </c>
      <c r="H968" s="26" t="s">
        <v>39</v>
      </c>
      <c r="I968" s="26" t="s">
        <v>4700</v>
      </c>
      <c r="J968" s="11" t="str">
        <f>VLOOKUP(K968,'PN Dictionary'!A:B,2,FALSE)</f>
        <v>NVSwitch</v>
      </c>
      <c r="K968" s="26" t="s">
        <v>7</v>
      </c>
      <c r="L968" s="26" t="s">
        <v>4701</v>
      </c>
      <c r="M968" s="50" t="s">
        <v>4702</v>
      </c>
      <c r="N968" s="51" t="s">
        <v>53</v>
      </c>
      <c r="O968" s="26" t="s">
        <v>728</v>
      </c>
      <c r="P968" s="26">
        <v>2984</v>
      </c>
      <c r="Q968" s="26" t="s">
        <v>55</v>
      </c>
    </row>
    <row r="969" spans="1:17" x14ac:dyDescent="0.3">
      <c r="A969" s="26" t="s">
        <v>4679</v>
      </c>
      <c r="B969" s="26" t="s">
        <v>4680</v>
      </c>
      <c r="C969" s="26" t="s">
        <v>4309</v>
      </c>
      <c r="D969" s="26" t="s">
        <v>4681</v>
      </c>
      <c r="E969" s="26" t="s">
        <v>322</v>
      </c>
      <c r="F969" s="26" t="s">
        <v>323</v>
      </c>
      <c r="G969" s="26" t="s">
        <v>4682</v>
      </c>
      <c r="H969" s="26" t="s">
        <v>39</v>
      </c>
      <c r="I969" s="26" t="s">
        <v>4683</v>
      </c>
      <c r="J969" s="11" t="str">
        <f>VLOOKUP(K969,'PN Dictionary'!A:B,2,FALSE)</f>
        <v>GB300 L10</v>
      </c>
      <c r="K969" s="26" t="s">
        <v>4318</v>
      </c>
      <c r="L969" s="26" t="s">
        <v>4684</v>
      </c>
      <c r="M969" s="50" t="s">
        <v>4685</v>
      </c>
      <c r="N969" s="51" t="s">
        <v>53</v>
      </c>
      <c r="O969" s="26" t="s">
        <v>728</v>
      </c>
      <c r="P969" s="26">
        <v>90131</v>
      </c>
      <c r="Q969" s="26" t="s">
        <v>55</v>
      </c>
    </row>
    <row r="970" spans="1:17" x14ac:dyDescent="0.3">
      <c r="A970" s="26" t="s">
        <v>4686</v>
      </c>
      <c r="B970" s="26" t="s">
        <v>4687</v>
      </c>
      <c r="C970" s="26" t="s">
        <v>4309</v>
      </c>
      <c r="D970" s="26" t="s">
        <v>4688</v>
      </c>
      <c r="E970" s="26" t="s">
        <v>242</v>
      </c>
      <c r="F970" s="26" t="s">
        <v>604</v>
      </c>
      <c r="G970" s="26" t="s">
        <v>4682</v>
      </c>
      <c r="H970" s="26" t="s">
        <v>39</v>
      </c>
      <c r="I970" s="26" t="s">
        <v>4689</v>
      </c>
      <c r="J970" s="11" t="str">
        <f>VLOOKUP(K970,'PN Dictionary'!A:B,2,FALSE)</f>
        <v>power shelf left input</v>
      </c>
      <c r="K970" s="26" t="s">
        <v>3529</v>
      </c>
      <c r="L970" s="26" t="s">
        <v>4690</v>
      </c>
      <c r="M970" s="50" t="s">
        <v>4691</v>
      </c>
      <c r="N970" s="51" t="s">
        <v>53</v>
      </c>
      <c r="O970" s="26" t="s">
        <v>728</v>
      </c>
      <c r="P970" s="26">
        <v>90185</v>
      </c>
      <c r="Q970" s="26" t="s">
        <v>55</v>
      </c>
    </row>
    <row r="971" spans="1:17" x14ac:dyDescent="0.3">
      <c r="A971" s="26" t="s">
        <v>4732</v>
      </c>
      <c r="B971" s="26" t="s">
        <v>4733</v>
      </c>
      <c r="C971" s="26" t="s">
        <v>4309</v>
      </c>
      <c r="D971" s="26" t="s">
        <v>4734</v>
      </c>
      <c r="E971" s="26" t="s">
        <v>761</v>
      </c>
      <c r="F971" s="26" t="s">
        <v>3688</v>
      </c>
      <c r="G971" s="26" t="s">
        <v>4682</v>
      </c>
      <c r="H971" s="26" t="s">
        <v>39</v>
      </c>
      <c r="I971" s="26" t="s">
        <v>3688</v>
      </c>
      <c r="J971" s="11" t="str">
        <f>VLOOKUP(K971,'PN Dictionary'!A:B,2,FALSE)</f>
        <v>GB300 L10</v>
      </c>
      <c r="K971" s="26" t="s">
        <v>4318</v>
      </c>
      <c r="L971" s="26" t="s">
        <v>4735</v>
      </c>
      <c r="M971" s="50" t="s">
        <v>4736</v>
      </c>
      <c r="N971" s="51" t="s">
        <v>53</v>
      </c>
      <c r="O971" s="26" t="s">
        <v>728</v>
      </c>
      <c r="P971" s="26">
        <v>90185</v>
      </c>
      <c r="Q971" s="26" t="s">
        <v>55</v>
      </c>
    </row>
    <row r="972" spans="1:17" x14ac:dyDescent="0.3">
      <c r="A972" s="26" t="s">
        <v>4703</v>
      </c>
      <c r="B972" s="26" t="s">
        <v>4704</v>
      </c>
      <c r="C972" s="26" t="s">
        <v>4309</v>
      </c>
      <c r="D972" s="26" t="s">
        <v>4705</v>
      </c>
      <c r="E972" s="26" t="s">
        <v>761</v>
      </c>
      <c r="F972" s="26" t="s">
        <v>3688</v>
      </c>
      <c r="G972" s="26" t="s">
        <v>4682</v>
      </c>
      <c r="H972" s="26" t="s">
        <v>39</v>
      </c>
      <c r="I972" s="26" t="s">
        <v>3688</v>
      </c>
      <c r="J972" s="11" t="str">
        <f>VLOOKUP(K972,'PN Dictionary'!A:B,2,FALSE)</f>
        <v>GB300 L10</v>
      </c>
      <c r="K972" s="26" t="s">
        <v>4318</v>
      </c>
      <c r="L972" s="26" t="s">
        <v>4706</v>
      </c>
      <c r="M972" s="50" t="s">
        <v>4707</v>
      </c>
      <c r="N972" s="51" t="s">
        <v>53</v>
      </c>
      <c r="O972" s="26" t="s">
        <v>728</v>
      </c>
      <c r="P972" s="26">
        <v>90185</v>
      </c>
      <c r="Q972" s="26" t="s">
        <v>55</v>
      </c>
    </row>
    <row r="973" spans="1:17" x14ac:dyDescent="0.3">
      <c r="A973" s="26" t="s">
        <v>4727</v>
      </c>
      <c r="B973" s="26" t="s">
        <v>4728</v>
      </c>
      <c r="C973" s="26" t="s">
        <v>4309</v>
      </c>
      <c r="D973" s="26" t="s">
        <v>4729</v>
      </c>
      <c r="E973" s="26" t="s">
        <v>761</v>
      </c>
      <c r="F973" s="26" t="s">
        <v>3688</v>
      </c>
      <c r="G973" s="26" t="s">
        <v>4682</v>
      </c>
      <c r="H973" s="26" t="s">
        <v>39</v>
      </c>
      <c r="I973" s="26" t="s">
        <v>3688</v>
      </c>
      <c r="J973" s="11" t="str">
        <f>VLOOKUP(K973,'PN Dictionary'!A:B,2,FALSE)</f>
        <v>GB300 L10</v>
      </c>
      <c r="K973" s="26" t="s">
        <v>4318</v>
      </c>
      <c r="L973" s="26" t="s">
        <v>4730</v>
      </c>
      <c r="M973" s="50" t="s">
        <v>4731</v>
      </c>
      <c r="N973" s="51" t="s">
        <v>53</v>
      </c>
      <c r="O973" s="26" t="s">
        <v>728</v>
      </c>
      <c r="P973" s="26">
        <v>90185</v>
      </c>
      <c r="Q973" s="26" t="s">
        <v>55</v>
      </c>
    </row>
    <row r="974" spans="1:17" x14ac:dyDescent="0.3">
      <c r="A974" s="26" t="s">
        <v>4737</v>
      </c>
      <c r="B974" s="26" t="s">
        <v>4738</v>
      </c>
      <c r="C974" s="26" t="s">
        <v>4309</v>
      </c>
      <c r="D974" s="26" t="s">
        <v>4739</v>
      </c>
      <c r="E974" s="26" t="s">
        <v>242</v>
      </c>
      <c r="F974" s="26" t="s">
        <v>604</v>
      </c>
      <c r="G974" s="26" t="s">
        <v>4740</v>
      </c>
      <c r="H974" s="26" t="s">
        <v>39</v>
      </c>
      <c r="I974" s="26" t="s">
        <v>952</v>
      </c>
      <c r="J974" s="11" t="str">
        <f>VLOOKUP(K974,'PN Dictionary'!A:B,2,FALSE)</f>
        <v>power shelf left input</v>
      </c>
      <c r="K974" s="26" t="s">
        <v>3529</v>
      </c>
      <c r="L974" s="26" t="s">
        <v>4741</v>
      </c>
      <c r="M974" s="50" t="s">
        <v>4742</v>
      </c>
      <c r="N974" s="51" t="s">
        <v>53</v>
      </c>
      <c r="O974" s="26" t="s">
        <v>728</v>
      </c>
      <c r="P974" s="26">
        <v>90185</v>
      </c>
      <c r="Q974" s="26" t="s">
        <v>55</v>
      </c>
    </row>
    <row r="975" spans="1:17" x14ac:dyDescent="0.3">
      <c r="A975" s="26" t="s">
        <v>4743</v>
      </c>
      <c r="B975" s="26" t="s">
        <v>4744</v>
      </c>
      <c r="C975" s="26" t="s">
        <v>4309</v>
      </c>
      <c r="D975" s="26" t="s">
        <v>4739</v>
      </c>
      <c r="E975" s="26" t="s">
        <v>242</v>
      </c>
      <c r="F975" s="26" t="s">
        <v>604</v>
      </c>
      <c r="G975" s="26" t="s">
        <v>4740</v>
      </c>
      <c r="H975" s="26" t="s">
        <v>39</v>
      </c>
      <c r="I975" s="26" t="s">
        <v>4745</v>
      </c>
      <c r="J975" s="11" t="str">
        <f>VLOOKUP(K975,'PN Dictionary'!A:B,2,FALSE)</f>
        <v>Power shelf control module</v>
      </c>
      <c r="K975" s="26" t="s">
        <v>4746</v>
      </c>
      <c r="L975" s="26" t="s">
        <v>4747</v>
      </c>
      <c r="M975" s="50" t="s">
        <v>4748</v>
      </c>
      <c r="N975" s="51" t="s">
        <v>53</v>
      </c>
      <c r="O975" s="26" t="s">
        <v>728</v>
      </c>
      <c r="P975" s="26">
        <v>90185</v>
      </c>
      <c r="Q975" s="26" t="s">
        <v>55</v>
      </c>
    </row>
    <row r="976" spans="1:17" x14ac:dyDescent="0.3">
      <c r="A976" s="26" t="s">
        <v>4749</v>
      </c>
      <c r="B976" s="26" t="s">
        <v>4750</v>
      </c>
      <c r="C976" s="26" t="s">
        <v>4309</v>
      </c>
      <c r="D976" s="26" t="s">
        <v>4681</v>
      </c>
      <c r="E976" s="26" t="s">
        <v>128</v>
      </c>
      <c r="F976" s="26" t="s">
        <v>205</v>
      </c>
      <c r="G976" s="26" t="s">
        <v>4740</v>
      </c>
      <c r="H976" s="26" t="s">
        <v>39</v>
      </c>
      <c r="I976" s="26" t="s">
        <v>4751</v>
      </c>
      <c r="J976" s="11" t="str">
        <f>VLOOKUP(K976,'PN Dictionary'!A:B,2,FALSE)</f>
        <v>Cable Cartridge</v>
      </c>
      <c r="K976" s="26" t="s">
        <v>6</v>
      </c>
      <c r="L976" s="26">
        <v>1820626356106</v>
      </c>
      <c r="M976" s="50">
        <v>1820626356999</v>
      </c>
      <c r="N976" s="51" t="s">
        <v>53</v>
      </c>
      <c r="O976" s="26" t="s">
        <v>728</v>
      </c>
      <c r="P976" s="26">
        <v>1519</v>
      </c>
      <c r="Q976" s="26" t="s">
        <v>55</v>
      </c>
    </row>
    <row r="977" spans="1:17" x14ac:dyDescent="0.3">
      <c r="A977" s="26" t="s">
        <v>4752</v>
      </c>
      <c r="B977" s="26" t="s">
        <v>4753</v>
      </c>
      <c r="C977" s="26" t="s">
        <v>4309</v>
      </c>
      <c r="D977" s="26" t="s">
        <v>4754</v>
      </c>
      <c r="E977" s="26" t="s">
        <v>128</v>
      </c>
      <c r="F977" s="26" t="s">
        <v>205</v>
      </c>
      <c r="G977" s="26" t="s">
        <v>4740</v>
      </c>
      <c r="H977" s="26" t="s">
        <v>39</v>
      </c>
      <c r="I977" s="26" t="s">
        <v>4755</v>
      </c>
      <c r="J977" s="11" t="str">
        <f>VLOOKUP(K977,'PN Dictionary'!A:B,2,FALSE)</f>
        <v>Cable Cartridge</v>
      </c>
      <c r="K977" s="26" t="s">
        <v>6</v>
      </c>
      <c r="L977" s="26">
        <v>1820626356613</v>
      </c>
      <c r="M977" s="50">
        <v>1820626356415</v>
      </c>
      <c r="N977" s="51" t="s">
        <v>53</v>
      </c>
      <c r="O977" s="26" t="s">
        <v>728</v>
      </c>
      <c r="P977" s="26">
        <v>1519</v>
      </c>
      <c r="Q977" s="26" t="s">
        <v>55</v>
      </c>
    </row>
    <row r="978" spans="1:17" x14ac:dyDescent="0.3">
      <c r="A978" s="26" t="s">
        <v>4756</v>
      </c>
      <c r="B978" s="26" t="s">
        <v>4757</v>
      </c>
      <c r="C978" s="26" t="s">
        <v>4309</v>
      </c>
      <c r="D978" s="26" t="s">
        <v>4705</v>
      </c>
      <c r="E978" s="26" t="s">
        <v>38</v>
      </c>
      <c r="F978" s="26" t="s">
        <v>4658</v>
      </c>
      <c r="G978" s="26" t="s">
        <v>4740</v>
      </c>
      <c r="H978" s="26" t="s">
        <v>39</v>
      </c>
      <c r="I978" s="26" t="s">
        <v>4659</v>
      </c>
      <c r="J978" s="11" t="str">
        <f>VLOOKUP(K978,'PN Dictionary'!A:B,2,FALSE)</f>
        <v>GB300 L10</v>
      </c>
      <c r="K978" s="26" t="s">
        <v>4318</v>
      </c>
      <c r="L978" s="26" t="s">
        <v>4758</v>
      </c>
      <c r="M978" s="50" t="s">
        <v>4759</v>
      </c>
      <c r="N978" s="51" t="s">
        <v>53</v>
      </c>
      <c r="O978" s="26" t="s">
        <v>728</v>
      </c>
      <c r="P978" s="26">
        <v>924</v>
      </c>
      <c r="Q978" s="26" t="s">
        <v>55</v>
      </c>
    </row>
    <row r="979" spans="1:17" x14ac:dyDescent="0.3">
      <c r="A979" s="26" t="s">
        <v>4760</v>
      </c>
      <c r="B979" s="26" t="s">
        <v>4761</v>
      </c>
      <c r="C979" s="26" t="s">
        <v>4309</v>
      </c>
      <c r="D979" s="26" t="s">
        <v>4762</v>
      </c>
      <c r="E979" s="26" t="s">
        <v>81</v>
      </c>
      <c r="F979" s="26" t="s">
        <v>522</v>
      </c>
      <c r="G979" s="26" t="s">
        <v>4740</v>
      </c>
      <c r="H979" s="26" t="s">
        <v>39</v>
      </c>
      <c r="I979" s="26" t="s">
        <v>3432</v>
      </c>
      <c r="J979" s="11" t="str">
        <f>VLOOKUP(K979,'PN Dictionary'!A:B,2,FALSE)</f>
        <v>GB300 L10</v>
      </c>
      <c r="K979" s="26" t="s">
        <v>4318</v>
      </c>
      <c r="L979" s="26" t="s">
        <v>4763</v>
      </c>
      <c r="M979" s="50" t="s">
        <v>4764</v>
      </c>
      <c r="N979" s="51" t="s">
        <v>53</v>
      </c>
      <c r="O979" s="26" t="s">
        <v>728</v>
      </c>
      <c r="P979" s="26">
        <v>924</v>
      </c>
      <c r="Q979" s="26" t="s">
        <v>55</v>
      </c>
    </row>
    <row r="980" spans="1:17" x14ac:dyDescent="0.3">
      <c r="A980" s="26" t="s">
        <v>4765</v>
      </c>
      <c r="B980" s="26" t="s">
        <v>4766</v>
      </c>
      <c r="C980" s="26" t="s">
        <v>4309</v>
      </c>
      <c r="D980" s="26" t="s">
        <v>4767</v>
      </c>
      <c r="E980" s="26" t="s">
        <v>87</v>
      </c>
      <c r="F980" s="26" t="s">
        <v>4768</v>
      </c>
      <c r="G980" s="26" t="s">
        <v>4740</v>
      </c>
      <c r="H980" s="26" t="s">
        <v>39</v>
      </c>
      <c r="I980" s="26" t="s">
        <v>4768</v>
      </c>
      <c r="J980" s="11" t="str">
        <f>VLOOKUP(K980,'PN Dictionary'!A:B,2,FALSE)</f>
        <v>GB300 L10</v>
      </c>
      <c r="K980" s="26" t="s">
        <v>4318</v>
      </c>
      <c r="L980" s="26" t="s">
        <v>4769</v>
      </c>
      <c r="M980" s="50" t="s">
        <v>4770</v>
      </c>
      <c r="N980" s="51" t="s">
        <v>53</v>
      </c>
      <c r="O980" s="26" t="s">
        <v>728</v>
      </c>
      <c r="P980" s="26">
        <v>640</v>
      </c>
      <c r="Q980" s="26" t="s">
        <v>55</v>
      </c>
    </row>
    <row r="981" spans="1:17" x14ac:dyDescent="0.3">
      <c r="A981" s="26" t="s">
        <v>4771</v>
      </c>
      <c r="B981" s="26" t="s">
        <v>4772</v>
      </c>
      <c r="C981" s="26" t="s">
        <v>4309</v>
      </c>
      <c r="D981" s="26" t="s">
        <v>4773</v>
      </c>
      <c r="E981" s="26" t="s">
        <v>242</v>
      </c>
      <c r="F981" s="26" t="s">
        <v>604</v>
      </c>
      <c r="G981" s="26" t="s">
        <v>4740</v>
      </c>
      <c r="H981" s="26" t="s">
        <v>39</v>
      </c>
      <c r="I981" s="26" t="s">
        <v>4774</v>
      </c>
      <c r="J981" s="11" t="str">
        <f>VLOOKUP(K981,'PN Dictionary'!A:B,2,FALSE)</f>
        <v>power shelf left input</v>
      </c>
      <c r="K981" s="26" t="s">
        <v>3529</v>
      </c>
      <c r="L981" s="26" t="s">
        <v>4775</v>
      </c>
      <c r="M981" s="50" t="s">
        <v>4776</v>
      </c>
      <c r="N981" s="51" t="s">
        <v>53</v>
      </c>
      <c r="O981" s="26" t="s">
        <v>728</v>
      </c>
      <c r="P981" s="26">
        <v>90185</v>
      </c>
      <c r="Q981" s="26" t="s">
        <v>55</v>
      </c>
    </row>
    <row r="982" spans="1:17" x14ac:dyDescent="0.3">
      <c r="A982" s="26" t="s">
        <v>4777</v>
      </c>
      <c r="B982" s="26" t="s">
        <v>4778</v>
      </c>
      <c r="C982" s="26" t="s">
        <v>4309</v>
      </c>
      <c r="D982" s="26" t="s">
        <v>4681</v>
      </c>
      <c r="E982" s="26" t="s">
        <v>761</v>
      </c>
      <c r="F982" s="26" t="s">
        <v>3688</v>
      </c>
      <c r="G982" s="26" t="s">
        <v>4740</v>
      </c>
      <c r="H982" s="26" t="s">
        <v>39</v>
      </c>
      <c r="I982" s="26" t="s">
        <v>3688</v>
      </c>
      <c r="J982" s="11" t="str">
        <f>VLOOKUP(K982,'PN Dictionary'!A:B,2,FALSE)</f>
        <v>GB300 L10</v>
      </c>
      <c r="K982" s="26" t="s">
        <v>4318</v>
      </c>
      <c r="L982" s="26" t="s">
        <v>4779</v>
      </c>
      <c r="M982" s="50" t="s">
        <v>4780</v>
      </c>
      <c r="N982" s="51" t="s">
        <v>53</v>
      </c>
      <c r="O982" s="26" t="s">
        <v>728</v>
      </c>
      <c r="P982" s="26">
        <v>90185</v>
      </c>
      <c r="Q982" s="26" t="s">
        <v>55</v>
      </c>
    </row>
    <row r="983" spans="1:17" x14ac:dyDescent="0.3">
      <c r="A983" s="26" t="s">
        <v>4781</v>
      </c>
      <c r="B983" s="26" t="s">
        <v>4782</v>
      </c>
      <c r="C983" s="26" t="s">
        <v>4309</v>
      </c>
      <c r="D983" s="26" t="s">
        <v>4681</v>
      </c>
      <c r="E983" s="26" t="s">
        <v>761</v>
      </c>
      <c r="F983" s="26" t="s">
        <v>3688</v>
      </c>
      <c r="G983" s="26" t="s">
        <v>4740</v>
      </c>
      <c r="H983" s="26" t="s">
        <v>39</v>
      </c>
      <c r="I983" s="26" t="s">
        <v>3688</v>
      </c>
      <c r="J983" s="11" t="str">
        <f>VLOOKUP(K983,'PN Dictionary'!A:B,2,FALSE)</f>
        <v>GB300 L10</v>
      </c>
      <c r="K983" s="26" t="s">
        <v>4318</v>
      </c>
      <c r="L983" s="26" t="s">
        <v>4783</v>
      </c>
      <c r="M983" s="50" t="s">
        <v>4784</v>
      </c>
      <c r="N983" s="51" t="s">
        <v>53</v>
      </c>
      <c r="O983" s="26" t="s">
        <v>728</v>
      </c>
      <c r="P983" s="26">
        <v>90185</v>
      </c>
      <c r="Q983" s="26" t="s">
        <v>55</v>
      </c>
    </row>
    <row r="984" spans="1:17" x14ac:dyDescent="0.3">
      <c r="A984" s="26" t="s">
        <v>4785</v>
      </c>
      <c r="B984" s="26" t="s">
        <v>4786</v>
      </c>
      <c r="C984" s="26" t="s">
        <v>4309</v>
      </c>
      <c r="D984" s="26" t="s">
        <v>4773</v>
      </c>
      <c r="E984" s="26" t="s">
        <v>128</v>
      </c>
      <c r="F984" s="26" t="s">
        <v>205</v>
      </c>
      <c r="G984" s="26" t="s">
        <v>4740</v>
      </c>
      <c r="H984" s="26" t="s">
        <v>39</v>
      </c>
      <c r="I984" s="26" t="s">
        <v>4787</v>
      </c>
      <c r="J984" s="11" t="str">
        <f>VLOOKUP(K984,'PN Dictionary'!A:B,2,FALSE)</f>
        <v>Cable Cartridge</v>
      </c>
      <c r="K984" s="26" t="s">
        <v>6</v>
      </c>
      <c r="L984" s="26">
        <v>1820626356259</v>
      </c>
      <c r="M984" s="50">
        <v>1820626356097</v>
      </c>
      <c r="N984" s="51" t="s">
        <v>53</v>
      </c>
      <c r="O984" s="26" t="s">
        <v>728</v>
      </c>
      <c r="P984" s="26">
        <v>90185</v>
      </c>
      <c r="Q984" s="26" t="s">
        <v>55</v>
      </c>
    </row>
    <row r="985" spans="1:17" x14ac:dyDescent="0.3">
      <c r="A985" s="26" t="s">
        <v>4789</v>
      </c>
      <c r="B985" s="26" t="s">
        <v>4790</v>
      </c>
      <c r="C985" s="26" t="s">
        <v>4309</v>
      </c>
      <c r="D985" s="26" t="s">
        <v>4791</v>
      </c>
      <c r="E985" s="26" t="s">
        <v>128</v>
      </c>
      <c r="F985" s="26" t="s">
        <v>205</v>
      </c>
      <c r="G985" s="26" t="s">
        <v>4740</v>
      </c>
      <c r="H985" s="26" t="s">
        <v>39</v>
      </c>
      <c r="I985" s="26" t="s">
        <v>4792</v>
      </c>
      <c r="J985" s="11" t="str">
        <f>VLOOKUP(K985,'PN Dictionary'!A:B,2,FALSE)</f>
        <v>Cable Cartridge</v>
      </c>
      <c r="K985" s="26" t="s">
        <v>6</v>
      </c>
      <c r="L985" s="26">
        <v>1820626356664</v>
      </c>
      <c r="M985" s="50">
        <v>2025125351511</v>
      </c>
      <c r="N985" s="51" t="s">
        <v>53</v>
      </c>
      <c r="O985" s="26" t="s">
        <v>728</v>
      </c>
      <c r="P985" s="26">
        <v>90185</v>
      </c>
      <c r="Q985" s="26" t="s">
        <v>55</v>
      </c>
    </row>
    <row r="986" spans="1:17" x14ac:dyDescent="0.3">
      <c r="A986" s="26" t="s">
        <v>4793</v>
      </c>
      <c r="B986" s="26" t="s">
        <v>4794</v>
      </c>
      <c r="C986" s="26" t="s">
        <v>4309</v>
      </c>
      <c r="D986" s="26" t="s">
        <v>4795</v>
      </c>
      <c r="E986" s="26" t="s">
        <v>761</v>
      </c>
      <c r="F986" s="26" t="s">
        <v>3688</v>
      </c>
      <c r="G986" s="26" t="s">
        <v>4740</v>
      </c>
      <c r="H986" s="26" t="s">
        <v>39</v>
      </c>
      <c r="I986" s="26" t="s">
        <v>1190</v>
      </c>
      <c r="J986" s="11" t="str">
        <f>VLOOKUP(K986,'PN Dictionary'!A:B,2,FALSE)</f>
        <v>GB300 L10</v>
      </c>
      <c r="K986" s="26" t="s">
        <v>4318</v>
      </c>
      <c r="L986" s="26" t="s">
        <v>4796</v>
      </c>
      <c r="M986" s="50" t="s">
        <v>4797</v>
      </c>
      <c r="N986" s="51" t="s">
        <v>53</v>
      </c>
      <c r="O986" s="26" t="s">
        <v>728</v>
      </c>
      <c r="P986" s="26">
        <v>90160</v>
      </c>
      <c r="Q986" s="26" t="s">
        <v>55</v>
      </c>
    </row>
    <row r="987" spans="1:17" x14ac:dyDescent="0.3">
      <c r="A987" s="26" t="s">
        <v>4798</v>
      </c>
      <c r="B987" s="26" t="s">
        <v>4799</v>
      </c>
      <c r="C987" s="26" t="s">
        <v>4309</v>
      </c>
      <c r="D987" s="26" t="s">
        <v>4688</v>
      </c>
      <c r="E987" s="26" t="s">
        <v>761</v>
      </c>
      <c r="F987" s="26" t="s">
        <v>3688</v>
      </c>
      <c r="G987" s="26" t="s">
        <v>4740</v>
      </c>
      <c r="H987" s="26" t="s">
        <v>39</v>
      </c>
      <c r="I987" s="26" t="s">
        <v>1190</v>
      </c>
      <c r="J987" s="11" t="str">
        <f>VLOOKUP(K987,'PN Dictionary'!A:B,2,FALSE)</f>
        <v>GB300 L10</v>
      </c>
      <c r="K987" s="26" t="s">
        <v>4318</v>
      </c>
      <c r="L987" s="26" t="s">
        <v>4800</v>
      </c>
      <c r="M987" s="50" t="s">
        <v>4801</v>
      </c>
      <c r="N987" s="51" t="s">
        <v>53</v>
      </c>
      <c r="O987" s="26" t="s">
        <v>728</v>
      </c>
      <c r="P987" s="26">
        <v>90160</v>
      </c>
      <c r="Q987" s="26" t="s">
        <v>55</v>
      </c>
    </row>
    <row r="988" spans="1:17" x14ac:dyDescent="0.3">
      <c r="A988" s="26" t="s">
        <v>4802</v>
      </c>
      <c r="B988" s="26" t="s">
        <v>4803</v>
      </c>
      <c r="C988" s="26" t="s">
        <v>4309</v>
      </c>
      <c r="D988" s="26" t="s">
        <v>4688</v>
      </c>
      <c r="E988" s="26" t="s">
        <v>761</v>
      </c>
      <c r="F988" s="26" t="s">
        <v>3688</v>
      </c>
      <c r="G988" s="26" t="s">
        <v>4740</v>
      </c>
      <c r="H988" s="26" t="s">
        <v>39</v>
      </c>
      <c r="I988" s="26" t="s">
        <v>1190</v>
      </c>
      <c r="J988" s="11" t="str">
        <f>VLOOKUP(K988,'PN Dictionary'!A:B,2,FALSE)</f>
        <v>GB300 L10</v>
      </c>
      <c r="K988" s="26" t="s">
        <v>4318</v>
      </c>
      <c r="L988" s="26" t="s">
        <v>4804</v>
      </c>
      <c r="M988" s="50" t="s">
        <v>4805</v>
      </c>
      <c r="N988" s="51" t="s">
        <v>53</v>
      </c>
      <c r="O988" s="26" t="s">
        <v>728</v>
      </c>
      <c r="P988" s="26">
        <v>90160</v>
      </c>
      <c r="Q988" s="26" t="s">
        <v>55</v>
      </c>
    </row>
    <row r="989" spans="1:17" x14ac:dyDescent="0.3">
      <c r="A989" s="26" t="s">
        <v>4806</v>
      </c>
      <c r="B989" s="26" t="s">
        <v>4807</v>
      </c>
      <c r="C989" s="26" t="s">
        <v>4309</v>
      </c>
      <c r="D989" s="26" t="s">
        <v>4734</v>
      </c>
      <c r="E989" s="26" t="s">
        <v>761</v>
      </c>
      <c r="F989" s="26" t="s">
        <v>3688</v>
      </c>
      <c r="G989" s="26" t="s">
        <v>4740</v>
      </c>
      <c r="H989" s="26" t="s">
        <v>39</v>
      </c>
      <c r="I989" s="26" t="s">
        <v>1190</v>
      </c>
      <c r="J989" s="11" t="str">
        <f>VLOOKUP(K989,'PN Dictionary'!A:B,2,FALSE)</f>
        <v>GB300 L10</v>
      </c>
      <c r="K989" s="26" t="s">
        <v>4318</v>
      </c>
      <c r="L989" s="26" t="s">
        <v>4808</v>
      </c>
      <c r="M989" s="50" t="s">
        <v>4809</v>
      </c>
      <c r="N989" s="51" t="s">
        <v>53</v>
      </c>
      <c r="O989" s="26" t="s">
        <v>728</v>
      </c>
      <c r="P989" s="26">
        <v>90160</v>
      </c>
      <c r="Q989" s="26" t="s">
        <v>55</v>
      </c>
    </row>
    <row r="990" spans="1:17" x14ac:dyDescent="0.3">
      <c r="A990" s="26" t="s">
        <v>4810</v>
      </c>
      <c r="B990" s="26" t="s">
        <v>4811</v>
      </c>
      <c r="C990" s="26" t="s">
        <v>4309</v>
      </c>
      <c r="D990" s="26" t="s">
        <v>4773</v>
      </c>
      <c r="E990" s="26" t="s">
        <v>761</v>
      </c>
      <c r="F990" s="26" t="s">
        <v>3688</v>
      </c>
      <c r="G990" s="26" t="s">
        <v>4740</v>
      </c>
      <c r="H990" s="26" t="s">
        <v>39</v>
      </c>
      <c r="I990" s="26" t="s">
        <v>3688</v>
      </c>
      <c r="J990" s="11" t="str">
        <f>VLOOKUP(K990,'PN Dictionary'!A:B,2,FALSE)</f>
        <v>GB300 L10</v>
      </c>
      <c r="K990" s="26" t="s">
        <v>4318</v>
      </c>
      <c r="L990" s="26" t="s">
        <v>4812</v>
      </c>
      <c r="M990" s="50" t="s">
        <v>4813</v>
      </c>
      <c r="N990" s="51" t="s">
        <v>53</v>
      </c>
      <c r="O990" s="26" t="s">
        <v>728</v>
      </c>
      <c r="P990" s="26">
        <v>90185</v>
      </c>
      <c r="Q990" s="26" t="s">
        <v>55</v>
      </c>
    </row>
    <row r="991" spans="1:17" x14ac:dyDescent="0.3">
      <c r="A991" s="26" t="s">
        <v>4814</v>
      </c>
      <c r="B991" s="26" t="s">
        <v>4815</v>
      </c>
      <c r="C991" s="26" t="s">
        <v>4309</v>
      </c>
      <c r="D991" s="26" t="s">
        <v>4816</v>
      </c>
      <c r="E991" s="26" t="s">
        <v>761</v>
      </c>
      <c r="F991" s="26" t="s">
        <v>3688</v>
      </c>
      <c r="G991" s="26" t="s">
        <v>4817</v>
      </c>
      <c r="H991" s="26" t="s">
        <v>39</v>
      </c>
      <c r="I991" s="26" t="s">
        <v>1190</v>
      </c>
      <c r="J991" s="11" t="str">
        <f>VLOOKUP(K991,'PN Dictionary'!A:B,2,FALSE)</f>
        <v>GB300 L10</v>
      </c>
      <c r="K991" s="26" t="s">
        <v>4318</v>
      </c>
      <c r="L991" s="26" t="s">
        <v>4818</v>
      </c>
      <c r="M991" s="50" t="s">
        <v>4819</v>
      </c>
      <c r="N991" s="51" t="s">
        <v>53</v>
      </c>
      <c r="O991" s="26" t="s">
        <v>728</v>
      </c>
      <c r="P991" s="26">
        <v>90160</v>
      </c>
      <c r="Q991" s="26" t="s">
        <v>55</v>
      </c>
    </row>
    <row r="992" spans="1:17" x14ac:dyDescent="0.3">
      <c r="A992" s="26" t="s">
        <v>4820</v>
      </c>
      <c r="B992" s="26" t="s">
        <v>4821</v>
      </c>
      <c r="C992" s="26" t="s">
        <v>4309</v>
      </c>
      <c r="D992" s="26" t="s">
        <v>4822</v>
      </c>
      <c r="E992" s="26" t="s">
        <v>761</v>
      </c>
      <c r="F992" s="26" t="s">
        <v>3688</v>
      </c>
      <c r="G992" s="26" t="s">
        <v>4817</v>
      </c>
      <c r="H992" s="26" t="s">
        <v>39</v>
      </c>
      <c r="I992" s="26" t="s">
        <v>1190</v>
      </c>
      <c r="J992" s="11" t="str">
        <f>VLOOKUP(K992,'PN Dictionary'!A:B,2,FALSE)</f>
        <v>GB300 L10</v>
      </c>
      <c r="K992" s="26" t="s">
        <v>4318</v>
      </c>
      <c r="L992" s="26" t="s">
        <v>4823</v>
      </c>
      <c r="M992" s="50" t="s">
        <v>4824</v>
      </c>
      <c r="N992" s="51" t="s">
        <v>53</v>
      </c>
      <c r="O992" s="26" t="s">
        <v>728</v>
      </c>
      <c r="P992" s="26">
        <v>90160</v>
      </c>
      <c r="Q992" s="26" t="s">
        <v>55</v>
      </c>
    </row>
    <row r="993" spans="1:17" x14ac:dyDescent="0.3">
      <c r="A993" s="26" t="s">
        <v>4825</v>
      </c>
      <c r="B993" s="26" t="s">
        <v>4826</v>
      </c>
      <c r="C993" s="26" t="s">
        <v>4309</v>
      </c>
      <c r="D993" s="26" t="s">
        <v>4827</v>
      </c>
      <c r="E993" s="26" t="s">
        <v>128</v>
      </c>
      <c r="F993" s="26" t="s">
        <v>205</v>
      </c>
      <c r="G993" s="26" t="s">
        <v>4817</v>
      </c>
      <c r="H993" s="26" t="s">
        <v>39</v>
      </c>
      <c r="I993" s="26" t="s">
        <v>4828</v>
      </c>
      <c r="J993" s="11" t="str">
        <f>VLOOKUP(K993,'PN Dictionary'!A:B,2,FALSE)</f>
        <v>Cable Cartridge</v>
      </c>
      <c r="K993" s="26" t="s">
        <v>6</v>
      </c>
      <c r="L993" s="26">
        <v>1820726354068</v>
      </c>
      <c r="M993" s="50">
        <v>2025125351515</v>
      </c>
      <c r="N993" s="51" t="s">
        <v>53</v>
      </c>
      <c r="O993" s="26" t="s">
        <v>728</v>
      </c>
      <c r="P993" s="26">
        <v>90185</v>
      </c>
      <c r="Q993" s="26" t="s">
        <v>55</v>
      </c>
    </row>
    <row r="994" spans="1:17" x14ac:dyDescent="0.3">
      <c r="A994" s="26" t="s">
        <v>4829</v>
      </c>
      <c r="B994" s="26" t="s">
        <v>4830</v>
      </c>
      <c r="C994" s="26" t="s">
        <v>4309</v>
      </c>
      <c r="D994" s="26" t="s">
        <v>4831</v>
      </c>
      <c r="E994" s="26" t="s">
        <v>411</v>
      </c>
      <c r="F994" s="26" t="s">
        <v>597</v>
      </c>
      <c r="G994" s="26" t="s">
        <v>4817</v>
      </c>
      <c r="H994" s="26" t="s">
        <v>39</v>
      </c>
      <c r="I994" s="26" t="s">
        <v>4832</v>
      </c>
      <c r="J994" s="11" t="str">
        <f>VLOOKUP(K994,'PN Dictionary'!A:B,2,FALSE)</f>
        <v>GB300 L10</v>
      </c>
      <c r="K994" s="26" t="s">
        <v>4318</v>
      </c>
      <c r="L994" s="26" t="s">
        <v>4833</v>
      </c>
      <c r="M994" s="50" t="s">
        <v>4834</v>
      </c>
      <c r="N994" s="51" t="s">
        <v>53</v>
      </c>
      <c r="O994" s="26" t="s">
        <v>728</v>
      </c>
      <c r="P994" s="26">
        <v>718</v>
      </c>
      <c r="Q994" s="26" t="s">
        <v>55</v>
      </c>
    </row>
    <row r="995" spans="1:17" x14ac:dyDescent="0.3">
      <c r="A995" s="26" t="s">
        <v>4835</v>
      </c>
      <c r="B995" s="26" t="s">
        <v>4836</v>
      </c>
      <c r="C995" s="26" t="s">
        <v>4309</v>
      </c>
      <c r="D995" s="26" t="s">
        <v>4837</v>
      </c>
      <c r="E995" s="26" t="s">
        <v>87</v>
      </c>
      <c r="F995" s="26" t="s">
        <v>4768</v>
      </c>
      <c r="G995" s="26" t="s">
        <v>4817</v>
      </c>
      <c r="H995" s="26" t="s">
        <v>39</v>
      </c>
      <c r="I995" s="26" t="s">
        <v>4768</v>
      </c>
      <c r="J995" s="11" t="str">
        <f>VLOOKUP(K995,'PN Dictionary'!A:B,2,FALSE)</f>
        <v>GB300 L10</v>
      </c>
      <c r="K995" s="26" t="s">
        <v>4318</v>
      </c>
      <c r="L995" s="26" t="s">
        <v>4838</v>
      </c>
      <c r="M995" s="50" t="s">
        <v>4839</v>
      </c>
      <c r="N995" s="51" t="s">
        <v>53</v>
      </c>
      <c r="O995" s="26" t="s">
        <v>728</v>
      </c>
      <c r="P995" s="26">
        <v>640</v>
      </c>
      <c r="Q995" s="26" t="s">
        <v>55</v>
      </c>
    </row>
    <row r="996" spans="1:17" x14ac:dyDescent="0.3">
      <c r="A996" s="26" t="s">
        <v>4840</v>
      </c>
      <c r="B996" s="26" t="s">
        <v>4841</v>
      </c>
      <c r="C996" s="26" t="s">
        <v>4309</v>
      </c>
      <c r="D996" s="26" t="s">
        <v>4831</v>
      </c>
      <c r="E996" s="26" t="s">
        <v>128</v>
      </c>
      <c r="F996" s="26" t="s">
        <v>205</v>
      </c>
      <c r="G996" s="26" t="s">
        <v>4817</v>
      </c>
      <c r="H996" s="26" t="s">
        <v>39</v>
      </c>
      <c r="I996" s="26" t="s">
        <v>4842</v>
      </c>
      <c r="J996" s="11" t="str">
        <f>VLOOKUP(K996,'PN Dictionary'!A:B,2,FALSE)</f>
        <v>Cable Cartridge</v>
      </c>
      <c r="K996" s="26" t="s">
        <v>6</v>
      </c>
      <c r="L996" s="26">
        <v>1820626357046</v>
      </c>
      <c r="M996" s="50">
        <v>2025125351528</v>
      </c>
      <c r="N996" s="51" t="s">
        <v>53</v>
      </c>
      <c r="O996" s="26" t="s">
        <v>728</v>
      </c>
      <c r="P996" s="26">
        <v>90185</v>
      </c>
      <c r="Q996" s="26" t="s">
        <v>55</v>
      </c>
    </row>
    <row r="997" spans="1:17" x14ac:dyDescent="0.3">
      <c r="A997" s="26" t="s">
        <v>4843</v>
      </c>
      <c r="B997" s="26" t="s">
        <v>4844</v>
      </c>
      <c r="C997" s="26" t="s">
        <v>4309</v>
      </c>
      <c r="D997" s="26" t="s">
        <v>4845</v>
      </c>
      <c r="E997" s="26" t="s">
        <v>242</v>
      </c>
      <c r="F997" s="26" t="s">
        <v>604</v>
      </c>
      <c r="G997" s="26" t="s">
        <v>4817</v>
      </c>
      <c r="H997" s="26" t="s">
        <v>39</v>
      </c>
      <c r="I997" s="26" t="s">
        <v>4846</v>
      </c>
      <c r="J997" s="11" t="str">
        <f>VLOOKUP(K997,'PN Dictionary'!A:B,2,FALSE)</f>
        <v>power shelf left input</v>
      </c>
      <c r="K997" s="26" t="s">
        <v>3529</v>
      </c>
      <c r="L997" s="26" t="s">
        <v>4847</v>
      </c>
      <c r="M997" s="50" t="s">
        <v>4848</v>
      </c>
      <c r="N997" s="51" t="s">
        <v>53</v>
      </c>
      <c r="O997" s="26" t="s">
        <v>728</v>
      </c>
      <c r="P997" s="26">
        <v>90185</v>
      </c>
      <c r="Q997" s="26" t="s">
        <v>55</v>
      </c>
    </row>
    <row r="998" spans="1:17" x14ac:dyDescent="0.3">
      <c r="A998" s="26" t="s">
        <v>4849</v>
      </c>
      <c r="B998" s="26" t="s">
        <v>4850</v>
      </c>
      <c r="C998" s="26" t="s">
        <v>4309</v>
      </c>
      <c r="D998" s="26" t="s">
        <v>4851</v>
      </c>
      <c r="E998" s="26" t="s">
        <v>761</v>
      </c>
      <c r="F998" s="26" t="s">
        <v>3688</v>
      </c>
      <c r="G998" s="26" t="s">
        <v>4817</v>
      </c>
      <c r="H998" s="26" t="s">
        <v>39</v>
      </c>
      <c r="I998" s="26" t="s">
        <v>3688</v>
      </c>
      <c r="J998" s="11" t="str">
        <f>VLOOKUP(K998,'PN Dictionary'!A:B,2,FALSE)</f>
        <v>GB300 L10</v>
      </c>
      <c r="K998" s="26" t="s">
        <v>4318</v>
      </c>
      <c r="L998" s="26" t="s">
        <v>4852</v>
      </c>
      <c r="M998" s="50" t="s">
        <v>4853</v>
      </c>
      <c r="N998" s="51" t="s">
        <v>53</v>
      </c>
      <c r="O998" s="26" t="s">
        <v>728</v>
      </c>
      <c r="P998" s="26">
        <v>3908</v>
      </c>
      <c r="Q998" s="26" t="s">
        <v>55</v>
      </c>
    </row>
    <row r="999" spans="1:17" x14ac:dyDescent="0.3">
      <c r="A999" s="26" t="s">
        <v>4854</v>
      </c>
      <c r="B999" s="26" t="s">
        <v>4855</v>
      </c>
      <c r="C999" s="26" t="s">
        <v>4309</v>
      </c>
      <c r="D999" s="26" t="s">
        <v>4856</v>
      </c>
      <c r="E999" s="26" t="s">
        <v>761</v>
      </c>
      <c r="F999" s="26" t="s">
        <v>3688</v>
      </c>
      <c r="G999" s="26" t="s">
        <v>4817</v>
      </c>
      <c r="H999" s="26" t="s">
        <v>39</v>
      </c>
      <c r="I999" s="26" t="s">
        <v>1190</v>
      </c>
      <c r="J999" s="11" t="str">
        <f>VLOOKUP(K999,'PN Dictionary'!A:B,2,FALSE)</f>
        <v>GB300 L10</v>
      </c>
      <c r="K999" s="26" t="s">
        <v>4318</v>
      </c>
      <c r="L999" s="26" t="s">
        <v>4857</v>
      </c>
      <c r="M999" s="50" t="s">
        <v>4858</v>
      </c>
      <c r="N999" s="51" t="s">
        <v>53</v>
      </c>
      <c r="O999" s="26" t="s">
        <v>728</v>
      </c>
      <c r="P999" s="26">
        <v>90160</v>
      </c>
      <c r="Q999" s="26" t="s">
        <v>55</v>
      </c>
    </row>
    <row r="1000" spans="1:17" x14ac:dyDescent="0.3">
      <c r="A1000" s="26" t="s">
        <v>4859</v>
      </c>
      <c r="B1000" s="26" t="s">
        <v>4860</v>
      </c>
      <c r="C1000" s="26" t="s">
        <v>4309</v>
      </c>
      <c r="D1000" s="26" t="s">
        <v>4861</v>
      </c>
      <c r="E1000" s="26" t="s">
        <v>761</v>
      </c>
      <c r="F1000" s="26" t="s">
        <v>3688</v>
      </c>
      <c r="G1000" s="26" t="s">
        <v>4817</v>
      </c>
      <c r="H1000" s="26" t="s">
        <v>39</v>
      </c>
      <c r="I1000" s="26" t="s">
        <v>1190</v>
      </c>
      <c r="J1000" s="11" t="str">
        <f>VLOOKUP(K1000,'PN Dictionary'!A:B,2,FALSE)</f>
        <v>GB300 L10</v>
      </c>
      <c r="K1000" s="26" t="s">
        <v>4318</v>
      </c>
      <c r="L1000" s="26" t="s">
        <v>4862</v>
      </c>
      <c r="M1000" s="50" t="s">
        <v>4863</v>
      </c>
      <c r="N1000" s="51" t="s">
        <v>53</v>
      </c>
      <c r="O1000" s="26" t="s">
        <v>728</v>
      </c>
      <c r="P1000" s="26">
        <v>90160</v>
      </c>
      <c r="Q1000" s="26" t="s">
        <v>55</v>
      </c>
    </row>
    <row r="1001" spans="1:17" x14ac:dyDescent="0.3">
      <c r="A1001" s="26" t="s">
        <v>4864</v>
      </c>
      <c r="B1001" s="26" t="s">
        <v>4865</v>
      </c>
      <c r="C1001" s="26" t="s">
        <v>4309</v>
      </c>
      <c r="D1001" s="26" t="s">
        <v>4866</v>
      </c>
      <c r="E1001" s="26" t="s">
        <v>761</v>
      </c>
      <c r="F1001" s="26" t="s">
        <v>3688</v>
      </c>
      <c r="G1001" s="26" t="s">
        <v>4817</v>
      </c>
      <c r="H1001" s="26" t="s">
        <v>39</v>
      </c>
      <c r="I1001" s="26" t="s">
        <v>1190</v>
      </c>
      <c r="J1001" s="11" t="str">
        <f>VLOOKUP(K1001,'PN Dictionary'!A:B,2,FALSE)</f>
        <v>GB300 L10</v>
      </c>
      <c r="K1001" s="26" t="s">
        <v>4318</v>
      </c>
      <c r="L1001" s="26" t="s">
        <v>4867</v>
      </c>
      <c r="M1001" s="50" t="s">
        <v>4868</v>
      </c>
      <c r="N1001" s="51" t="s">
        <v>53</v>
      </c>
      <c r="O1001" s="26" t="s">
        <v>728</v>
      </c>
      <c r="P1001" s="26">
        <v>90160</v>
      </c>
      <c r="Q1001" s="26" t="s">
        <v>55</v>
      </c>
    </row>
    <row r="1002" spans="1:17" x14ac:dyDescent="0.3">
      <c r="A1002" s="26" t="s">
        <v>4869</v>
      </c>
      <c r="B1002" s="26" t="s">
        <v>4870</v>
      </c>
      <c r="C1002" s="26" t="s">
        <v>4309</v>
      </c>
      <c r="D1002" s="26" t="s">
        <v>4816</v>
      </c>
      <c r="E1002" s="26" t="s">
        <v>761</v>
      </c>
      <c r="F1002" s="26" t="s">
        <v>3688</v>
      </c>
      <c r="G1002" s="26" t="s">
        <v>4817</v>
      </c>
      <c r="H1002" s="26" t="s">
        <v>39</v>
      </c>
      <c r="I1002" s="26" t="s">
        <v>1190</v>
      </c>
      <c r="J1002" s="11" t="str">
        <f>VLOOKUP(K1002,'PN Dictionary'!A:B,2,FALSE)</f>
        <v>GB300 L10</v>
      </c>
      <c r="K1002" s="26" t="s">
        <v>4318</v>
      </c>
      <c r="L1002" s="26" t="s">
        <v>4871</v>
      </c>
      <c r="M1002" s="50" t="s">
        <v>4872</v>
      </c>
      <c r="N1002" s="51" t="s">
        <v>53</v>
      </c>
      <c r="O1002" s="26" t="s">
        <v>728</v>
      </c>
      <c r="P1002" s="26">
        <v>90160</v>
      </c>
      <c r="Q1002" s="26" t="s">
        <v>55</v>
      </c>
    </row>
    <row r="1003" spans="1:17" x14ac:dyDescent="0.3">
      <c r="A1003" s="26" t="s">
        <v>4873</v>
      </c>
      <c r="B1003" s="26" t="s">
        <v>4874</v>
      </c>
      <c r="C1003" s="26" t="s">
        <v>4309</v>
      </c>
      <c r="D1003" s="26" t="s">
        <v>4816</v>
      </c>
      <c r="E1003" s="26" t="s">
        <v>761</v>
      </c>
      <c r="F1003" s="26" t="s">
        <v>3688</v>
      </c>
      <c r="G1003" s="26" t="s">
        <v>4817</v>
      </c>
      <c r="H1003" s="26" t="s">
        <v>39</v>
      </c>
      <c r="I1003" s="26" t="s">
        <v>1190</v>
      </c>
      <c r="J1003" s="11" t="str">
        <f>VLOOKUP(K1003,'PN Dictionary'!A:B,2,FALSE)</f>
        <v>GB300 L10</v>
      </c>
      <c r="K1003" s="26" t="s">
        <v>4318</v>
      </c>
      <c r="L1003" s="26" t="s">
        <v>4819</v>
      </c>
      <c r="M1003" s="50" t="s">
        <v>4875</v>
      </c>
      <c r="N1003" s="51" t="s">
        <v>53</v>
      </c>
      <c r="O1003" s="26" t="s">
        <v>728</v>
      </c>
      <c r="P1003" s="26">
        <v>90160</v>
      </c>
      <c r="Q1003" s="26" t="s">
        <v>55</v>
      </c>
    </row>
    <row r="1004" spans="1:17" x14ac:dyDescent="0.3">
      <c r="A1004" s="26" t="s">
        <v>4876</v>
      </c>
      <c r="B1004" s="26" t="s">
        <v>4877</v>
      </c>
      <c r="C1004" s="26" t="s">
        <v>4309</v>
      </c>
      <c r="D1004" s="26" t="s">
        <v>4878</v>
      </c>
      <c r="E1004" s="26" t="s">
        <v>761</v>
      </c>
      <c r="F1004" s="26" t="s">
        <v>3688</v>
      </c>
      <c r="G1004" s="26" t="s">
        <v>4879</v>
      </c>
      <c r="H1004" s="26" t="s">
        <v>39</v>
      </c>
      <c r="I1004" s="26" t="s">
        <v>1190</v>
      </c>
      <c r="J1004" s="11" t="str">
        <f>VLOOKUP(K1004,'PN Dictionary'!A:B,2,FALSE)</f>
        <v>GB300 L10</v>
      </c>
      <c r="K1004" s="26" t="s">
        <v>4318</v>
      </c>
      <c r="L1004" s="26" t="s">
        <v>4880</v>
      </c>
      <c r="M1004" s="50" t="s">
        <v>4881</v>
      </c>
      <c r="N1004" s="51" t="s">
        <v>53</v>
      </c>
      <c r="O1004" s="26" t="s">
        <v>728</v>
      </c>
      <c r="P1004" s="26">
        <v>90160</v>
      </c>
      <c r="Q1004" s="26" t="s">
        <v>55</v>
      </c>
    </row>
    <row r="1005" spans="1:17" x14ac:dyDescent="0.3">
      <c r="A1005" s="26" t="s">
        <v>4882</v>
      </c>
      <c r="C1005" s="26" t="s">
        <v>4309</v>
      </c>
      <c r="D1005" s="26" t="s">
        <v>4883</v>
      </c>
      <c r="E1005" s="26" t="s">
        <v>242</v>
      </c>
      <c r="F1005" s="26" t="s">
        <v>604</v>
      </c>
      <c r="G1005" s="26" t="s">
        <v>4879</v>
      </c>
      <c r="H1005" s="26" t="s">
        <v>39</v>
      </c>
      <c r="I1005" s="26" t="s">
        <v>4895</v>
      </c>
      <c r="J1005" s="11" t="str">
        <f>VLOOKUP(K1005,'PN Dictionary'!A:B,2,FALSE)</f>
        <v>power shelf left input</v>
      </c>
      <c r="K1005" s="26" t="s">
        <v>3529</v>
      </c>
      <c r="L1005" s="26" t="s">
        <v>4884</v>
      </c>
      <c r="M1005" s="50"/>
      <c r="N1005" s="51" t="s">
        <v>53</v>
      </c>
      <c r="O1005" s="26" t="s">
        <v>728</v>
      </c>
      <c r="P1005" s="26">
        <v>90160</v>
      </c>
      <c r="Q1005" s="26" t="s">
        <v>55</v>
      </c>
    </row>
    <row r="1006" spans="1:17" x14ac:dyDescent="0.3">
      <c r="A1006" s="26" t="s">
        <v>4885</v>
      </c>
      <c r="C1006" s="26" t="s">
        <v>4309</v>
      </c>
      <c r="D1006" s="26" t="s">
        <v>4886</v>
      </c>
      <c r="E1006" s="26" t="s">
        <v>128</v>
      </c>
      <c r="F1006" s="26" t="s">
        <v>205</v>
      </c>
      <c r="G1006" s="26" t="s">
        <v>4879</v>
      </c>
      <c r="H1006" s="26" t="s">
        <v>39</v>
      </c>
      <c r="I1006" s="26" t="s">
        <v>4887</v>
      </c>
      <c r="J1006" s="11" t="str">
        <f>VLOOKUP(K1006,'PN Dictionary'!A:B,2,FALSE)</f>
        <v>NVSwitch</v>
      </c>
      <c r="K1006" s="26" t="s">
        <v>7</v>
      </c>
      <c r="L1006" s="26" t="s">
        <v>4888</v>
      </c>
      <c r="M1006" s="50"/>
      <c r="N1006" s="51" t="s">
        <v>53</v>
      </c>
      <c r="O1006" s="26" t="s">
        <v>728</v>
      </c>
      <c r="P1006" s="26">
        <v>2984</v>
      </c>
      <c r="Q1006" s="26" t="s">
        <v>55</v>
      </c>
    </row>
    <row r="1007" spans="1:17" x14ac:dyDescent="0.3">
      <c r="A1007" s="26" t="s">
        <v>4889</v>
      </c>
      <c r="B1007" s="26" t="s">
        <v>4890</v>
      </c>
      <c r="C1007" s="26" t="s">
        <v>4309</v>
      </c>
      <c r="D1007" s="26" t="s">
        <v>4891</v>
      </c>
      <c r="E1007" s="26" t="s">
        <v>230</v>
      </c>
      <c r="F1007" s="26" t="s">
        <v>238</v>
      </c>
      <c r="G1007" s="26" t="s">
        <v>4879</v>
      </c>
      <c r="H1007" s="26" t="s">
        <v>39</v>
      </c>
      <c r="I1007" s="26" t="s">
        <v>4892</v>
      </c>
      <c r="J1007" s="11" t="str">
        <f>VLOOKUP(K1007,'PN Dictionary'!A:B,2,FALSE)</f>
        <v>NVSwitch</v>
      </c>
      <c r="K1007" s="26" t="s">
        <v>7</v>
      </c>
      <c r="L1007" s="26" t="s">
        <v>4893</v>
      </c>
      <c r="M1007" s="50" t="s">
        <v>4894</v>
      </c>
      <c r="N1007" s="51" t="s">
        <v>53</v>
      </c>
      <c r="O1007" s="26" t="s">
        <v>728</v>
      </c>
      <c r="P1007" s="26">
        <v>90131</v>
      </c>
      <c r="Q1007" s="26" t="s">
        <v>55</v>
      </c>
    </row>
    <row r="1008" spans="1:17" x14ac:dyDescent="0.3">
      <c r="A1008" s="26" t="s">
        <v>4896</v>
      </c>
      <c r="B1008" s="26" t="s">
        <v>4897</v>
      </c>
      <c r="C1008" s="26" t="s">
        <v>4309</v>
      </c>
      <c r="D1008" s="26" t="s">
        <v>4898</v>
      </c>
      <c r="E1008" s="26" t="s">
        <v>4899</v>
      </c>
      <c r="F1008" s="26" t="s">
        <v>4900</v>
      </c>
      <c r="G1008" s="26" t="s">
        <v>4879</v>
      </c>
      <c r="H1008" s="26" t="s">
        <v>39</v>
      </c>
      <c r="I1008" s="26" t="s">
        <v>3882</v>
      </c>
      <c r="J1008" s="11" t="str">
        <f>VLOOKUP(K1008,'PN Dictionary'!A:B,2,FALSE)</f>
        <v>GB300 L10</v>
      </c>
      <c r="K1008" s="26" t="s">
        <v>4318</v>
      </c>
      <c r="L1008" s="26" t="s">
        <v>4868</v>
      </c>
      <c r="M1008" s="50" t="s">
        <v>4901</v>
      </c>
      <c r="N1008" s="51" t="s">
        <v>53</v>
      </c>
      <c r="O1008" s="26" t="s">
        <v>728</v>
      </c>
      <c r="P1008" s="26">
        <v>90185</v>
      </c>
      <c r="Q1008" s="26" t="s">
        <v>55</v>
      </c>
    </row>
    <row r="1009" spans="1:17" x14ac:dyDescent="0.3">
      <c r="A1009" s="26" t="s">
        <v>4902</v>
      </c>
      <c r="B1009" s="26" t="s">
        <v>4903</v>
      </c>
      <c r="C1009" s="26" t="s">
        <v>4309</v>
      </c>
      <c r="D1009" s="26" t="s">
        <v>4904</v>
      </c>
      <c r="E1009" s="26" t="s">
        <v>761</v>
      </c>
      <c r="F1009" s="26" t="s">
        <v>3688</v>
      </c>
      <c r="G1009" s="26" t="s">
        <v>4879</v>
      </c>
      <c r="H1009" s="26" t="s">
        <v>39</v>
      </c>
      <c r="I1009" s="26" t="s">
        <v>1190</v>
      </c>
      <c r="J1009" s="11" t="str">
        <f>VLOOKUP(K1009,'PN Dictionary'!A:B,2,FALSE)</f>
        <v>GB300 L10</v>
      </c>
      <c r="K1009" s="26" t="s">
        <v>4318</v>
      </c>
      <c r="L1009" s="26" t="s">
        <v>4905</v>
      </c>
      <c r="M1009" s="50" t="s">
        <v>4906</v>
      </c>
      <c r="N1009" s="51" t="s">
        <v>53</v>
      </c>
      <c r="O1009" s="26" t="s">
        <v>728</v>
      </c>
      <c r="P1009" s="26">
        <v>90160</v>
      </c>
      <c r="Q1009" s="26" t="s">
        <v>55</v>
      </c>
    </row>
    <row r="1010" spans="1:17" x14ac:dyDescent="0.3">
      <c r="A1010" s="26" t="s">
        <v>4907</v>
      </c>
      <c r="B1010" s="26" t="s">
        <v>4908</v>
      </c>
      <c r="C1010" s="26" t="s">
        <v>4309</v>
      </c>
      <c r="D1010" s="26" t="s">
        <v>4883</v>
      </c>
      <c r="E1010" s="26" t="s">
        <v>761</v>
      </c>
      <c r="F1010" s="26" t="s">
        <v>3688</v>
      </c>
      <c r="G1010" s="26" t="s">
        <v>4879</v>
      </c>
      <c r="H1010" s="26" t="s">
        <v>39</v>
      </c>
      <c r="I1010" s="26" t="s">
        <v>1190</v>
      </c>
      <c r="J1010" s="11" t="str">
        <f>VLOOKUP(K1010,'PN Dictionary'!A:B,2,FALSE)</f>
        <v>GB300 L10</v>
      </c>
      <c r="K1010" s="26" t="s">
        <v>4318</v>
      </c>
      <c r="L1010" s="26" t="s">
        <v>4909</v>
      </c>
      <c r="M1010" s="50" t="s">
        <v>4910</v>
      </c>
      <c r="N1010" s="51" t="s">
        <v>53</v>
      </c>
      <c r="O1010" s="26" t="s">
        <v>728</v>
      </c>
      <c r="P1010" s="26">
        <v>90160</v>
      </c>
      <c r="Q1010" s="26" t="s">
        <v>55</v>
      </c>
    </row>
    <row r="1011" spans="1:17" x14ac:dyDescent="0.3">
      <c r="A1011" s="26" t="s">
        <v>4911</v>
      </c>
      <c r="B1011" s="26" t="s">
        <v>4912</v>
      </c>
      <c r="C1011" s="26" t="s">
        <v>4309</v>
      </c>
      <c r="D1011" s="26" t="s">
        <v>4904</v>
      </c>
      <c r="E1011" s="26" t="s">
        <v>761</v>
      </c>
      <c r="F1011" s="26" t="s">
        <v>3688</v>
      </c>
      <c r="G1011" s="26" t="s">
        <v>4879</v>
      </c>
      <c r="H1011" s="26" t="s">
        <v>39</v>
      </c>
      <c r="I1011" s="26" t="s">
        <v>1190</v>
      </c>
      <c r="J1011" s="11" t="str">
        <f>VLOOKUP(K1011,'PN Dictionary'!A:B,2,FALSE)</f>
        <v>GB300 L10</v>
      </c>
      <c r="K1011" s="26" t="s">
        <v>4318</v>
      </c>
      <c r="L1011" s="26" t="s">
        <v>4913</v>
      </c>
      <c r="M1011" s="50" t="s">
        <v>4914</v>
      </c>
      <c r="N1011" s="51" t="s">
        <v>53</v>
      </c>
      <c r="O1011" s="26" t="s">
        <v>728</v>
      </c>
      <c r="P1011" s="26">
        <v>90160</v>
      </c>
      <c r="Q1011" s="26" t="s">
        <v>55</v>
      </c>
    </row>
    <row r="1012" spans="1:17" x14ac:dyDescent="0.3">
      <c r="A1012" s="26" t="s">
        <v>4915</v>
      </c>
      <c r="B1012" s="26" t="s">
        <v>4916</v>
      </c>
      <c r="C1012" s="26" t="s">
        <v>4309</v>
      </c>
      <c r="D1012" s="26" t="s">
        <v>4917</v>
      </c>
      <c r="E1012" s="26" t="s">
        <v>761</v>
      </c>
      <c r="F1012" s="26" t="s">
        <v>3688</v>
      </c>
      <c r="G1012" s="26" t="s">
        <v>4879</v>
      </c>
      <c r="H1012" s="26" t="s">
        <v>39</v>
      </c>
      <c r="I1012" s="26" t="s">
        <v>1190</v>
      </c>
      <c r="J1012" s="11" t="str">
        <f>VLOOKUP(K1012,'PN Dictionary'!A:B,2,FALSE)</f>
        <v>GB300 L10</v>
      </c>
      <c r="K1012" s="26" t="s">
        <v>4318</v>
      </c>
      <c r="L1012" s="26" t="s">
        <v>4918</v>
      </c>
      <c r="M1012" s="50" t="s">
        <v>4919</v>
      </c>
      <c r="N1012" s="51" t="s">
        <v>53</v>
      </c>
      <c r="O1012" s="26" t="s">
        <v>728</v>
      </c>
      <c r="P1012" s="26">
        <v>90160</v>
      </c>
      <c r="Q1012" s="26" t="s">
        <v>55</v>
      </c>
    </row>
    <row r="1013" spans="1:17" x14ac:dyDescent="0.3">
      <c r="A1013" s="26" t="s">
        <v>4920</v>
      </c>
      <c r="B1013" s="26" t="s">
        <v>4921</v>
      </c>
      <c r="C1013" s="26" t="s">
        <v>4309</v>
      </c>
      <c r="D1013" s="26" t="s">
        <v>4922</v>
      </c>
      <c r="E1013" s="26" t="s">
        <v>3881</v>
      </c>
      <c r="F1013" s="26" t="s">
        <v>3882</v>
      </c>
      <c r="G1013" s="26" t="s">
        <v>4879</v>
      </c>
      <c r="H1013" s="26" t="s">
        <v>39</v>
      </c>
      <c r="I1013" s="26" t="s">
        <v>3882</v>
      </c>
      <c r="J1013" s="11" t="str">
        <f>VLOOKUP(K1013,'PN Dictionary'!A:B,2,FALSE)</f>
        <v>GB300 L10</v>
      </c>
      <c r="K1013" s="26" t="s">
        <v>4318</v>
      </c>
      <c r="L1013" s="26" t="s">
        <v>4572</v>
      </c>
      <c r="M1013" s="50" t="s">
        <v>4923</v>
      </c>
      <c r="N1013" s="51" t="s">
        <v>53</v>
      </c>
      <c r="O1013" s="26" t="s">
        <v>728</v>
      </c>
      <c r="P1013" s="26">
        <v>90185</v>
      </c>
      <c r="Q1013" s="26" t="s">
        <v>55</v>
      </c>
    </row>
    <row r="1014" spans="1:17" x14ac:dyDescent="0.3">
      <c r="A1014" s="26" t="s">
        <v>4924</v>
      </c>
      <c r="B1014" s="26" t="s">
        <v>4925</v>
      </c>
      <c r="C1014" s="26" t="s">
        <v>4309</v>
      </c>
      <c r="D1014" s="26" t="s">
        <v>4831</v>
      </c>
      <c r="E1014" s="26" t="s">
        <v>3122</v>
      </c>
      <c r="F1014" s="26" t="s">
        <v>3694</v>
      </c>
      <c r="G1014" s="26" t="s">
        <v>4926</v>
      </c>
      <c r="H1014" s="26" t="s">
        <v>39</v>
      </c>
      <c r="I1014" s="26" t="s">
        <v>4927</v>
      </c>
      <c r="J1014" s="11" t="str">
        <f>VLOOKUP(K1014,'PN Dictionary'!A:B,2,FALSE)</f>
        <v>Cable Cartridge</v>
      </c>
      <c r="K1014" s="26" t="s">
        <v>6</v>
      </c>
      <c r="L1014" s="26">
        <v>1820726354081</v>
      </c>
      <c r="M1014" s="50">
        <v>2025125351522</v>
      </c>
      <c r="N1014" s="51" t="s">
        <v>53</v>
      </c>
      <c r="O1014" s="26" t="s">
        <v>728</v>
      </c>
      <c r="P1014" s="26">
        <v>90131</v>
      </c>
      <c r="Q1014" s="26" t="s">
        <v>55</v>
      </c>
    </row>
    <row r="1015" spans="1:17" x14ac:dyDescent="0.3">
      <c r="A1015" s="26" t="s">
        <v>4928</v>
      </c>
      <c r="B1015" s="26" t="s">
        <v>4929</v>
      </c>
      <c r="C1015" s="26" t="s">
        <v>4309</v>
      </c>
      <c r="D1015" s="26" t="s">
        <v>4891</v>
      </c>
      <c r="E1015" s="26" t="s">
        <v>128</v>
      </c>
      <c r="F1015" s="26" t="s">
        <v>205</v>
      </c>
      <c r="G1015" s="26" t="s">
        <v>4926</v>
      </c>
      <c r="H1015" s="26" t="s">
        <v>39</v>
      </c>
      <c r="I1015" s="26" t="s">
        <v>4930</v>
      </c>
      <c r="J1015" s="11" t="str">
        <f>VLOOKUP(K1015,'PN Dictionary'!A:B,2,FALSE)</f>
        <v>Cable Cartridge</v>
      </c>
      <c r="K1015" s="26" t="s">
        <v>6</v>
      </c>
      <c r="L1015" s="26">
        <v>1820626356523</v>
      </c>
      <c r="M1015" s="50">
        <v>2025125351338</v>
      </c>
      <c r="N1015" s="51" t="s">
        <v>53</v>
      </c>
      <c r="O1015" s="26" t="s">
        <v>728</v>
      </c>
      <c r="P1015" s="26">
        <v>90185</v>
      </c>
      <c r="Q1015" s="26" t="s">
        <v>55</v>
      </c>
    </row>
    <row r="1016" spans="1:17" x14ac:dyDescent="0.3">
      <c r="A1016" s="26" t="s">
        <v>4931</v>
      </c>
      <c r="B1016" s="26" t="s">
        <v>4932</v>
      </c>
      <c r="C1016" s="26" t="s">
        <v>4309</v>
      </c>
      <c r="D1016" s="26" t="s">
        <v>4891</v>
      </c>
      <c r="E1016" s="26" t="s">
        <v>128</v>
      </c>
      <c r="F1016" s="26" t="s">
        <v>205</v>
      </c>
      <c r="G1016" s="26" t="s">
        <v>4926</v>
      </c>
      <c r="H1016" s="26" t="s">
        <v>39</v>
      </c>
      <c r="I1016" s="26" t="s">
        <v>4933</v>
      </c>
      <c r="J1016" s="11" t="str">
        <f>VLOOKUP(K1016,'PN Dictionary'!A:B,2,FALSE)</f>
        <v>Cable Cartridge</v>
      </c>
      <c r="K1016" s="26" t="s">
        <v>6</v>
      </c>
      <c r="L1016" s="26">
        <v>1820626356523</v>
      </c>
      <c r="M1016" s="50">
        <v>2025125351338</v>
      </c>
      <c r="N1016" s="51" t="s">
        <v>53</v>
      </c>
      <c r="O1016" s="26" t="s">
        <v>728</v>
      </c>
      <c r="P1016" s="26">
        <v>90131</v>
      </c>
      <c r="Q1016" s="26" t="s">
        <v>55</v>
      </c>
    </row>
    <row r="1017" spans="1:17" x14ac:dyDescent="0.3">
      <c r="A1017" s="26" t="s">
        <v>4934</v>
      </c>
      <c r="B1017" s="26" t="s">
        <v>4935</v>
      </c>
      <c r="C1017" s="26" t="s">
        <v>4309</v>
      </c>
      <c r="D1017" s="26" t="s">
        <v>4936</v>
      </c>
      <c r="E1017" s="26" t="s">
        <v>653</v>
      </c>
      <c r="F1017" s="26" t="s">
        <v>4937</v>
      </c>
      <c r="G1017" s="26" t="s">
        <v>4926</v>
      </c>
      <c r="H1017" s="26" t="s">
        <v>39</v>
      </c>
      <c r="I1017" s="26" t="s">
        <v>4938</v>
      </c>
      <c r="J1017" s="11" t="str">
        <f>VLOOKUP(K1017,'PN Dictionary'!A:B,2,FALSE)</f>
        <v>GB300 L10</v>
      </c>
      <c r="K1017" s="26" t="s">
        <v>4318</v>
      </c>
      <c r="L1017" s="26" t="s">
        <v>4939</v>
      </c>
      <c r="M1017" s="50" t="s">
        <v>4940</v>
      </c>
      <c r="N1017" s="51" t="s">
        <v>53</v>
      </c>
      <c r="O1017" s="26" t="s">
        <v>728</v>
      </c>
      <c r="P1017" s="26">
        <v>90130</v>
      </c>
      <c r="Q1017" s="26" t="s">
        <v>55</v>
      </c>
    </row>
    <row r="1018" spans="1:17" x14ac:dyDescent="0.3">
      <c r="A1018" s="26" t="s">
        <v>4941</v>
      </c>
      <c r="B1018" s="26" t="s">
        <v>4942</v>
      </c>
      <c r="C1018" s="26" t="s">
        <v>4309</v>
      </c>
      <c r="D1018" s="26" t="s">
        <v>4898</v>
      </c>
      <c r="E1018" s="26" t="s">
        <v>3857</v>
      </c>
      <c r="F1018" s="26" t="s">
        <v>3858</v>
      </c>
      <c r="G1018" s="26" t="s">
        <v>4926</v>
      </c>
      <c r="H1018" s="26" t="s">
        <v>39</v>
      </c>
      <c r="I1018" s="26" t="s">
        <v>3858</v>
      </c>
      <c r="J1018" s="11" t="str">
        <f>VLOOKUP(K1018,'PN Dictionary'!A:B,2,FALSE)</f>
        <v>GB300 L10</v>
      </c>
      <c r="K1018" s="26" t="s">
        <v>4318</v>
      </c>
      <c r="L1018" s="26" t="s">
        <v>4943</v>
      </c>
      <c r="M1018" s="50" t="s">
        <v>4944</v>
      </c>
      <c r="N1018" s="51" t="s">
        <v>53</v>
      </c>
      <c r="O1018" s="26" t="s">
        <v>728</v>
      </c>
      <c r="P1018" s="26">
        <v>90185</v>
      </c>
      <c r="Q1018" s="26" t="s">
        <v>55</v>
      </c>
    </row>
    <row r="1019" spans="1:17" x14ac:dyDescent="0.3">
      <c r="A1019" s="26" t="s">
        <v>4945</v>
      </c>
      <c r="B1019" s="26" t="s">
        <v>4946</v>
      </c>
      <c r="C1019" s="26" t="s">
        <v>4309</v>
      </c>
      <c r="D1019" s="26" t="s">
        <v>4922</v>
      </c>
      <c r="E1019" s="26" t="s">
        <v>761</v>
      </c>
      <c r="F1019" s="26" t="s">
        <v>3688</v>
      </c>
      <c r="G1019" s="26" t="s">
        <v>4926</v>
      </c>
      <c r="H1019" s="26" t="s">
        <v>39</v>
      </c>
      <c r="I1019" s="26" t="s">
        <v>3688</v>
      </c>
      <c r="J1019" s="11" t="str">
        <f>VLOOKUP(K1019,'PN Dictionary'!A:B,2,FALSE)</f>
        <v>GB300 L10</v>
      </c>
      <c r="K1019" s="26" t="s">
        <v>4318</v>
      </c>
      <c r="L1019" s="26" t="s">
        <v>4947</v>
      </c>
      <c r="M1019" s="50" t="s">
        <v>4948</v>
      </c>
      <c r="N1019" s="51" t="s">
        <v>53</v>
      </c>
      <c r="O1019" s="26" t="s">
        <v>728</v>
      </c>
      <c r="P1019" s="26">
        <v>90185</v>
      </c>
      <c r="Q1019" s="26" t="s">
        <v>55</v>
      </c>
    </row>
    <row r="1020" spans="1:17" x14ac:dyDescent="0.3">
      <c r="A1020" s="26" t="s">
        <v>4949</v>
      </c>
      <c r="B1020" s="26" t="s">
        <v>4950</v>
      </c>
      <c r="C1020" s="26" t="s">
        <v>4309</v>
      </c>
      <c r="D1020" s="26" t="s">
        <v>4951</v>
      </c>
      <c r="E1020" s="26" t="s">
        <v>761</v>
      </c>
      <c r="F1020" s="26" t="s">
        <v>3688</v>
      </c>
      <c r="G1020" s="26" t="s">
        <v>4926</v>
      </c>
      <c r="H1020" s="26" t="s">
        <v>39</v>
      </c>
      <c r="I1020" s="26" t="s">
        <v>1190</v>
      </c>
      <c r="J1020" s="11" t="str">
        <f>VLOOKUP(K1020,'PN Dictionary'!A:B,2,FALSE)</f>
        <v>GB300 L10</v>
      </c>
      <c r="K1020" s="26" t="s">
        <v>4318</v>
      </c>
      <c r="L1020" s="26" t="s">
        <v>4952</v>
      </c>
      <c r="M1020" s="50" t="s">
        <v>4953</v>
      </c>
      <c r="N1020" s="51" t="s">
        <v>53</v>
      </c>
      <c r="O1020" s="26" t="s">
        <v>728</v>
      </c>
      <c r="P1020" s="26">
        <v>90160</v>
      </c>
      <c r="Q1020" s="26" t="s">
        <v>55</v>
      </c>
    </row>
    <row r="1021" spans="1:17" x14ac:dyDescent="0.3">
      <c r="A1021" s="26" t="s">
        <v>4954</v>
      </c>
      <c r="B1021" s="26" t="s">
        <v>4955</v>
      </c>
      <c r="C1021" s="26" t="s">
        <v>4309</v>
      </c>
      <c r="D1021" s="26" t="s">
        <v>4951</v>
      </c>
      <c r="E1021" s="26" t="s">
        <v>761</v>
      </c>
      <c r="F1021" s="26" t="s">
        <v>3688</v>
      </c>
      <c r="G1021" s="26" t="s">
        <v>4926</v>
      </c>
      <c r="H1021" s="26" t="s">
        <v>39</v>
      </c>
      <c r="I1021" s="26" t="s">
        <v>1190</v>
      </c>
      <c r="J1021" s="11" t="str">
        <f>VLOOKUP(K1021,'PN Dictionary'!A:B,2,FALSE)</f>
        <v>GB300 L10</v>
      </c>
      <c r="K1021" s="26" t="s">
        <v>4318</v>
      </c>
      <c r="L1021" s="26" t="s">
        <v>4956</v>
      </c>
      <c r="M1021" s="50" t="s">
        <v>4957</v>
      </c>
      <c r="N1021" s="51" t="s">
        <v>53</v>
      </c>
      <c r="O1021" s="26" t="s">
        <v>728</v>
      </c>
      <c r="P1021" s="26">
        <v>90160</v>
      </c>
      <c r="Q1021" s="26" t="s">
        <v>55</v>
      </c>
    </row>
    <row r="1022" spans="1:17" x14ac:dyDescent="0.3">
      <c r="A1022" s="26" t="s">
        <v>4958</v>
      </c>
      <c r="B1022" s="26" t="s">
        <v>4959</v>
      </c>
      <c r="C1022" s="26" t="s">
        <v>4309</v>
      </c>
      <c r="D1022" s="26" t="s">
        <v>4960</v>
      </c>
      <c r="E1022" s="26" t="s">
        <v>761</v>
      </c>
      <c r="F1022" s="26" t="s">
        <v>3688</v>
      </c>
      <c r="G1022" s="26" t="s">
        <v>4926</v>
      </c>
      <c r="H1022" s="26" t="s">
        <v>39</v>
      </c>
      <c r="I1022" s="26" t="s">
        <v>1190</v>
      </c>
      <c r="J1022" s="11" t="str">
        <f>VLOOKUP(K1022,'PN Dictionary'!A:B,2,FALSE)</f>
        <v>GB300 L10</v>
      </c>
      <c r="K1022" s="26" t="s">
        <v>4318</v>
      </c>
      <c r="L1022" s="26" t="s">
        <v>4961</v>
      </c>
      <c r="M1022" s="50" t="s">
        <v>4962</v>
      </c>
      <c r="N1022" s="51" t="s">
        <v>53</v>
      </c>
      <c r="O1022" s="26" t="s">
        <v>728</v>
      </c>
      <c r="P1022" s="26">
        <v>90160</v>
      </c>
      <c r="Q1022" s="26" t="s">
        <v>55</v>
      </c>
    </row>
    <row r="1023" spans="1:17" x14ac:dyDescent="0.3">
      <c r="A1023" s="26" t="s">
        <v>4963</v>
      </c>
      <c r="B1023" s="26" t="s">
        <v>4964</v>
      </c>
      <c r="C1023" s="26" t="s">
        <v>4309</v>
      </c>
      <c r="D1023" s="26" t="s">
        <v>4917</v>
      </c>
      <c r="E1023" s="26" t="s">
        <v>761</v>
      </c>
      <c r="F1023" s="26" t="s">
        <v>3688</v>
      </c>
      <c r="G1023" s="26" t="s">
        <v>4926</v>
      </c>
      <c r="H1023" s="26" t="s">
        <v>39</v>
      </c>
      <c r="I1023" s="26" t="s">
        <v>1190</v>
      </c>
      <c r="J1023" s="11" t="str">
        <f>VLOOKUP(K1023,'PN Dictionary'!A:B,2,FALSE)</f>
        <v>GB300 L10</v>
      </c>
      <c r="K1023" s="26" t="s">
        <v>4318</v>
      </c>
      <c r="L1023" s="26" t="s">
        <v>4965</v>
      </c>
      <c r="M1023" s="50" t="s">
        <v>4966</v>
      </c>
      <c r="N1023" s="51" t="s">
        <v>53</v>
      </c>
      <c r="O1023" s="26" t="s">
        <v>728</v>
      </c>
      <c r="P1023" s="26">
        <v>90160</v>
      </c>
      <c r="Q1023" s="26" t="s">
        <v>55</v>
      </c>
    </row>
    <row r="1024" spans="1:17" x14ac:dyDescent="0.3">
      <c r="A1024" s="26" t="s">
        <v>4967</v>
      </c>
      <c r="C1024" s="26" t="s">
        <v>4309</v>
      </c>
      <c r="D1024" s="26" t="s">
        <v>4968</v>
      </c>
      <c r="E1024" s="26" t="s">
        <v>128</v>
      </c>
      <c r="F1024" s="26" t="s">
        <v>205</v>
      </c>
      <c r="G1024" s="26" t="s">
        <v>4926</v>
      </c>
      <c r="H1024" s="26" t="s">
        <v>4969</v>
      </c>
      <c r="I1024" s="26" t="s">
        <v>2010</v>
      </c>
      <c r="J1024" s="11" t="str">
        <f>VLOOKUP(K1024,'PN Dictionary'!A:B,2,FALSE)</f>
        <v>Cable Cartridge</v>
      </c>
      <c r="K1024" s="26" t="s">
        <v>6</v>
      </c>
      <c r="L1024" s="26">
        <v>1820626354724</v>
      </c>
      <c r="M1024" s="50"/>
      <c r="N1024" s="51" t="s">
        <v>53</v>
      </c>
      <c r="O1024" s="26" t="s">
        <v>728</v>
      </c>
      <c r="P1024" s="26">
        <v>90160</v>
      </c>
      <c r="Q1024" s="26" t="s">
        <v>55</v>
      </c>
    </row>
    <row r="1025" spans="1:17" x14ac:dyDescent="0.3">
      <c r="A1025" s="26" t="s">
        <v>4970</v>
      </c>
      <c r="B1025" s="26" t="s">
        <v>4971</v>
      </c>
      <c r="C1025" s="26" t="s">
        <v>4309</v>
      </c>
      <c r="D1025" s="26" t="s">
        <v>4972</v>
      </c>
      <c r="E1025" s="26" t="s">
        <v>761</v>
      </c>
      <c r="F1025" s="26" t="s">
        <v>3688</v>
      </c>
      <c r="G1025" s="26" t="s">
        <v>4926</v>
      </c>
      <c r="H1025" s="26" t="s">
        <v>39</v>
      </c>
      <c r="I1025" s="26" t="s">
        <v>1190</v>
      </c>
      <c r="J1025" s="11" t="str">
        <f>VLOOKUP(K1025,'PN Dictionary'!A:B,2,FALSE)</f>
        <v>GB300 L10</v>
      </c>
      <c r="K1025" s="26" t="s">
        <v>4318</v>
      </c>
      <c r="L1025" s="26" t="s">
        <v>4973</v>
      </c>
      <c r="M1025" s="50" t="s">
        <v>4974</v>
      </c>
      <c r="N1025" s="51" t="s">
        <v>53</v>
      </c>
      <c r="O1025" s="26" t="s">
        <v>728</v>
      </c>
      <c r="P1025" s="26">
        <v>90160</v>
      </c>
      <c r="Q1025" s="26" t="s">
        <v>55</v>
      </c>
    </row>
    <row r="1026" spans="1:17" x14ac:dyDescent="0.3">
      <c r="A1026" s="26" t="s">
        <v>4975</v>
      </c>
      <c r="B1026" s="26" t="s">
        <v>4976</v>
      </c>
      <c r="C1026" s="26" t="s">
        <v>4309</v>
      </c>
      <c r="D1026" s="26" t="s">
        <v>4977</v>
      </c>
      <c r="E1026" s="26" t="s">
        <v>761</v>
      </c>
      <c r="F1026" s="26" t="s">
        <v>3688</v>
      </c>
      <c r="G1026" s="26" t="s">
        <v>4978</v>
      </c>
      <c r="H1026" s="26" t="s">
        <v>39</v>
      </c>
      <c r="I1026" s="26" t="s">
        <v>3688</v>
      </c>
      <c r="J1026" s="11" t="str">
        <f>VLOOKUP(K1026,'PN Dictionary'!A:B,2,FALSE)</f>
        <v>GB300 L10</v>
      </c>
      <c r="K1026" s="26" t="s">
        <v>4318</v>
      </c>
      <c r="L1026" s="26" t="s">
        <v>4979</v>
      </c>
      <c r="M1026" s="50" t="s">
        <v>4980</v>
      </c>
      <c r="N1026" s="51" t="s">
        <v>53</v>
      </c>
      <c r="O1026" s="26" t="s">
        <v>728</v>
      </c>
      <c r="P1026" s="26">
        <v>90185</v>
      </c>
      <c r="Q1026" s="26" t="s">
        <v>55</v>
      </c>
    </row>
    <row r="1027" spans="1:17" x14ac:dyDescent="0.3">
      <c r="A1027" s="26" t="s">
        <v>4981</v>
      </c>
      <c r="B1027" s="26" t="s">
        <v>4982</v>
      </c>
      <c r="C1027" s="26" t="s">
        <v>4309</v>
      </c>
      <c r="D1027" s="26" t="s">
        <v>4983</v>
      </c>
      <c r="E1027" s="26" t="s">
        <v>761</v>
      </c>
      <c r="F1027" s="26" t="s">
        <v>3688</v>
      </c>
      <c r="G1027" s="26" t="s">
        <v>4978</v>
      </c>
      <c r="H1027" s="26" t="s">
        <v>39</v>
      </c>
      <c r="I1027" s="26" t="s">
        <v>3688</v>
      </c>
      <c r="J1027" s="11" t="str">
        <f>VLOOKUP(K1027,'PN Dictionary'!A:B,2,FALSE)</f>
        <v>GB300 L10</v>
      </c>
      <c r="K1027" s="26" t="s">
        <v>4318</v>
      </c>
      <c r="L1027" s="26" t="s">
        <v>4984</v>
      </c>
      <c r="M1027" s="50" t="s">
        <v>4985</v>
      </c>
      <c r="N1027" s="51" t="s">
        <v>53</v>
      </c>
      <c r="O1027" s="26" t="s">
        <v>728</v>
      </c>
      <c r="P1027" s="26">
        <v>90185</v>
      </c>
      <c r="Q1027" s="26" t="s">
        <v>55</v>
      </c>
    </row>
    <row r="1028" spans="1:17" x14ac:dyDescent="0.3">
      <c r="A1028" s="26" t="s">
        <v>4986</v>
      </c>
      <c r="B1028" s="26" t="s">
        <v>4987</v>
      </c>
      <c r="C1028" s="26" t="s">
        <v>4309</v>
      </c>
      <c r="D1028" s="26" t="s">
        <v>4988</v>
      </c>
      <c r="E1028" s="26" t="s">
        <v>761</v>
      </c>
      <c r="F1028" s="26" t="s">
        <v>3688</v>
      </c>
      <c r="G1028" s="26" t="s">
        <v>4978</v>
      </c>
      <c r="H1028" s="26" t="s">
        <v>39</v>
      </c>
      <c r="I1028" s="26" t="s">
        <v>3688</v>
      </c>
      <c r="J1028" s="11" t="str">
        <f>VLOOKUP(K1028,'PN Dictionary'!A:B,2,FALSE)</f>
        <v>GB300 L10</v>
      </c>
      <c r="K1028" s="26" t="s">
        <v>4318</v>
      </c>
      <c r="L1028" s="26" t="s">
        <v>4989</v>
      </c>
      <c r="M1028" s="50" t="s">
        <v>4990</v>
      </c>
      <c r="N1028" s="51" t="s">
        <v>53</v>
      </c>
      <c r="O1028" s="26" t="s">
        <v>728</v>
      </c>
      <c r="P1028" s="26">
        <v>90185</v>
      </c>
      <c r="Q1028" s="26" t="s">
        <v>55</v>
      </c>
    </row>
    <row r="1029" spans="1:17" x14ac:dyDescent="0.3">
      <c r="A1029" s="26" t="s">
        <v>4991</v>
      </c>
      <c r="B1029" s="26" t="s">
        <v>4992</v>
      </c>
      <c r="C1029" s="26" t="s">
        <v>4309</v>
      </c>
      <c r="D1029" s="26" t="s">
        <v>4993</v>
      </c>
      <c r="E1029" s="26" t="s">
        <v>761</v>
      </c>
      <c r="F1029" s="26" t="s">
        <v>3688</v>
      </c>
      <c r="G1029" s="26" t="s">
        <v>4978</v>
      </c>
      <c r="H1029" s="26" t="s">
        <v>39</v>
      </c>
      <c r="I1029" s="26" t="s">
        <v>3688</v>
      </c>
      <c r="J1029" s="11" t="str">
        <f>VLOOKUP(K1029,'PN Dictionary'!A:B,2,FALSE)</f>
        <v>GB300 L10</v>
      </c>
      <c r="K1029" s="26" t="s">
        <v>4318</v>
      </c>
      <c r="L1029" s="26" t="s">
        <v>4994</v>
      </c>
      <c r="M1029" s="50" t="s">
        <v>4995</v>
      </c>
      <c r="N1029" s="51" t="s">
        <v>53</v>
      </c>
      <c r="O1029" s="26" t="s">
        <v>728</v>
      </c>
      <c r="P1029" s="26">
        <v>90185</v>
      </c>
      <c r="Q1029" s="26" t="s">
        <v>55</v>
      </c>
    </row>
    <row r="1030" spans="1:17" x14ac:dyDescent="0.3">
      <c r="A1030" s="26" t="s">
        <v>4996</v>
      </c>
      <c r="B1030" s="26" t="s">
        <v>4997</v>
      </c>
      <c r="C1030" s="26" t="s">
        <v>4309</v>
      </c>
      <c r="D1030" s="26" t="s">
        <v>4998</v>
      </c>
      <c r="E1030" s="26" t="s">
        <v>761</v>
      </c>
      <c r="F1030" s="26" t="s">
        <v>3688</v>
      </c>
      <c r="G1030" s="26" t="s">
        <v>4978</v>
      </c>
      <c r="H1030" s="26" t="s">
        <v>39</v>
      </c>
      <c r="I1030" s="26" t="s">
        <v>3688</v>
      </c>
      <c r="J1030" s="11" t="str">
        <f>VLOOKUP(K1030,'PN Dictionary'!A:B,2,FALSE)</f>
        <v>GB300 L10</v>
      </c>
      <c r="K1030" s="26" t="s">
        <v>4318</v>
      </c>
      <c r="L1030" s="26" t="s">
        <v>4999</v>
      </c>
      <c r="M1030" s="50" t="s">
        <v>5000</v>
      </c>
      <c r="N1030" s="51" t="s">
        <v>53</v>
      </c>
      <c r="O1030" s="26" t="s">
        <v>728</v>
      </c>
      <c r="P1030" s="26">
        <v>90185</v>
      </c>
      <c r="Q1030" s="26" t="s">
        <v>55</v>
      </c>
    </row>
    <row r="1031" spans="1:17" x14ac:dyDescent="0.3">
      <c r="A1031" s="26" t="s">
        <v>5001</v>
      </c>
      <c r="B1031" s="26" t="s">
        <v>5002</v>
      </c>
      <c r="C1031" s="26" t="s">
        <v>4309</v>
      </c>
      <c r="D1031" s="26" t="s">
        <v>5003</v>
      </c>
      <c r="E1031" s="26" t="s">
        <v>81</v>
      </c>
      <c r="F1031" s="26" t="s">
        <v>522</v>
      </c>
      <c r="G1031" s="26" t="s">
        <v>4978</v>
      </c>
      <c r="H1031" s="26" t="s">
        <v>39</v>
      </c>
      <c r="I1031" s="26" t="s">
        <v>522</v>
      </c>
      <c r="J1031" s="11" t="str">
        <f>VLOOKUP(K1031,'PN Dictionary'!A:B,2,FALSE)</f>
        <v>GB300 L10</v>
      </c>
      <c r="K1031" s="26" t="s">
        <v>4318</v>
      </c>
      <c r="L1031" s="26" t="s">
        <v>5004</v>
      </c>
      <c r="M1031" s="50" t="s">
        <v>5005</v>
      </c>
      <c r="N1031" s="51" t="s">
        <v>53</v>
      </c>
      <c r="O1031" s="26" t="s">
        <v>728</v>
      </c>
      <c r="P1031" s="26">
        <v>90185</v>
      </c>
      <c r="Q1031" s="26" t="s">
        <v>55</v>
      </c>
    </row>
    <row r="1032" spans="1:17" x14ac:dyDescent="0.3">
      <c r="A1032" s="26" t="s">
        <v>5006</v>
      </c>
      <c r="B1032" s="26" t="s">
        <v>5007</v>
      </c>
      <c r="C1032" s="26" t="s">
        <v>4309</v>
      </c>
      <c r="D1032" s="26" t="s">
        <v>4960</v>
      </c>
      <c r="E1032" s="26" t="s">
        <v>761</v>
      </c>
      <c r="F1032" s="26" t="s">
        <v>3688</v>
      </c>
      <c r="G1032" s="26" t="s">
        <v>4978</v>
      </c>
      <c r="H1032" s="26" t="s">
        <v>39</v>
      </c>
      <c r="I1032" s="26" t="s">
        <v>1190</v>
      </c>
      <c r="J1032" s="11" t="str">
        <f>VLOOKUP(K1032,'PN Dictionary'!A:B,2,FALSE)</f>
        <v>GB300 L10</v>
      </c>
      <c r="K1032" s="26" t="s">
        <v>4318</v>
      </c>
      <c r="L1032" s="26" t="s">
        <v>5008</v>
      </c>
      <c r="M1032" s="50" t="s">
        <v>5009</v>
      </c>
      <c r="N1032" s="51" t="s">
        <v>53</v>
      </c>
      <c r="O1032" s="26" t="s">
        <v>728</v>
      </c>
      <c r="P1032" s="26">
        <v>90160</v>
      </c>
      <c r="Q1032" s="26" t="s">
        <v>55</v>
      </c>
    </row>
    <row r="1033" spans="1:17" x14ac:dyDescent="0.3">
      <c r="A1033" s="26" t="s">
        <v>5010</v>
      </c>
      <c r="B1033" s="26" t="s">
        <v>5011</v>
      </c>
      <c r="C1033" s="26" t="s">
        <v>4309</v>
      </c>
      <c r="D1033" s="26" t="s">
        <v>4960</v>
      </c>
      <c r="E1033" s="26" t="s">
        <v>761</v>
      </c>
      <c r="F1033" s="26" t="s">
        <v>3688</v>
      </c>
      <c r="G1033" s="26" t="s">
        <v>4978</v>
      </c>
      <c r="H1033" s="26" t="s">
        <v>39</v>
      </c>
      <c r="I1033" s="26" t="s">
        <v>1190</v>
      </c>
      <c r="J1033" s="11" t="str">
        <f>VLOOKUP(K1033,'PN Dictionary'!A:B,2,FALSE)</f>
        <v>GB300 L10</v>
      </c>
      <c r="K1033" s="26" t="s">
        <v>4318</v>
      </c>
      <c r="L1033" s="26" t="s">
        <v>5012</v>
      </c>
      <c r="M1033" s="50" t="s">
        <v>5013</v>
      </c>
      <c r="N1033" s="51" t="s">
        <v>53</v>
      </c>
      <c r="O1033" s="26" t="s">
        <v>728</v>
      </c>
      <c r="P1033" s="26">
        <v>90160</v>
      </c>
      <c r="Q1033" s="26" t="s">
        <v>55</v>
      </c>
    </row>
    <row r="1034" spans="1:17" x14ac:dyDescent="0.3">
      <c r="A1034" s="26" t="s">
        <v>5014</v>
      </c>
      <c r="B1034" s="26" t="s">
        <v>5015</v>
      </c>
      <c r="C1034" s="26" t="s">
        <v>4309</v>
      </c>
      <c r="D1034" s="26" t="s">
        <v>4886</v>
      </c>
      <c r="E1034" s="26" t="s">
        <v>761</v>
      </c>
      <c r="F1034" s="26" t="s">
        <v>3688</v>
      </c>
      <c r="G1034" s="26" t="s">
        <v>4978</v>
      </c>
      <c r="H1034" s="26" t="s">
        <v>39</v>
      </c>
      <c r="I1034" s="26" t="s">
        <v>1190</v>
      </c>
      <c r="J1034" s="11" t="str">
        <f>VLOOKUP(K1034,'PN Dictionary'!A:B,2,FALSE)</f>
        <v>GB300 L10</v>
      </c>
      <c r="K1034" s="26" t="s">
        <v>4318</v>
      </c>
      <c r="L1034" s="26" t="s">
        <v>5016</v>
      </c>
      <c r="M1034" s="50" t="s">
        <v>5017</v>
      </c>
      <c r="N1034" s="51" t="s">
        <v>53</v>
      </c>
      <c r="O1034" s="26" t="s">
        <v>728</v>
      </c>
      <c r="P1034" s="26">
        <v>90160</v>
      </c>
      <c r="Q1034" s="26" t="s">
        <v>55</v>
      </c>
    </row>
    <row r="1035" spans="1:17" x14ac:dyDescent="0.3">
      <c r="A1035" s="26" t="s">
        <v>5018</v>
      </c>
      <c r="B1035" s="26" t="s">
        <v>5019</v>
      </c>
      <c r="C1035" s="26" t="s">
        <v>4309</v>
      </c>
      <c r="D1035" s="26" t="s">
        <v>4816</v>
      </c>
      <c r="E1035" s="26" t="s">
        <v>761</v>
      </c>
      <c r="F1035" s="26" t="s">
        <v>3688</v>
      </c>
      <c r="G1035" s="26" t="s">
        <v>4978</v>
      </c>
      <c r="H1035" s="26" t="s">
        <v>39</v>
      </c>
      <c r="I1035" s="26" t="s">
        <v>1190</v>
      </c>
      <c r="J1035" s="11" t="str">
        <f>VLOOKUP(K1035,'PN Dictionary'!A:B,2,FALSE)</f>
        <v>GB300 L10</v>
      </c>
      <c r="K1035" s="26" t="s">
        <v>4318</v>
      </c>
      <c r="L1035" s="26" t="s">
        <v>5020</v>
      </c>
      <c r="M1035" s="50" t="s">
        <v>5021</v>
      </c>
      <c r="N1035" s="51" t="s">
        <v>53</v>
      </c>
      <c r="O1035" s="26" t="s">
        <v>728</v>
      </c>
      <c r="P1035" s="26">
        <v>90160</v>
      </c>
      <c r="Q1035" s="26" t="s">
        <v>55</v>
      </c>
    </row>
    <row r="1036" spans="1:17" x14ac:dyDescent="0.3">
      <c r="A1036" s="26" t="s">
        <v>5022</v>
      </c>
      <c r="B1036" s="26" t="s">
        <v>5023</v>
      </c>
      <c r="C1036" s="26" t="s">
        <v>4309</v>
      </c>
      <c r="D1036" s="26" t="s">
        <v>4883</v>
      </c>
      <c r="E1036" s="26" t="s">
        <v>761</v>
      </c>
      <c r="F1036" s="26" t="s">
        <v>3688</v>
      </c>
      <c r="G1036" s="26" t="s">
        <v>4978</v>
      </c>
      <c r="H1036" s="26" t="s">
        <v>39</v>
      </c>
      <c r="I1036" s="26" t="s">
        <v>1190</v>
      </c>
      <c r="J1036" s="11" t="str">
        <f>VLOOKUP(K1036,'PN Dictionary'!A:B,2,FALSE)</f>
        <v>GB300 L10</v>
      </c>
      <c r="K1036" s="26" t="s">
        <v>4318</v>
      </c>
      <c r="L1036" s="26" t="s">
        <v>5024</v>
      </c>
      <c r="M1036" s="50" t="s">
        <v>5025</v>
      </c>
      <c r="N1036" s="51" t="s">
        <v>53</v>
      </c>
      <c r="O1036" s="26" t="s">
        <v>728</v>
      </c>
      <c r="P1036" s="26">
        <v>90160</v>
      </c>
      <c r="Q1036" s="26" t="s">
        <v>55</v>
      </c>
    </row>
    <row r="1037" spans="1:17" x14ac:dyDescent="0.3">
      <c r="A1037" s="26" t="s">
        <v>5026</v>
      </c>
      <c r="B1037" s="26" t="s">
        <v>5027</v>
      </c>
      <c r="C1037" s="26" t="s">
        <v>4309</v>
      </c>
      <c r="D1037" s="26" t="s">
        <v>5028</v>
      </c>
      <c r="E1037" s="26" t="s">
        <v>761</v>
      </c>
      <c r="F1037" s="26" t="s">
        <v>3688</v>
      </c>
      <c r="G1037" s="26" t="s">
        <v>4978</v>
      </c>
      <c r="H1037" s="26" t="s">
        <v>39</v>
      </c>
      <c r="I1037" s="26" t="s">
        <v>1190</v>
      </c>
      <c r="J1037" s="11" t="str">
        <f>VLOOKUP(K1037,'PN Dictionary'!A:B,2,FALSE)</f>
        <v>GB300 L10</v>
      </c>
      <c r="K1037" s="26" t="s">
        <v>4318</v>
      </c>
      <c r="L1037" s="26" t="s">
        <v>5029</v>
      </c>
      <c r="M1037" s="50" t="s">
        <v>5030</v>
      </c>
      <c r="N1037" s="51" t="s">
        <v>53</v>
      </c>
      <c r="O1037" s="26" t="s">
        <v>728</v>
      </c>
      <c r="P1037" s="26">
        <v>90160</v>
      </c>
      <c r="Q1037" s="26" t="s">
        <v>55</v>
      </c>
    </row>
    <row r="1038" spans="1:17" x14ac:dyDescent="0.3">
      <c r="A1038" s="26" t="s">
        <v>5031</v>
      </c>
      <c r="B1038" s="26" t="s">
        <v>5032</v>
      </c>
      <c r="C1038" s="26" t="s">
        <v>4309</v>
      </c>
      <c r="D1038" s="26" t="s">
        <v>5033</v>
      </c>
      <c r="E1038" s="26" t="s">
        <v>761</v>
      </c>
      <c r="F1038" s="26" t="s">
        <v>3688</v>
      </c>
      <c r="G1038" s="26" t="s">
        <v>4978</v>
      </c>
      <c r="H1038" s="26" t="s">
        <v>39</v>
      </c>
      <c r="I1038" s="26" t="s">
        <v>1190</v>
      </c>
      <c r="J1038" s="11" t="str">
        <f>VLOOKUP(K1038,'PN Dictionary'!A:B,2,FALSE)</f>
        <v>GB300 L10</v>
      </c>
      <c r="K1038" s="26" t="s">
        <v>4318</v>
      </c>
      <c r="L1038" s="26" t="s">
        <v>5034</v>
      </c>
      <c r="M1038" s="50" t="s">
        <v>5035</v>
      </c>
      <c r="N1038" s="51" t="s">
        <v>53</v>
      </c>
      <c r="O1038" s="26" t="s">
        <v>728</v>
      </c>
      <c r="P1038" s="26">
        <v>90160</v>
      </c>
      <c r="Q1038" s="26" t="s">
        <v>55</v>
      </c>
    </row>
    <row r="1039" spans="1:17" x14ac:dyDescent="0.3">
      <c r="A1039" s="26" t="s">
        <v>5036</v>
      </c>
      <c r="B1039" s="26" t="s">
        <v>5037</v>
      </c>
      <c r="C1039" s="26" t="s">
        <v>4309</v>
      </c>
      <c r="D1039" s="26" t="s">
        <v>5038</v>
      </c>
      <c r="E1039" s="26" t="s">
        <v>3881</v>
      </c>
      <c r="F1039" s="26" t="s">
        <v>3882</v>
      </c>
      <c r="G1039" s="26" t="s">
        <v>4978</v>
      </c>
      <c r="H1039" s="26" t="s">
        <v>39</v>
      </c>
      <c r="I1039" s="26" t="s">
        <v>5039</v>
      </c>
      <c r="J1039" s="11" t="str">
        <f>VLOOKUP(K1039,'PN Dictionary'!A:B,2,FALSE)</f>
        <v>GB300 L10</v>
      </c>
      <c r="K1039" s="26" t="s">
        <v>4318</v>
      </c>
      <c r="L1039" s="26" t="s">
        <v>5040</v>
      </c>
      <c r="M1039" s="50" t="s">
        <v>5041</v>
      </c>
      <c r="N1039" s="51" t="s">
        <v>53</v>
      </c>
      <c r="O1039" s="26" t="s">
        <v>728</v>
      </c>
      <c r="P1039" s="26">
        <v>90185</v>
      </c>
      <c r="Q1039" s="26" t="s">
        <v>55</v>
      </c>
    </row>
    <row r="1040" spans="1:17" x14ac:dyDescent="0.3">
      <c r="A1040" s="26" t="s">
        <v>5042</v>
      </c>
      <c r="B1040" s="26" t="s">
        <v>5043</v>
      </c>
      <c r="C1040" s="26" t="s">
        <v>4309</v>
      </c>
      <c r="D1040" s="26" t="s">
        <v>5044</v>
      </c>
      <c r="E1040" s="26" t="s">
        <v>761</v>
      </c>
      <c r="F1040" s="26" t="s">
        <v>3688</v>
      </c>
      <c r="G1040" s="26" t="s">
        <v>4978</v>
      </c>
      <c r="H1040" s="26" t="s">
        <v>39</v>
      </c>
      <c r="I1040" s="26" t="s">
        <v>1190</v>
      </c>
      <c r="J1040" s="11" t="str">
        <f>VLOOKUP(K1040,'PN Dictionary'!A:B,2,FALSE)</f>
        <v>GB300 L10</v>
      </c>
      <c r="K1040" s="26" t="s">
        <v>4318</v>
      </c>
      <c r="L1040" s="26" t="s">
        <v>4823</v>
      </c>
      <c r="M1040" s="50" t="s">
        <v>5045</v>
      </c>
      <c r="N1040" s="51" t="s">
        <v>53</v>
      </c>
      <c r="O1040" s="26" t="s">
        <v>728</v>
      </c>
      <c r="P1040" s="26">
        <v>90160</v>
      </c>
      <c r="Q1040" s="26" t="s">
        <v>55</v>
      </c>
    </row>
    <row r="1041" spans="1:17" x14ac:dyDescent="0.3">
      <c r="A1041" s="26" t="s">
        <v>5046</v>
      </c>
      <c r="B1041" s="26" t="s">
        <v>5047</v>
      </c>
      <c r="C1041" s="26" t="s">
        <v>4309</v>
      </c>
      <c r="D1041" s="26" t="s">
        <v>5048</v>
      </c>
      <c r="E1041" s="26" t="s">
        <v>128</v>
      </c>
      <c r="F1041" s="26" t="s">
        <v>205</v>
      </c>
      <c r="G1041" s="26" t="s">
        <v>4978</v>
      </c>
      <c r="H1041" s="26" t="s">
        <v>39</v>
      </c>
      <c r="I1041" s="26" t="s">
        <v>5049</v>
      </c>
      <c r="J1041" s="11" t="str">
        <f>VLOOKUP(K1041,'PN Dictionary'!A:B,2,FALSE)</f>
        <v>Cable Cartridge</v>
      </c>
      <c r="K1041" s="26" t="s">
        <v>6</v>
      </c>
      <c r="L1041" s="26">
        <v>1820626354898</v>
      </c>
      <c r="M1041" s="50">
        <v>2025125351514</v>
      </c>
      <c r="N1041" s="51" t="s">
        <v>53</v>
      </c>
      <c r="O1041" s="26" t="s">
        <v>728</v>
      </c>
      <c r="P1041" s="26">
        <v>90160</v>
      </c>
      <c r="Q1041" s="26" t="s">
        <v>55</v>
      </c>
    </row>
    <row r="1042" spans="1:17" x14ac:dyDescent="0.3">
      <c r="A1042" s="26" t="s">
        <v>5050</v>
      </c>
      <c r="B1042" s="26" t="s">
        <v>5051</v>
      </c>
      <c r="C1042" s="26" t="s">
        <v>4309</v>
      </c>
      <c r="D1042" s="26" t="s">
        <v>4951</v>
      </c>
      <c r="E1042" s="26" t="s">
        <v>411</v>
      </c>
      <c r="F1042" s="26" t="s">
        <v>597</v>
      </c>
      <c r="G1042" s="26" t="s">
        <v>4978</v>
      </c>
      <c r="H1042" s="26" t="s">
        <v>39</v>
      </c>
      <c r="I1042" s="26" t="s">
        <v>5052</v>
      </c>
      <c r="J1042" s="11" t="str">
        <f>VLOOKUP(K1042,'PN Dictionary'!A:B,2,FALSE)</f>
        <v>NVSwitch</v>
      </c>
      <c r="K1042" s="26" t="s">
        <v>7</v>
      </c>
      <c r="L1042" s="26" t="s">
        <v>5053</v>
      </c>
      <c r="M1042" s="50" t="s">
        <v>5054</v>
      </c>
      <c r="N1042" s="51" t="s">
        <v>53</v>
      </c>
      <c r="O1042" s="26" t="s">
        <v>728</v>
      </c>
      <c r="P1042" s="26">
        <v>90130</v>
      </c>
      <c r="Q1042" s="26" t="s">
        <v>55</v>
      </c>
    </row>
    <row r="1043" spans="1:17" x14ac:dyDescent="0.3">
      <c r="A1043" s="26" t="s">
        <v>5055</v>
      </c>
      <c r="B1043" s="26" t="s">
        <v>5056</v>
      </c>
      <c r="C1043" s="26" t="s">
        <v>4309</v>
      </c>
      <c r="D1043" s="26" t="s">
        <v>4972</v>
      </c>
      <c r="E1043" s="26" t="s">
        <v>230</v>
      </c>
      <c r="F1043" s="26" t="s">
        <v>238</v>
      </c>
      <c r="G1043" s="26" t="s">
        <v>5057</v>
      </c>
      <c r="H1043" s="26" t="s">
        <v>39</v>
      </c>
      <c r="I1043" s="26" t="s">
        <v>5058</v>
      </c>
      <c r="J1043" s="11" t="str">
        <f>VLOOKUP(K1043,'PN Dictionary'!A:B,2,FALSE)</f>
        <v>NVSwitch</v>
      </c>
      <c r="K1043" s="26" t="s">
        <v>7</v>
      </c>
      <c r="L1043" s="26" t="s">
        <v>5059</v>
      </c>
      <c r="M1043" s="50" t="s">
        <v>5060</v>
      </c>
      <c r="N1043" s="51" t="s">
        <v>53</v>
      </c>
      <c r="O1043" s="26" t="s">
        <v>728</v>
      </c>
      <c r="P1043" s="26">
        <v>1519</v>
      </c>
      <c r="Q1043" s="26" t="s">
        <v>55</v>
      </c>
    </row>
    <row r="1044" spans="1:17" x14ac:dyDescent="0.3">
      <c r="A1044" s="26" t="s">
        <v>5063</v>
      </c>
      <c r="B1044" s="26" t="s">
        <v>5064</v>
      </c>
      <c r="C1044" s="26" t="s">
        <v>4309</v>
      </c>
      <c r="D1044" s="26" t="s">
        <v>5065</v>
      </c>
      <c r="E1044" s="26" t="s">
        <v>761</v>
      </c>
      <c r="F1044" s="26" t="s">
        <v>3688</v>
      </c>
      <c r="G1044" s="26" t="s">
        <v>5057</v>
      </c>
      <c r="H1044" s="26" t="s">
        <v>39</v>
      </c>
      <c r="I1044" s="26" t="s">
        <v>1190</v>
      </c>
      <c r="J1044" s="11" t="str">
        <f>VLOOKUP(K1044,'PN Dictionary'!A:B,2,FALSE)</f>
        <v>GB300 L10</v>
      </c>
      <c r="K1044" s="26" t="s">
        <v>4318</v>
      </c>
      <c r="L1044" s="26" t="s">
        <v>4796</v>
      </c>
      <c r="M1044" s="50" t="s">
        <v>5066</v>
      </c>
      <c r="N1044" s="51" t="s">
        <v>53</v>
      </c>
      <c r="O1044" s="26" t="s">
        <v>728</v>
      </c>
      <c r="P1044" s="26">
        <v>90160</v>
      </c>
      <c r="Q1044" s="26" t="s">
        <v>55</v>
      </c>
    </row>
    <row r="1045" spans="1:17" x14ac:dyDescent="0.3">
      <c r="A1045" s="26" t="s">
        <v>5067</v>
      </c>
      <c r="B1045" s="26" t="s">
        <v>5068</v>
      </c>
      <c r="C1045" s="26" t="s">
        <v>4309</v>
      </c>
      <c r="D1045" s="26" t="s">
        <v>5069</v>
      </c>
      <c r="E1045" s="26" t="s">
        <v>761</v>
      </c>
      <c r="F1045" s="26" t="s">
        <v>3688</v>
      </c>
      <c r="G1045" s="26" t="s">
        <v>5057</v>
      </c>
      <c r="H1045" s="26" t="s">
        <v>39</v>
      </c>
      <c r="I1045" s="26" t="s">
        <v>1190</v>
      </c>
      <c r="J1045" s="11" t="str">
        <f>VLOOKUP(K1045,'PN Dictionary'!A:B,2,FALSE)</f>
        <v>GB300 L10</v>
      </c>
      <c r="K1045" s="26" t="s">
        <v>4318</v>
      </c>
      <c r="L1045" s="26" t="s">
        <v>5070</v>
      </c>
      <c r="M1045" s="50" t="s">
        <v>5071</v>
      </c>
      <c r="N1045" s="51" t="s">
        <v>53</v>
      </c>
      <c r="O1045" s="26" t="s">
        <v>728</v>
      </c>
      <c r="P1045" s="26">
        <v>90160</v>
      </c>
      <c r="Q1045" s="26" t="s">
        <v>55</v>
      </c>
    </row>
    <row r="1046" spans="1:17" x14ac:dyDescent="0.3">
      <c r="A1046" s="26" t="s">
        <v>5072</v>
      </c>
      <c r="B1046" s="26" t="s">
        <v>5073</v>
      </c>
      <c r="C1046" s="26" t="s">
        <v>4309</v>
      </c>
      <c r="D1046" s="26" t="s">
        <v>5065</v>
      </c>
      <c r="E1046" s="26" t="s">
        <v>761</v>
      </c>
      <c r="F1046" s="26" t="s">
        <v>3688</v>
      </c>
      <c r="G1046" s="26" t="s">
        <v>5057</v>
      </c>
      <c r="H1046" s="26" t="s">
        <v>39</v>
      </c>
      <c r="I1046" s="26" t="s">
        <v>1190</v>
      </c>
      <c r="J1046" s="11" t="str">
        <f>VLOOKUP(K1046,'PN Dictionary'!A:B,2,FALSE)</f>
        <v>GB300 L10</v>
      </c>
      <c r="K1046" s="26" t="s">
        <v>4318</v>
      </c>
      <c r="L1046" s="26" t="s">
        <v>5074</v>
      </c>
      <c r="M1046" s="50" t="s">
        <v>5075</v>
      </c>
      <c r="N1046" s="51" t="s">
        <v>53</v>
      </c>
      <c r="O1046" s="26" t="s">
        <v>728</v>
      </c>
      <c r="P1046" s="26">
        <v>90160</v>
      </c>
      <c r="Q1046" s="26" t="s">
        <v>55</v>
      </c>
    </row>
    <row r="1047" spans="1:17" x14ac:dyDescent="0.3">
      <c r="A1047" s="26" t="s">
        <v>5076</v>
      </c>
      <c r="B1047" s="26" t="s">
        <v>5077</v>
      </c>
      <c r="C1047" s="26" t="s">
        <v>4309</v>
      </c>
      <c r="D1047" s="26" t="s">
        <v>5078</v>
      </c>
      <c r="E1047" s="26" t="s">
        <v>761</v>
      </c>
      <c r="F1047" s="26" t="s">
        <v>3688</v>
      </c>
      <c r="G1047" s="26" t="s">
        <v>5057</v>
      </c>
      <c r="H1047" s="26" t="s">
        <v>39</v>
      </c>
      <c r="I1047" s="26" t="s">
        <v>1190</v>
      </c>
      <c r="J1047" s="11" t="str">
        <f>VLOOKUP(K1047,'PN Dictionary'!A:B,2,FALSE)</f>
        <v>GB300 L10</v>
      </c>
      <c r="K1047" s="26" t="s">
        <v>4318</v>
      </c>
      <c r="L1047" s="26" t="s">
        <v>5079</v>
      </c>
      <c r="M1047" s="50" t="s">
        <v>5080</v>
      </c>
      <c r="N1047" s="51" t="s">
        <v>53</v>
      </c>
      <c r="O1047" s="26" t="s">
        <v>728</v>
      </c>
      <c r="P1047" s="26">
        <v>90160</v>
      </c>
      <c r="Q1047" s="26" t="s">
        <v>55</v>
      </c>
    </row>
    <row r="1048" spans="1:17" x14ac:dyDescent="0.3">
      <c r="A1048" s="26" t="s">
        <v>5081</v>
      </c>
      <c r="B1048" s="26" t="s">
        <v>5082</v>
      </c>
      <c r="C1048" s="26" t="s">
        <v>4309</v>
      </c>
      <c r="D1048" s="26" t="s">
        <v>5083</v>
      </c>
      <c r="E1048" s="26" t="s">
        <v>3881</v>
      </c>
      <c r="F1048" s="26" t="s">
        <v>3882</v>
      </c>
      <c r="G1048" s="26" t="s">
        <v>5057</v>
      </c>
      <c r="H1048" s="26" t="s">
        <v>39</v>
      </c>
      <c r="I1048" s="26" t="s">
        <v>5084</v>
      </c>
      <c r="J1048" s="11" t="str">
        <f>VLOOKUP(K1048,'PN Dictionary'!A:B,2,FALSE)</f>
        <v>GB300 L10</v>
      </c>
      <c r="K1048" s="26" t="s">
        <v>4318</v>
      </c>
      <c r="L1048" s="26" t="s">
        <v>5085</v>
      </c>
      <c r="M1048" s="50" t="s">
        <v>5086</v>
      </c>
      <c r="N1048" s="51" t="s">
        <v>53</v>
      </c>
      <c r="O1048" s="26" t="s">
        <v>728</v>
      </c>
      <c r="P1048" s="26">
        <v>90185</v>
      </c>
      <c r="Q1048" s="26" t="s">
        <v>55</v>
      </c>
    </row>
    <row r="1049" spans="1:17" x14ac:dyDescent="0.3">
      <c r="A1049" s="26" t="s">
        <v>5087</v>
      </c>
      <c r="B1049" s="26" t="s">
        <v>5088</v>
      </c>
      <c r="C1049" s="26" t="s">
        <v>4309</v>
      </c>
      <c r="D1049" s="26" t="s">
        <v>5089</v>
      </c>
      <c r="E1049" s="26" t="s">
        <v>4899</v>
      </c>
      <c r="F1049" s="26" t="s">
        <v>4900</v>
      </c>
      <c r="G1049" s="26" t="s">
        <v>5057</v>
      </c>
      <c r="H1049" s="26" t="s">
        <v>39</v>
      </c>
      <c r="I1049" s="26" t="s">
        <v>4900</v>
      </c>
      <c r="J1049" s="11" t="str">
        <f>VLOOKUP(K1049,'PN Dictionary'!A:B,2,FALSE)</f>
        <v>GB300 L10</v>
      </c>
      <c r="K1049" s="26" t="s">
        <v>4318</v>
      </c>
      <c r="L1049" s="26" t="s">
        <v>5090</v>
      </c>
      <c r="M1049" s="50" t="s">
        <v>5091</v>
      </c>
      <c r="N1049" s="51" t="s">
        <v>53</v>
      </c>
      <c r="O1049" s="26" t="s">
        <v>728</v>
      </c>
      <c r="P1049" s="26">
        <v>90185</v>
      </c>
      <c r="Q1049" s="26" t="s">
        <v>55</v>
      </c>
    </row>
    <row r="1050" spans="1:17" x14ac:dyDescent="0.3">
      <c r="A1050" s="26" t="s">
        <v>5092</v>
      </c>
      <c r="B1050" s="26" t="s">
        <v>5093</v>
      </c>
      <c r="C1050" s="26" t="s">
        <v>4309</v>
      </c>
      <c r="D1050" s="26" t="s">
        <v>5094</v>
      </c>
      <c r="E1050" s="26" t="s">
        <v>128</v>
      </c>
      <c r="F1050" s="26" t="s">
        <v>205</v>
      </c>
      <c r="G1050" s="26" t="s">
        <v>5057</v>
      </c>
      <c r="H1050" s="26" t="s">
        <v>39</v>
      </c>
      <c r="I1050" s="26" t="s">
        <v>5095</v>
      </c>
      <c r="J1050" s="11" t="str">
        <f>VLOOKUP(K1050,'PN Dictionary'!A:B,2,FALSE)</f>
        <v>Cable Cartridge</v>
      </c>
      <c r="K1050" s="26" t="s">
        <v>6</v>
      </c>
      <c r="L1050" s="26">
        <v>1820626356672</v>
      </c>
      <c r="M1050" s="50">
        <v>2025125351720</v>
      </c>
      <c r="N1050" s="51" t="s">
        <v>53</v>
      </c>
      <c r="O1050" s="26" t="s">
        <v>728</v>
      </c>
      <c r="P1050" s="26">
        <v>90160</v>
      </c>
      <c r="Q1050" s="26" t="s">
        <v>55</v>
      </c>
    </row>
    <row r="1051" spans="1:17" x14ac:dyDescent="0.3">
      <c r="A1051" s="26" t="s">
        <v>5096</v>
      </c>
      <c r="B1051" s="26" t="s">
        <v>5097</v>
      </c>
      <c r="C1051" s="26" t="s">
        <v>4309</v>
      </c>
      <c r="D1051" s="26" t="s">
        <v>5098</v>
      </c>
      <c r="E1051" s="26" t="s">
        <v>128</v>
      </c>
      <c r="F1051" s="26" t="s">
        <v>205</v>
      </c>
      <c r="G1051" s="26" t="s">
        <v>5099</v>
      </c>
      <c r="H1051" s="26" t="s">
        <v>39</v>
      </c>
      <c r="I1051" s="26" t="s">
        <v>5100</v>
      </c>
      <c r="J1051" s="11" t="str">
        <f>VLOOKUP(K1051,'PN Dictionary'!A:B,2,FALSE)</f>
        <v>Cable Cartridge</v>
      </c>
      <c r="K1051" s="26" t="s">
        <v>6</v>
      </c>
      <c r="L1051" s="26">
        <v>2020826490727</v>
      </c>
      <c r="M1051" s="50">
        <v>2025125351741</v>
      </c>
      <c r="N1051" s="51" t="s">
        <v>53</v>
      </c>
      <c r="O1051" s="26" t="s">
        <v>728</v>
      </c>
      <c r="P1051" s="26">
        <v>90160</v>
      </c>
      <c r="Q1051" s="26" t="s">
        <v>55</v>
      </c>
    </row>
    <row r="1052" spans="1:17" x14ac:dyDescent="0.3">
      <c r="A1052" s="26" t="s">
        <v>5101</v>
      </c>
      <c r="B1052" s="26" t="s">
        <v>5102</v>
      </c>
      <c r="C1052" s="26" t="s">
        <v>4309</v>
      </c>
      <c r="D1052" s="26" t="s">
        <v>5103</v>
      </c>
      <c r="E1052" s="26" t="s">
        <v>128</v>
      </c>
      <c r="F1052" s="26" t="s">
        <v>205</v>
      </c>
      <c r="G1052" s="26" t="s">
        <v>5099</v>
      </c>
      <c r="H1052" s="26" t="s">
        <v>39</v>
      </c>
      <c r="I1052" s="26" t="s">
        <v>5104</v>
      </c>
      <c r="J1052" s="11" t="str">
        <f>VLOOKUP(K1052,'PN Dictionary'!A:B,2,FALSE)</f>
        <v>Cable Cartridge</v>
      </c>
      <c r="K1052" s="26" t="s">
        <v>6</v>
      </c>
      <c r="L1052" s="26">
        <v>2020826490310</v>
      </c>
      <c r="M1052" s="50">
        <v>2025125351513</v>
      </c>
      <c r="N1052" s="51" t="s">
        <v>53</v>
      </c>
      <c r="O1052" s="26" t="s">
        <v>728</v>
      </c>
      <c r="P1052" s="26">
        <v>1519</v>
      </c>
      <c r="Q1052" s="26" t="s">
        <v>55</v>
      </c>
    </row>
    <row r="1053" spans="1:17" x14ac:dyDescent="0.3">
      <c r="A1053" s="26" t="s">
        <v>5105</v>
      </c>
      <c r="B1053" s="26" t="s">
        <v>5106</v>
      </c>
      <c r="C1053" s="26" t="s">
        <v>4309</v>
      </c>
      <c r="D1053" s="26" t="s">
        <v>5107</v>
      </c>
      <c r="E1053" s="26" t="s">
        <v>242</v>
      </c>
      <c r="F1053" s="26" t="s">
        <v>604</v>
      </c>
      <c r="G1053" s="26" t="s">
        <v>5099</v>
      </c>
      <c r="H1053" s="26" t="s">
        <v>39</v>
      </c>
      <c r="I1053" s="26" t="s">
        <v>5108</v>
      </c>
      <c r="J1053" s="11" t="str">
        <f>VLOOKUP(K1053,'PN Dictionary'!A:B,2,FALSE)</f>
        <v>LiteOn Power Shelf Right Input</v>
      </c>
      <c r="K1053" s="26" t="s">
        <v>30</v>
      </c>
      <c r="L1053" s="26" t="s">
        <v>5109</v>
      </c>
      <c r="M1053" s="50" t="s">
        <v>5110</v>
      </c>
      <c r="N1053" s="51" t="s">
        <v>53</v>
      </c>
      <c r="O1053" s="26" t="s">
        <v>728</v>
      </c>
      <c r="P1053" s="26">
        <v>1519</v>
      </c>
      <c r="Q1053" s="26" t="s">
        <v>55</v>
      </c>
    </row>
    <row r="1054" spans="1:17" x14ac:dyDescent="0.3">
      <c r="A1054" s="26" t="s">
        <v>5111</v>
      </c>
      <c r="B1054" s="26" t="s">
        <v>5112</v>
      </c>
      <c r="C1054" s="26" t="s">
        <v>4309</v>
      </c>
      <c r="D1054" s="26" t="s">
        <v>5113</v>
      </c>
      <c r="E1054" s="26" t="s">
        <v>230</v>
      </c>
      <c r="F1054" s="26" t="s">
        <v>238</v>
      </c>
      <c r="G1054" s="26" t="s">
        <v>5099</v>
      </c>
      <c r="H1054" s="26" t="s">
        <v>39</v>
      </c>
      <c r="I1054" s="26" t="s">
        <v>5114</v>
      </c>
      <c r="J1054" s="11" t="str">
        <f>VLOOKUP(K1054,'PN Dictionary'!A:B,2,FALSE)</f>
        <v>NVSwitch</v>
      </c>
      <c r="K1054" s="26" t="s">
        <v>7</v>
      </c>
      <c r="L1054" s="26" t="s">
        <v>5115</v>
      </c>
      <c r="M1054" s="50" t="s">
        <v>5116</v>
      </c>
      <c r="N1054" s="51" t="s">
        <v>53</v>
      </c>
      <c r="O1054" s="26" t="s">
        <v>728</v>
      </c>
      <c r="P1054" s="26">
        <v>718</v>
      </c>
      <c r="Q1054" s="26" t="s">
        <v>55</v>
      </c>
    </row>
    <row r="1055" spans="1:17" x14ac:dyDescent="0.3">
      <c r="A1055" s="26" t="s">
        <v>5117</v>
      </c>
      <c r="B1055" s="26" t="s">
        <v>5118</v>
      </c>
      <c r="C1055" s="26" t="s">
        <v>4309</v>
      </c>
      <c r="D1055" s="26" t="s">
        <v>5119</v>
      </c>
      <c r="E1055" s="26" t="s">
        <v>81</v>
      </c>
      <c r="F1055" s="26" t="s">
        <v>522</v>
      </c>
      <c r="G1055" s="26" t="s">
        <v>5099</v>
      </c>
      <c r="H1055" s="26" t="s">
        <v>39</v>
      </c>
      <c r="I1055" s="26" t="s">
        <v>522</v>
      </c>
      <c r="J1055" s="11" t="str">
        <f>VLOOKUP(K1055,'PN Dictionary'!A:B,2,FALSE)</f>
        <v>GB300 L10</v>
      </c>
      <c r="K1055" s="26" t="s">
        <v>4318</v>
      </c>
      <c r="L1055" s="26" t="s">
        <v>4800</v>
      </c>
      <c r="M1055" s="50" t="s">
        <v>5120</v>
      </c>
      <c r="N1055" s="51" t="s">
        <v>53</v>
      </c>
      <c r="O1055" s="26" t="s">
        <v>728</v>
      </c>
      <c r="P1055" s="26">
        <v>90185</v>
      </c>
      <c r="Q1055" s="26" t="s">
        <v>55</v>
      </c>
    </row>
    <row r="1056" spans="1:17" x14ac:dyDescent="0.3">
      <c r="A1056" s="26" t="s">
        <v>5121</v>
      </c>
      <c r="B1056" s="26" t="s">
        <v>5122</v>
      </c>
      <c r="C1056" s="26" t="s">
        <v>4309</v>
      </c>
      <c r="D1056" s="26" t="s">
        <v>5123</v>
      </c>
      <c r="E1056" s="26" t="s">
        <v>3881</v>
      </c>
      <c r="F1056" s="26" t="s">
        <v>3882</v>
      </c>
      <c r="G1056" s="26" t="s">
        <v>5099</v>
      </c>
      <c r="H1056" s="26" t="s">
        <v>39</v>
      </c>
      <c r="I1056" s="26" t="s">
        <v>5124</v>
      </c>
      <c r="J1056" s="11" t="str">
        <f>VLOOKUP(K1056,'PN Dictionary'!A:B,2,FALSE)</f>
        <v>GB300 L10</v>
      </c>
      <c r="K1056" s="26" t="s">
        <v>4318</v>
      </c>
      <c r="L1056" s="26" t="s">
        <v>5125</v>
      </c>
      <c r="M1056" s="50" t="s">
        <v>5126</v>
      </c>
      <c r="N1056" s="51" t="s">
        <v>53</v>
      </c>
      <c r="O1056" s="26" t="s">
        <v>728</v>
      </c>
      <c r="P1056" s="26">
        <v>90185</v>
      </c>
      <c r="Q1056" s="26" t="s">
        <v>55</v>
      </c>
    </row>
    <row r="1057" spans="1:17" x14ac:dyDescent="0.3">
      <c r="A1057" s="26" t="s">
        <v>5127</v>
      </c>
      <c r="B1057" s="26" t="s">
        <v>5128</v>
      </c>
      <c r="C1057" s="26" t="s">
        <v>4309</v>
      </c>
      <c r="D1057" s="26" t="s">
        <v>5129</v>
      </c>
      <c r="E1057" s="26" t="s">
        <v>761</v>
      </c>
      <c r="F1057" s="26" t="s">
        <v>3688</v>
      </c>
      <c r="G1057" s="26" t="s">
        <v>5099</v>
      </c>
      <c r="H1057" s="26" t="s">
        <v>39</v>
      </c>
      <c r="I1057" s="26" t="s">
        <v>1190</v>
      </c>
      <c r="J1057" s="11" t="str">
        <f>VLOOKUP(K1057,'PN Dictionary'!A:B,2,FALSE)</f>
        <v>GB300 L10</v>
      </c>
      <c r="K1057" s="26" t="s">
        <v>4318</v>
      </c>
      <c r="L1057" s="26" t="s">
        <v>5130</v>
      </c>
      <c r="M1057" s="50" t="s">
        <v>5131</v>
      </c>
      <c r="N1057" s="51" t="s">
        <v>53</v>
      </c>
      <c r="O1057" s="26" t="s">
        <v>728</v>
      </c>
      <c r="P1057" s="26">
        <v>90160</v>
      </c>
      <c r="Q1057" s="26" t="s">
        <v>55</v>
      </c>
    </row>
    <row r="1058" spans="1:17" x14ac:dyDescent="0.3">
      <c r="A1058" s="26" t="s">
        <v>5132</v>
      </c>
      <c r="B1058" s="26" t="s">
        <v>5133</v>
      </c>
      <c r="C1058" s="26" t="s">
        <v>4309</v>
      </c>
      <c r="D1058" s="26" t="s">
        <v>5129</v>
      </c>
      <c r="E1058" s="26" t="s">
        <v>761</v>
      </c>
      <c r="F1058" s="26" t="s">
        <v>3688</v>
      </c>
      <c r="G1058" s="26" t="s">
        <v>5099</v>
      </c>
      <c r="H1058" s="26" t="s">
        <v>39</v>
      </c>
      <c r="I1058" s="26" t="s">
        <v>1190</v>
      </c>
      <c r="J1058" s="11" t="str">
        <f>VLOOKUP(K1058,'PN Dictionary'!A:B,2,FALSE)</f>
        <v>GB300 L10</v>
      </c>
      <c r="K1058" s="26" t="s">
        <v>4318</v>
      </c>
      <c r="L1058" s="26" t="s">
        <v>5134</v>
      </c>
      <c r="M1058" s="50" t="s">
        <v>5135</v>
      </c>
      <c r="N1058" s="51" t="s">
        <v>53</v>
      </c>
      <c r="O1058" s="26" t="s">
        <v>728</v>
      </c>
      <c r="P1058" s="26">
        <v>90160</v>
      </c>
      <c r="Q1058" s="26" t="s">
        <v>55</v>
      </c>
    </row>
    <row r="1059" spans="1:17" x14ac:dyDescent="0.3">
      <c r="A1059" s="26" t="s">
        <v>5136</v>
      </c>
      <c r="B1059" s="26" t="s">
        <v>5137</v>
      </c>
      <c r="C1059" s="26" t="s">
        <v>4309</v>
      </c>
      <c r="D1059" s="26" t="s">
        <v>5138</v>
      </c>
      <c r="E1059" s="26" t="s">
        <v>761</v>
      </c>
      <c r="F1059" s="26" t="s">
        <v>3688</v>
      </c>
      <c r="G1059" s="26" t="s">
        <v>5099</v>
      </c>
      <c r="H1059" s="26" t="s">
        <v>39</v>
      </c>
      <c r="I1059" s="26" t="s">
        <v>1190</v>
      </c>
      <c r="J1059" s="11" t="str">
        <f>VLOOKUP(K1059,'PN Dictionary'!A:B,2,FALSE)</f>
        <v>GB300 L10</v>
      </c>
      <c r="K1059" s="26" t="s">
        <v>4318</v>
      </c>
      <c r="L1059" s="26" t="s">
        <v>5139</v>
      </c>
      <c r="M1059" s="50" t="s">
        <v>5140</v>
      </c>
      <c r="N1059" s="51" t="s">
        <v>53</v>
      </c>
      <c r="O1059" s="26" t="s">
        <v>728</v>
      </c>
      <c r="P1059" s="26">
        <v>90160</v>
      </c>
      <c r="Q1059" s="26" t="s">
        <v>55</v>
      </c>
    </row>
    <row r="1060" spans="1:17" x14ac:dyDescent="0.3">
      <c r="A1060" s="26" t="s">
        <v>5141</v>
      </c>
      <c r="B1060" s="26" t="s">
        <v>5142</v>
      </c>
      <c r="C1060" s="26" t="s">
        <v>4309</v>
      </c>
      <c r="D1060" s="26" t="s">
        <v>5143</v>
      </c>
      <c r="E1060" s="26" t="s">
        <v>3881</v>
      </c>
      <c r="F1060" s="26" t="s">
        <v>3882</v>
      </c>
      <c r="G1060" s="26" t="s">
        <v>5099</v>
      </c>
      <c r="H1060" s="26" t="s">
        <v>39</v>
      </c>
      <c r="I1060" s="26" t="s">
        <v>3882</v>
      </c>
      <c r="J1060" s="11" t="str">
        <f>VLOOKUP(K1060,'PN Dictionary'!A:B,2,FALSE)</f>
        <v>GB300 L10</v>
      </c>
      <c r="K1060" s="26" t="s">
        <v>4318</v>
      </c>
      <c r="L1060" s="26" t="s">
        <v>4918</v>
      </c>
      <c r="M1060" s="50" t="s">
        <v>5144</v>
      </c>
      <c r="N1060" s="51" t="s">
        <v>53</v>
      </c>
      <c r="O1060" s="26" t="s">
        <v>728</v>
      </c>
      <c r="P1060" s="26">
        <v>90185</v>
      </c>
      <c r="Q1060" s="26" t="s">
        <v>55</v>
      </c>
    </row>
    <row r="1061" spans="1:17" x14ac:dyDescent="0.3">
      <c r="A1061" s="26" t="s">
        <v>5145</v>
      </c>
      <c r="B1061" s="26" t="s">
        <v>5146</v>
      </c>
      <c r="C1061" s="26" t="s">
        <v>4309</v>
      </c>
      <c r="D1061" s="26" t="s">
        <v>5094</v>
      </c>
      <c r="E1061" s="26" t="s">
        <v>761</v>
      </c>
      <c r="F1061" s="26" t="s">
        <v>3688</v>
      </c>
      <c r="G1061" s="26" t="s">
        <v>5099</v>
      </c>
      <c r="H1061" s="26" t="s">
        <v>39</v>
      </c>
      <c r="I1061" s="26" t="s">
        <v>1190</v>
      </c>
      <c r="J1061" s="11" t="str">
        <f>VLOOKUP(K1061,'PN Dictionary'!A:B,2,FALSE)</f>
        <v>GB300 L10</v>
      </c>
      <c r="K1061" s="26" t="s">
        <v>4318</v>
      </c>
      <c r="L1061" s="26" t="s">
        <v>4808</v>
      </c>
      <c r="M1061" s="50" t="s">
        <v>5147</v>
      </c>
      <c r="N1061" s="51" t="s">
        <v>53</v>
      </c>
      <c r="O1061" s="26" t="s">
        <v>728</v>
      </c>
      <c r="P1061" s="26">
        <v>90160</v>
      </c>
      <c r="Q1061" s="26" t="s">
        <v>55</v>
      </c>
    </row>
    <row r="1062" spans="1:17" x14ac:dyDescent="0.3">
      <c r="A1062" s="26" t="s">
        <v>5148</v>
      </c>
      <c r="B1062" s="26" t="s">
        <v>5149</v>
      </c>
      <c r="C1062" s="26" t="s">
        <v>4309</v>
      </c>
      <c r="D1062" s="26" t="s">
        <v>5150</v>
      </c>
      <c r="E1062" s="26" t="s">
        <v>761</v>
      </c>
      <c r="F1062" s="26" t="s">
        <v>3688</v>
      </c>
      <c r="G1062" s="26" t="s">
        <v>5099</v>
      </c>
      <c r="H1062" s="26" t="s">
        <v>39</v>
      </c>
      <c r="I1062" s="26" t="s">
        <v>5151</v>
      </c>
      <c r="J1062" s="11" t="str">
        <f>VLOOKUP(K1062,'PN Dictionary'!A:B,2,FALSE)</f>
        <v>GB300 L10</v>
      </c>
      <c r="K1062" s="26" t="s">
        <v>4318</v>
      </c>
      <c r="L1062" s="26" t="s">
        <v>5152</v>
      </c>
      <c r="M1062" s="50" t="s">
        <v>5153</v>
      </c>
      <c r="N1062" s="51" t="s">
        <v>53</v>
      </c>
      <c r="O1062" s="26" t="s">
        <v>728</v>
      </c>
      <c r="P1062" s="26">
        <v>90185</v>
      </c>
      <c r="Q1062" s="26" t="s">
        <v>55</v>
      </c>
    </row>
    <row r="1063" spans="1:17" x14ac:dyDescent="0.3">
      <c r="A1063" s="26" t="s">
        <v>5154</v>
      </c>
      <c r="B1063" s="26" t="s">
        <v>5155</v>
      </c>
      <c r="C1063" s="26" t="s">
        <v>4309</v>
      </c>
      <c r="D1063" s="26" t="s">
        <v>5113</v>
      </c>
      <c r="E1063" s="26" t="s">
        <v>230</v>
      </c>
      <c r="F1063" s="26" t="s">
        <v>238</v>
      </c>
      <c r="G1063" s="26" t="s">
        <v>5099</v>
      </c>
      <c r="H1063" s="26" t="s">
        <v>39</v>
      </c>
      <c r="I1063" s="26" t="s">
        <v>5156</v>
      </c>
      <c r="J1063" s="11" t="str">
        <f>VLOOKUP(K1063,'PN Dictionary'!A:B,2,FALSE)</f>
        <v>NVSwitch</v>
      </c>
      <c r="K1063" s="26" t="s">
        <v>7</v>
      </c>
      <c r="L1063" s="26" t="s">
        <v>5157</v>
      </c>
      <c r="M1063" s="50" t="s">
        <v>5158</v>
      </c>
      <c r="N1063" s="51" t="s">
        <v>53</v>
      </c>
      <c r="O1063" s="26" t="s">
        <v>728</v>
      </c>
      <c r="P1063" s="26">
        <v>90185</v>
      </c>
      <c r="Q1063" s="26" t="s">
        <v>55</v>
      </c>
    </row>
    <row r="1064" spans="1:17" x14ac:dyDescent="0.3">
      <c r="A1064" s="26" t="s">
        <v>5159</v>
      </c>
      <c r="B1064" s="26" t="s">
        <v>5160</v>
      </c>
      <c r="C1064" s="26" t="s">
        <v>4309</v>
      </c>
      <c r="D1064" s="26" t="s">
        <v>5161</v>
      </c>
      <c r="E1064" s="26" t="s">
        <v>128</v>
      </c>
      <c r="F1064" s="26" t="s">
        <v>205</v>
      </c>
      <c r="G1064" s="26" t="s">
        <v>5099</v>
      </c>
      <c r="H1064" s="26" t="s">
        <v>39</v>
      </c>
      <c r="I1064" s="26" t="s">
        <v>5162</v>
      </c>
      <c r="J1064" s="11" t="str">
        <f>VLOOKUP(K1064,'PN Dictionary'!A:B,2,FALSE)</f>
        <v>Cable Cartridge</v>
      </c>
      <c r="K1064" s="26" t="s">
        <v>6</v>
      </c>
      <c r="L1064" s="26">
        <v>2020826490629</v>
      </c>
      <c r="M1064" s="50">
        <v>2020926490259</v>
      </c>
      <c r="N1064" s="51" t="s">
        <v>53</v>
      </c>
      <c r="O1064" s="26" t="s">
        <v>728</v>
      </c>
      <c r="P1064" s="26">
        <v>90185</v>
      </c>
      <c r="Q1064" s="26" t="s">
        <v>55</v>
      </c>
    </row>
    <row r="1065" spans="1:17" x14ac:dyDescent="0.3">
      <c r="A1065" s="26" t="s">
        <v>5163</v>
      </c>
      <c r="B1065" s="26" t="s">
        <v>5164</v>
      </c>
      <c r="C1065" s="26" t="s">
        <v>4309</v>
      </c>
      <c r="D1065" s="26" t="s">
        <v>5123</v>
      </c>
      <c r="E1065" s="26" t="s">
        <v>128</v>
      </c>
      <c r="F1065" s="26" t="s">
        <v>205</v>
      </c>
      <c r="G1065" s="26" t="s">
        <v>5165</v>
      </c>
      <c r="H1065" s="26" t="s">
        <v>39</v>
      </c>
      <c r="I1065" s="26" t="s">
        <v>5166</v>
      </c>
      <c r="J1065" s="11" t="str">
        <f>VLOOKUP(K1065,'PN Dictionary'!A:B,2,FALSE)</f>
        <v>Cable Cartridge</v>
      </c>
      <c r="K1065" s="26" t="s">
        <v>6</v>
      </c>
      <c r="L1065" s="26">
        <v>2020926490681</v>
      </c>
      <c r="M1065" s="50">
        <v>2020926490277</v>
      </c>
      <c r="N1065" s="51" t="s">
        <v>53</v>
      </c>
      <c r="O1065" s="26" t="s">
        <v>728</v>
      </c>
      <c r="P1065" s="26">
        <v>90185</v>
      </c>
      <c r="Q1065" s="26" t="s">
        <v>55</v>
      </c>
    </row>
    <row r="1066" spans="1:17" x14ac:dyDescent="0.3">
      <c r="A1066" s="26" t="s">
        <v>5167</v>
      </c>
      <c r="B1066" s="26" t="s">
        <v>5168</v>
      </c>
      <c r="C1066" s="26" t="s">
        <v>4309</v>
      </c>
      <c r="D1066" s="26" t="s">
        <v>5150</v>
      </c>
      <c r="E1066" s="26" t="s">
        <v>128</v>
      </c>
      <c r="F1066" s="26" t="s">
        <v>205</v>
      </c>
      <c r="G1066" s="26" t="s">
        <v>5165</v>
      </c>
      <c r="H1066" s="26" t="s">
        <v>39</v>
      </c>
      <c r="I1066" s="26" t="s">
        <v>5169</v>
      </c>
      <c r="J1066" s="11" t="str">
        <f>VLOOKUP(K1066,'PN Dictionary'!A:B,2,FALSE)</f>
        <v>Cable Cartridge</v>
      </c>
      <c r="K1066" s="26" t="s">
        <v>6</v>
      </c>
      <c r="L1066" s="26">
        <v>2020926490044</v>
      </c>
      <c r="M1066" s="50">
        <v>2020826490629</v>
      </c>
      <c r="N1066" s="51" t="s">
        <v>53</v>
      </c>
      <c r="O1066" s="26" t="s">
        <v>728</v>
      </c>
      <c r="P1066" s="26">
        <v>90185</v>
      </c>
      <c r="Q1066" s="26" t="s">
        <v>55</v>
      </c>
    </row>
    <row r="1067" spans="1:17" x14ac:dyDescent="0.3">
      <c r="A1067" s="26" t="s">
        <v>5170</v>
      </c>
      <c r="B1067" s="26" t="s">
        <v>5171</v>
      </c>
      <c r="C1067" s="26" t="s">
        <v>4309</v>
      </c>
      <c r="D1067" s="26" t="s">
        <v>5172</v>
      </c>
      <c r="E1067" s="26" t="s">
        <v>380</v>
      </c>
      <c r="F1067" s="26" t="s">
        <v>620</v>
      </c>
      <c r="G1067" s="26" t="s">
        <v>5165</v>
      </c>
      <c r="H1067" s="26" t="s">
        <v>39</v>
      </c>
      <c r="I1067" s="26" t="s">
        <v>5173</v>
      </c>
      <c r="J1067" s="11" t="str">
        <f>VLOOKUP(K1067,'PN Dictionary'!A:B,2,FALSE)</f>
        <v>GB300 L10</v>
      </c>
      <c r="K1067" s="26" t="s">
        <v>4318</v>
      </c>
      <c r="L1067" s="26" t="s">
        <v>4624</v>
      </c>
      <c r="M1067" s="50" t="s">
        <v>5174</v>
      </c>
      <c r="N1067" s="51" t="s">
        <v>53</v>
      </c>
      <c r="O1067" s="26" t="s">
        <v>728</v>
      </c>
      <c r="P1067" s="26">
        <v>90131</v>
      </c>
      <c r="Q1067" s="26" t="s">
        <v>55</v>
      </c>
    </row>
    <row r="1068" spans="1:17" x14ac:dyDescent="0.3">
      <c r="A1068" s="26" t="s">
        <v>5175</v>
      </c>
      <c r="B1068" s="26" t="s">
        <v>5176</v>
      </c>
      <c r="C1068" s="26" t="s">
        <v>4309</v>
      </c>
      <c r="D1068" s="26" t="s">
        <v>5177</v>
      </c>
      <c r="E1068" s="26" t="s">
        <v>761</v>
      </c>
      <c r="F1068" s="26" t="s">
        <v>3688</v>
      </c>
      <c r="G1068" s="26" t="s">
        <v>5165</v>
      </c>
      <c r="H1068" s="26" t="s">
        <v>39</v>
      </c>
      <c r="I1068" s="26" t="s">
        <v>5178</v>
      </c>
      <c r="J1068" s="11" t="str">
        <f>VLOOKUP(K1068,'PN Dictionary'!A:B,2,FALSE)</f>
        <v>GB300 L10</v>
      </c>
      <c r="K1068" s="26" t="s">
        <v>4318</v>
      </c>
      <c r="L1068" s="26" t="s">
        <v>5179</v>
      </c>
      <c r="M1068" s="50" t="s">
        <v>5180</v>
      </c>
      <c r="N1068" s="51" t="s">
        <v>53</v>
      </c>
      <c r="O1068" s="26" t="s">
        <v>728</v>
      </c>
      <c r="P1068" s="26">
        <v>90131</v>
      </c>
      <c r="Q1068" s="26" t="s">
        <v>55</v>
      </c>
    </row>
    <row r="1069" spans="1:17" x14ac:dyDescent="0.3">
      <c r="A1069" s="26" t="s">
        <v>5181</v>
      </c>
      <c r="B1069" s="26" t="s">
        <v>5182</v>
      </c>
      <c r="C1069" s="26" t="s">
        <v>4309</v>
      </c>
      <c r="D1069" s="26" t="s">
        <v>5183</v>
      </c>
      <c r="E1069" s="26" t="s">
        <v>5184</v>
      </c>
      <c r="F1069" s="26" t="s">
        <v>5185</v>
      </c>
      <c r="G1069" s="26" t="s">
        <v>5165</v>
      </c>
      <c r="H1069" s="26" t="s">
        <v>39</v>
      </c>
      <c r="I1069" s="26" t="s">
        <v>5185</v>
      </c>
      <c r="J1069" s="11" t="str">
        <f>VLOOKUP(K1069,'PN Dictionary'!A:B,2,FALSE)</f>
        <v>GB300 L10</v>
      </c>
      <c r="K1069" s="26" t="s">
        <v>4318</v>
      </c>
      <c r="L1069" s="26" t="s">
        <v>5186</v>
      </c>
      <c r="M1069" s="50" t="s">
        <v>5187</v>
      </c>
      <c r="N1069" s="51" t="s">
        <v>53</v>
      </c>
      <c r="O1069" s="26" t="s">
        <v>728</v>
      </c>
      <c r="P1069" s="26">
        <v>90185</v>
      </c>
      <c r="Q1069" s="26" t="s">
        <v>55</v>
      </c>
    </row>
    <row r="1070" spans="1:17" x14ac:dyDescent="0.3">
      <c r="A1070" s="26" t="s">
        <v>5188</v>
      </c>
      <c r="B1070" s="26" t="s">
        <v>5189</v>
      </c>
      <c r="C1070" s="26" t="s">
        <v>4309</v>
      </c>
      <c r="D1070" s="26" t="s">
        <v>5190</v>
      </c>
      <c r="E1070" s="26" t="s">
        <v>761</v>
      </c>
      <c r="F1070" s="26" t="s">
        <v>3688</v>
      </c>
      <c r="G1070" s="26" t="s">
        <v>5165</v>
      </c>
      <c r="H1070" s="26" t="s">
        <v>39</v>
      </c>
      <c r="I1070" s="26" t="s">
        <v>1190</v>
      </c>
      <c r="J1070" s="11" t="str">
        <f>VLOOKUP(K1070,'PN Dictionary'!A:B,2,FALSE)</f>
        <v>GB300 L10</v>
      </c>
      <c r="K1070" s="26" t="s">
        <v>4318</v>
      </c>
      <c r="L1070" s="26" t="s">
        <v>5191</v>
      </c>
      <c r="M1070" s="50" t="s">
        <v>5192</v>
      </c>
      <c r="N1070" s="51" t="s">
        <v>53</v>
      </c>
      <c r="O1070" s="26" t="s">
        <v>728</v>
      </c>
      <c r="P1070" s="26">
        <v>90160</v>
      </c>
      <c r="Q1070" s="26" t="s">
        <v>55</v>
      </c>
    </row>
    <row r="1071" spans="1:17" x14ac:dyDescent="0.3">
      <c r="A1071" s="26" t="s">
        <v>5193</v>
      </c>
      <c r="B1071" s="26" t="s">
        <v>5194</v>
      </c>
      <c r="C1071" s="26" t="s">
        <v>4309</v>
      </c>
      <c r="D1071" s="26" t="s">
        <v>5195</v>
      </c>
      <c r="E1071" s="26" t="s">
        <v>761</v>
      </c>
      <c r="F1071" s="26" t="s">
        <v>3688</v>
      </c>
      <c r="G1071" s="26" t="s">
        <v>5165</v>
      </c>
      <c r="H1071" s="26" t="s">
        <v>39</v>
      </c>
      <c r="I1071" s="26" t="s">
        <v>1190</v>
      </c>
      <c r="J1071" s="11" t="str">
        <f>VLOOKUP(K1071,'PN Dictionary'!A:B,2,FALSE)</f>
        <v>GB300 L10</v>
      </c>
      <c r="K1071" s="26" t="s">
        <v>4318</v>
      </c>
      <c r="L1071" s="26" t="s">
        <v>5029</v>
      </c>
      <c r="M1071" s="50" t="s">
        <v>5196</v>
      </c>
      <c r="N1071" s="51" t="s">
        <v>53</v>
      </c>
      <c r="O1071" s="26" t="s">
        <v>728</v>
      </c>
      <c r="P1071" s="26">
        <v>90160</v>
      </c>
      <c r="Q1071" s="26" t="s">
        <v>55</v>
      </c>
    </row>
    <row r="1072" spans="1:17" x14ac:dyDescent="0.3">
      <c r="A1072" s="26" t="s">
        <v>5197</v>
      </c>
      <c r="B1072" s="26" t="s">
        <v>5198</v>
      </c>
      <c r="C1072" s="26" t="s">
        <v>4309</v>
      </c>
      <c r="D1072" s="26" t="s">
        <v>5172</v>
      </c>
      <c r="E1072" s="26" t="s">
        <v>761</v>
      </c>
      <c r="F1072" s="26" t="s">
        <v>3688</v>
      </c>
      <c r="G1072" s="26" t="s">
        <v>5165</v>
      </c>
      <c r="H1072" s="26" t="s">
        <v>39</v>
      </c>
      <c r="I1072" s="26" t="s">
        <v>3688</v>
      </c>
      <c r="J1072" s="11" t="str">
        <f>VLOOKUP(K1072,'PN Dictionary'!A:B,2,FALSE)</f>
        <v>GB300 L10</v>
      </c>
      <c r="K1072" s="26" t="s">
        <v>4318</v>
      </c>
      <c r="L1072" s="26" t="s">
        <v>5199</v>
      </c>
      <c r="M1072" s="50" t="s">
        <v>5200</v>
      </c>
      <c r="N1072" s="51" t="s">
        <v>53</v>
      </c>
      <c r="O1072" s="26" t="s">
        <v>728</v>
      </c>
      <c r="P1072" s="26">
        <v>90185</v>
      </c>
      <c r="Q1072" s="26" t="s">
        <v>55</v>
      </c>
    </row>
    <row r="1073" spans="1:17" x14ac:dyDescent="0.3">
      <c r="A1073" s="26" t="s">
        <v>5201</v>
      </c>
      <c r="B1073" s="26" t="s">
        <v>5202</v>
      </c>
      <c r="C1073" s="26" t="s">
        <v>4309</v>
      </c>
      <c r="D1073" s="26" t="s">
        <v>5172</v>
      </c>
      <c r="E1073" s="26" t="s">
        <v>761</v>
      </c>
      <c r="F1073" s="26" t="s">
        <v>3688</v>
      </c>
      <c r="G1073" s="26" t="s">
        <v>5165</v>
      </c>
      <c r="H1073" s="26" t="s">
        <v>39</v>
      </c>
      <c r="I1073" s="26" t="s">
        <v>3688</v>
      </c>
      <c r="J1073" s="11" t="str">
        <f>VLOOKUP(K1073,'PN Dictionary'!A:B,2,FALSE)</f>
        <v>GB300 L10</v>
      </c>
      <c r="K1073" s="26" t="s">
        <v>4318</v>
      </c>
      <c r="L1073" s="26" t="s">
        <v>5203</v>
      </c>
      <c r="M1073" s="50" t="s">
        <v>5204</v>
      </c>
      <c r="N1073" s="51" t="s">
        <v>53</v>
      </c>
      <c r="O1073" s="26" t="s">
        <v>728</v>
      </c>
      <c r="P1073" s="26">
        <v>90185</v>
      </c>
      <c r="Q1073" s="26" t="s">
        <v>55</v>
      </c>
    </row>
    <row r="1074" spans="1:17" x14ac:dyDescent="0.3">
      <c r="A1074" s="26" t="s">
        <v>5205</v>
      </c>
      <c r="B1074" s="26" t="s">
        <v>5206</v>
      </c>
      <c r="C1074" s="26" t="s">
        <v>4309</v>
      </c>
      <c r="D1074" s="26" t="s">
        <v>5123</v>
      </c>
      <c r="E1074" s="26" t="s">
        <v>761</v>
      </c>
      <c r="F1074" s="26" t="s">
        <v>3688</v>
      </c>
      <c r="G1074" s="26" t="s">
        <v>5165</v>
      </c>
      <c r="H1074" s="26" t="s">
        <v>39</v>
      </c>
      <c r="I1074" s="26" t="s">
        <v>3688</v>
      </c>
      <c r="J1074" s="11" t="str">
        <f>VLOOKUP(K1074,'PN Dictionary'!A:B,2,FALSE)</f>
        <v>GB300 L10</v>
      </c>
      <c r="K1074" s="26" t="s">
        <v>4318</v>
      </c>
      <c r="L1074" s="26" t="s">
        <v>5199</v>
      </c>
      <c r="M1074" s="50" t="s">
        <v>5200</v>
      </c>
      <c r="N1074" s="51" t="s">
        <v>53</v>
      </c>
      <c r="O1074" s="26" t="s">
        <v>728</v>
      </c>
      <c r="P1074" s="26">
        <v>90185</v>
      </c>
      <c r="Q1074" s="26" t="s">
        <v>55</v>
      </c>
    </row>
    <row r="1075" spans="1:17" x14ac:dyDescent="0.3">
      <c r="A1075" s="26" t="s">
        <v>5207</v>
      </c>
      <c r="B1075" s="26" t="s">
        <v>5208</v>
      </c>
      <c r="C1075" s="26" t="s">
        <v>4309</v>
      </c>
      <c r="D1075" s="26" t="s">
        <v>5123</v>
      </c>
      <c r="E1075" s="26" t="s">
        <v>761</v>
      </c>
      <c r="F1075" s="26" t="s">
        <v>3688</v>
      </c>
      <c r="G1075" s="26" t="s">
        <v>5165</v>
      </c>
      <c r="H1075" s="26" t="s">
        <v>39</v>
      </c>
      <c r="I1075" s="26" t="s">
        <v>3688</v>
      </c>
      <c r="J1075" s="11" t="str">
        <f>VLOOKUP(K1075,'PN Dictionary'!A:B,2,FALSE)</f>
        <v>GB300 L10</v>
      </c>
      <c r="K1075" s="26" t="s">
        <v>4318</v>
      </c>
      <c r="L1075" s="26" t="s">
        <v>5203</v>
      </c>
      <c r="M1075" s="50" t="s">
        <v>5204</v>
      </c>
      <c r="N1075" s="51" t="s">
        <v>53</v>
      </c>
      <c r="O1075" s="26" t="s">
        <v>728</v>
      </c>
      <c r="P1075" s="26">
        <v>90185</v>
      </c>
      <c r="Q1075" s="26" t="s">
        <v>55</v>
      </c>
    </row>
    <row r="1076" spans="1:17" x14ac:dyDescent="0.3">
      <c r="A1076" s="26" t="s">
        <v>5209</v>
      </c>
      <c r="B1076" s="26" t="s">
        <v>5210</v>
      </c>
      <c r="C1076" s="26" t="s">
        <v>4309</v>
      </c>
      <c r="D1076" s="26" t="s">
        <v>5123</v>
      </c>
      <c r="E1076" s="26" t="s">
        <v>761</v>
      </c>
      <c r="F1076" s="26" t="s">
        <v>3688</v>
      </c>
      <c r="G1076" s="26" t="s">
        <v>5165</v>
      </c>
      <c r="H1076" s="26" t="s">
        <v>39</v>
      </c>
      <c r="I1076" s="26" t="s">
        <v>3688</v>
      </c>
      <c r="J1076" s="11" t="str">
        <f>VLOOKUP(K1076,'PN Dictionary'!A:B,2,FALSE)</f>
        <v>GB300 L10</v>
      </c>
      <c r="K1076" s="26" t="s">
        <v>4318</v>
      </c>
      <c r="L1076" s="26" t="s">
        <v>5211</v>
      </c>
      <c r="M1076" s="50" t="s">
        <v>5212</v>
      </c>
      <c r="N1076" s="51" t="s">
        <v>53</v>
      </c>
      <c r="O1076" s="26" t="s">
        <v>728</v>
      </c>
      <c r="P1076" s="26">
        <v>90185</v>
      </c>
      <c r="Q1076" s="26" t="s">
        <v>55</v>
      </c>
    </row>
    <row r="1077" spans="1:17" x14ac:dyDescent="0.3">
      <c r="A1077" s="26" t="s">
        <v>5213</v>
      </c>
      <c r="B1077" s="26" t="s">
        <v>5214</v>
      </c>
      <c r="C1077" s="26" t="s">
        <v>4309</v>
      </c>
      <c r="D1077" s="26" t="s">
        <v>5215</v>
      </c>
      <c r="E1077" s="26" t="s">
        <v>761</v>
      </c>
      <c r="F1077" s="26" t="s">
        <v>3688</v>
      </c>
      <c r="G1077" s="26" t="s">
        <v>5165</v>
      </c>
      <c r="H1077" s="26" t="s">
        <v>39</v>
      </c>
      <c r="I1077" s="26" t="s">
        <v>1190</v>
      </c>
      <c r="J1077" s="11" t="str">
        <f>VLOOKUP(K1077,'PN Dictionary'!A:B,2,FALSE)</f>
        <v>GB300 L10</v>
      </c>
      <c r="K1077" s="26" t="s">
        <v>4318</v>
      </c>
      <c r="L1077" s="26" t="s">
        <v>5070</v>
      </c>
      <c r="M1077" s="50" t="s">
        <v>4943</v>
      </c>
      <c r="N1077" s="51" t="s">
        <v>53</v>
      </c>
      <c r="O1077" s="26" t="s">
        <v>728</v>
      </c>
      <c r="P1077" s="26">
        <v>90160</v>
      </c>
      <c r="Q1077" s="26" t="s">
        <v>55</v>
      </c>
    </row>
    <row r="1078" spans="1:17" x14ac:dyDescent="0.3">
      <c r="A1078" s="26" t="s">
        <v>5216</v>
      </c>
      <c r="B1078" s="26" t="s">
        <v>5217</v>
      </c>
      <c r="C1078" s="26" t="s">
        <v>4309</v>
      </c>
      <c r="D1078" s="26" t="s">
        <v>4816</v>
      </c>
      <c r="E1078" s="26" t="s">
        <v>128</v>
      </c>
      <c r="F1078" s="26" t="s">
        <v>205</v>
      </c>
      <c r="G1078" s="26" t="s">
        <v>5165</v>
      </c>
      <c r="H1078" s="26" t="s">
        <v>39</v>
      </c>
      <c r="I1078" s="26" t="s">
        <v>5218</v>
      </c>
      <c r="J1078" s="11" t="str">
        <f>VLOOKUP(K1078,'PN Dictionary'!A:B,2,FALSE)</f>
        <v>Cable Cartridge</v>
      </c>
      <c r="K1078" s="26" t="s">
        <v>6</v>
      </c>
      <c r="L1078" s="26">
        <v>2020726351521</v>
      </c>
      <c r="M1078" s="50">
        <v>2020926490278</v>
      </c>
      <c r="N1078" s="51" t="s">
        <v>53</v>
      </c>
      <c r="O1078" s="26" t="s">
        <v>728</v>
      </c>
      <c r="P1078" s="26">
        <v>90160</v>
      </c>
      <c r="Q1078" s="26" t="s">
        <v>55</v>
      </c>
    </row>
    <row r="1079" spans="1:17" x14ac:dyDescent="0.3">
      <c r="A1079" s="26" t="s">
        <v>5219</v>
      </c>
      <c r="B1079" s="26" t="s">
        <v>5220</v>
      </c>
      <c r="C1079" s="26" t="s">
        <v>4309</v>
      </c>
      <c r="D1079" s="26" t="s">
        <v>4816</v>
      </c>
      <c r="E1079" s="26" t="s">
        <v>128</v>
      </c>
      <c r="F1079" s="26" t="s">
        <v>205</v>
      </c>
      <c r="G1079" s="26" t="s">
        <v>5165</v>
      </c>
      <c r="H1079" s="26" t="s">
        <v>39</v>
      </c>
      <c r="I1079" s="26" t="s">
        <v>5221</v>
      </c>
      <c r="J1079" s="11" t="str">
        <f>VLOOKUP(K1079,'PN Dictionary'!A:B,2,FALSE)</f>
        <v>Cable Cartridge</v>
      </c>
      <c r="K1079" s="26" t="s">
        <v>6</v>
      </c>
      <c r="L1079" s="26">
        <v>2020726351234</v>
      </c>
      <c r="M1079" s="50">
        <v>2020926490261</v>
      </c>
      <c r="N1079" s="51" t="s">
        <v>53</v>
      </c>
      <c r="O1079" s="26" t="s">
        <v>728</v>
      </c>
      <c r="P1079" s="26">
        <v>90160</v>
      </c>
      <c r="Q1079" s="26" t="s">
        <v>55</v>
      </c>
    </row>
    <row r="1080" spans="1:17" x14ac:dyDescent="0.3">
      <c r="A1080" s="26" t="s">
        <v>5222</v>
      </c>
      <c r="B1080" s="26" t="s">
        <v>5223</v>
      </c>
      <c r="C1080" s="26" t="s">
        <v>4309</v>
      </c>
      <c r="D1080" s="26" t="s">
        <v>5138</v>
      </c>
      <c r="E1080" s="26" t="s">
        <v>761</v>
      </c>
      <c r="F1080" s="26" t="s">
        <v>3688</v>
      </c>
      <c r="G1080" s="26" t="s">
        <v>5165</v>
      </c>
      <c r="H1080" s="26" t="s">
        <v>39</v>
      </c>
      <c r="I1080" s="26" t="s">
        <v>1190</v>
      </c>
      <c r="J1080" s="11" t="str">
        <f>VLOOKUP(K1080,'PN Dictionary'!A:B,2,FALSE)</f>
        <v>GB300 L10</v>
      </c>
      <c r="K1080" s="26" t="s">
        <v>4318</v>
      </c>
      <c r="L1080" s="26" t="s">
        <v>5224</v>
      </c>
      <c r="M1080" s="50" t="s">
        <v>5225</v>
      </c>
      <c r="N1080" s="51" t="s">
        <v>53</v>
      </c>
      <c r="O1080" s="26" t="s">
        <v>728</v>
      </c>
      <c r="P1080" s="26">
        <v>90160</v>
      </c>
      <c r="Q1080" s="26" t="s">
        <v>55</v>
      </c>
    </row>
    <row r="1081" spans="1:17" x14ac:dyDescent="0.3">
      <c r="A1081" s="26" t="s">
        <v>5226</v>
      </c>
      <c r="B1081" s="26" t="s">
        <v>5227</v>
      </c>
      <c r="C1081" s="26" t="s">
        <v>4309</v>
      </c>
      <c r="D1081" s="26" t="s">
        <v>5123</v>
      </c>
      <c r="E1081" s="26" t="s">
        <v>761</v>
      </c>
      <c r="F1081" s="26" t="s">
        <v>3688</v>
      </c>
      <c r="G1081" s="26" t="s">
        <v>5165</v>
      </c>
      <c r="H1081" s="26" t="s">
        <v>39</v>
      </c>
      <c r="I1081" s="26" t="s">
        <v>3688</v>
      </c>
      <c r="J1081" s="11" t="str">
        <f>VLOOKUP(K1081,'PN Dictionary'!A:B,2,FALSE)</f>
        <v>GB300 L10</v>
      </c>
      <c r="K1081" s="26" t="s">
        <v>4318</v>
      </c>
      <c r="L1081" s="26" t="s">
        <v>5228</v>
      </c>
      <c r="M1081" s="50" t="s">
        <v>5229</v>
      </c>
      <c r="N1081" s="51" t="s">
        <v>53</v>
      </c>
      <c r="O1081" s="26" t="s">
        <v>728</v>
      </c>
      <c r="P1081" s="26">
        <v>90185</v>
      </c>
      <c r="Q1081" s="26" t="s">
        <v>55</v>
      </c>
    </row>
    <row r="1082" spans="1:17" x14ac:dyDescent="0.3">
      <c r="A1082" s="26" t="s">
        <v>5230</v>
      </c>
      <c r="B1082" s="26" t="s">
        <v>5231</v>
      </c>
      <c r="C1082" s="26" t="s">
        <v>4309</v>
      </c>
      <c r="D1082" s="26" t="s">
        <v>5215</v>
      </c>
      <c r="E1082" s="26" t="s">
        <v>761</v>
      </c>
      <c r="F1082" s="26" t="s">
        <v>3688</v>
      </c>
      <c r="G1082" s="26" t="s">
        <v>5232</v>
      </c>
      <c r="H1082" s="26" t="s">
        <v>39</v>
      </c>
      <c r="I1082" s="26" t="s">
        <v>1190</v>
      </c>
      <c r="J1082" s="11" t="str">
        <f>VLOOKUP(K1082,'PN Dictionary'!A:B,2,FALSE)</f>
        <v>GB300 L10</v>
      </c>
      <c r="K1082" s="26" t="s">
        <v>4318</v>
      </c>
      <c r="L1082" s="26" t="s">
        <v>4943</v>
      </c>
      <c r="M1082" s="50" t="s">
        <v>5233</v>
      </c>
      <c r="N1082" s="51" t="s">
        <v>53</v>
      </c>
      <c r="O1082" s="26" t="s">
        <v>728</v>
      </c>
      <c r="P1082" s="26">
        <v>90160</v>
      </c>
      <c r="Q1082" s="26" t="s">
        <v>55</v>
      </c>
    </row>
    <row r="1083" spans="1:17" x14ac:dyDescent="0.3">
      <c r="A1083" s="26" t="s">
        <v>5234</v>
      </c>
      <c r="B1083" s="26" t="s">
        <v>5235</v>
      </c>
      <c r="C1083" s="26" t="s">
        <v>4309</v>
      </c>
      <c r="D1083" s="26" t="s">
        <v>5048</v>
      </c>
      <c r="E1083" s="26" t="s">
        <v>761</v>
      </c>
      <c r="F1083" s="26" t="s">
        <v>3688</v>
      </c>
      <c r="G1083" s="26" t="s">
        <v>5232</v>
      </c>
      <c r="H1083" s="26" t="s">
        <v>39</v>
      </c>
      <c r="I1083" s="26" t="s">
        <v>1190</v>
      </c>
      <c r="J1083" s="11" t="str">
        <f>VLOOKUP(K1083,'PN Dictionary'!A:B,2,FALSE)</f>
        <v>GB300 L10</v>
      </c>
      <c r="K1083" s="26" t="s">
        <v>4318</v>
      </c>
      <c r="L1083" s="26" t="s">
        <v>5236</v>
      </c>
      <c r="M1083" s="50" t="s">
        <v>5237</v>
      </c>
      <c r="N1083" s="51" t="s">
        <v>53</v>
      </c>
      <c r="O1083" s="26" t="s">
        <v>728</v>
      </c>
      <c r="P1083" s="26">
        <v>90160</v>
      </c>
      <c r="Q1083" s="26" t="s">
        <v>55</v>
      </c>
    </row>
    <row r="1084" spans="1:17" x14ac:dyDescent="0.3">
      <c r="A1084" s="26" t="s">
        <v>5238</v>
      </c>
      <c r="B1084" s="26" t="s">
        <v>5239</v>
      </c>
      <c r="C1084" s="26" t="s">
        <v>4309</v>
      </c>
      <c r="D1084" s="26" t="s">
        <v>5123</v>
      </c>
      <c r="E1084" s="26" t="s">
        <v>81</v>
      </c>
      <c r="F1084" s="26" t="s">
        <v>522</v>
      </c>
      <c r="G1084" s="26" t="s">
        <v>5232</v>
      </c>
      <c r="H1084" s="26" t="s">
        <v>39</v>
      </c>
      <c r="I1084" s="26" t="s">
        <v>5240</v>
      </c>
      <c r="J1084" s="11" t="str">
        <f>VLOOKUP(K1084,'PN Dictionary'!A:B,2,FALSE)</f>
        <v>GB300 L10</v>
      </c>
      <c r="K1084" s="26" t="s">
        <v>4318</v>
      </c>
      <c r="L1084" s="26" t="s">
        <v>4769</v>
      </c>
      <c r="M1084" s="50" t="s">
        <v>5241</v>
      </c>
      <c r="N1084" s="51" t="s">
        <v>53</v>
      </c>
      <c r="O1084" s="26" t="s">
        <v>728</v>
      </c>
      <c r="P1084" s="26">
        <v>1237</v>
      </c>
      <c r="Q1084" s="26" t="s">
        <v>55</v>
      </c>
    </row>
    <row r="1085" spans="1:17" x14ac:dyDescent="0.3">
      <c r="A1085" s="26" t="s">
        <v>5242</v>
      </c>
      <c r="B1085" s="26" t="s">
        <v>5243</v>
      </c>
      <c r="C1085" s="26" t="s">
        <v>4309</v>
      </c>
      <c r="D1085" s="26" t="s">
        <v>5123</v>
      </c>
      <c r="E1085" s="26" t="s">
        <v>81</v>
      </c>
      <c r="F1085" s="26" t="s">
        <v>522</v>
      </c>
      <c r="G1085" s="26" t="s">
        <v>5232</v>
      </c>
      <c r="H1085" s="26" t="s">
        <v>39</v>
      </c>
      <c r="I1085" s="26" t="s">
        <v>5244</v>
      </c>
      <c r="J1085" s="11" t="str">
        <f>VLOOKUP(K1085,'PN Dictionary'!A:B,2,FALSE)</f>
        <v>GB300 L10</v>
      </c>
      <c r="K1085" s="26" t="s">
        <v>4318</v>
      </c>
      <c r="L1085" s="26" t="s">
        <v>5212</v>
      </c>
      <c r="M1085" s="50" t="s">
        <v>5245</v>
      </c>
      <c r="N1085" s="51" t="s">
        <v>53</v>
      </c>
      <c r="O1085" s="26" t="s">
        <v>728</v>
      </c>
      <c r="P1085" s="26">
        <v>1237</v>
      </c>
      <c r="Q1085" s="26" t="s">
        <v>55</v>
      </c>
    </row>
    <row r="1086" spans="1:17" x14ac:dyDescent="0.3">
      <c r="A1086" s="26" t="s">
        <v>5246</v>
      </c>
      <c r="B1086" s="26" t="s">
        <v>5247</v>
      </c>
      <c r="C1086" s="26" t="s">
        <v>4309</v>
      </c>
      <c r="D1086" s="26" t="s">
        <v>5123</v>
      </c>
      <c r="E1086" s="26" t="s">
        <v>5248</v>
      </c>
      <c r="F1086" s="26" t="s">
        <v>5249</v>
      </c>
      <c r="G1086" s="26" t="s">
        <v>5232</v>
      </c>
      <c r="H1086" s="26" t="s">
        <v>39</v>
      </c>
      <c r="I1086" s="26" t="s">
        <v>5250</v>
      </c>
      <c r="J1086" s="11" t="str">
        <f>VLOOKUP(K1086,'PN Dictionary'!A:B,2,FALSE)</f>
        <v>GB300 L10</v>
      </c>
      <c r="K1086" s="26" t="s">
        <v>4318</v>
      </c>
      <c r="L1086" s="26" t="s">
        <v>5245</v>
      </c>
      <c r="M1086" s="50" t="s">
        <v>5251</v>
      </c>
      <c r="N1086" s="51" t="s">
        <v>53</v>
      </c>
      <c r="O1086" s="26" t="s">
        <v>728</v>
      </c>
      <c r="P1086" s="26">
        <v>1237</v>
      </c>
      <c r="Q1086" s="26" t="s">
        <v>55</v>
      </c>
    </row>
    <row r="1087" spans="1:17" x14ac:dyDescent="0.3">
      <c r="A1087" s="26" t="s">
        <v>5252</v>
      </c>
      <c r="B1087" s="26" t="s">
        <v>5253</v>
      </c>
      <c r="C1087" s="26" t="s">
        <v>4309</v>
      </c>
      <c r="D1087" s="26" t="s">
        <v>5123</v>
      </c>
      <c r="E1087" s="26" t="s">
        <v>761</v>
      </c>
      <c r="F1087" s="26" t="s">
        <v>3688</v>
      </c>
      <c r="G1087" s="26" t="s">
        <v>5232</v>
      </c>
      <c r="H1087" s="26" t="s">
        <v>39</v>
      </c>
      <c r="I1087" s="26" t="s">
        <v>1190</v>
      </c>
      <c r="J1087" s="11" t="str">
        <f>VLOOKUP(K1087,'PN Dictionary'!A:B,2,FALSE)</f>
        <v>GB300 L10</v>
      </c>
      <c r="K1087" s="26" t="s">
        <v>4318</v>
      </c>
      <c r="L1087" s="26" t="s">
        <v>5254</v>
      </c>
      <c r="M1087" s="50" t="s">
        <v>5255</v>
      </c>
      <c r="N1087" s="51" t="s">
        <v>53</v>
      </c>
      <c r="O1087" s="26" t="s">
        <v>728</v>
      </c>
      <c r="P1087" s="26">
        <v>90131</v>
      </c>
      <c r="Q1087" s="26" t="s">
        <v>55</v>
      </c>
    </row>
    <row r="1088" spans="1:17" x14ac:dyDescent="0.3">
      <c r="A1088" s="26" t="s">
        <v>5256</v>
      </c>
      <c r="B1088" s="26" t="s">
        <v>5257</v>
      </c>
      <c r="C1088" s="26" t="s">
        <v>4309</v>
      </c>
      <c r="D1088" s="26" t="s">
        <v>5258</v>
      </c>
      <c r="E1088" s="26" t="s">
        <v>128</v>
      </c>
      <c r="F1088" s="26" t="s">
        <v>205</v>
      </c>
      <c r="G1088" s="26" t="s">
        <v>5232</v>
      </c>
      <c r="H1088" s="26" t="s">
        <v>39</v>
      </c>
      <c r="I1088" s="26" t="s">
        <v>5259</v>
      </c>
      <c r="J1088" s="11" t="str">
        <f>VLOOKUP(K1088,'PN Dictionary'!A:B,2,FALSE)</f>
        <v>Cable Cartridge</v>
      </c>
      <c r="K1088" s="26" t="s">
        <v>6</v>
      </c>
      <c r="L1088" s="26">
        <v>2020926490645</v>
      </c>
      <c r="M1088" s="50">
        <v>2020826491501</v>
      </c>
      <c r="N1088" s="51" t="s">
        <v>53</v>
      </c>
      <c r="O1088" s="26" t="s">
        <v>728</v>
      </c>
      <c r="P1088" s="26">
        <v>90160</v>
      </c>
      <c r="Q1088" s="26" t="s">
        <v>55</v>
      </c>
    </row>
    <row r="1089" spans="1:17" x14ac:dyDescent="0.3">
      <c r="A1089" s="26" t="s">
        <v>5260</v>
      </c>
      <c r="B1089" s="26" t="s">
        <v>5261</v>
      </c>
      <c r="C1089" s="26" t="s">
        <v>4309</v>
      </c>
      <c r="D1089" s="26" t="s">
        <v>5262</v>
      </c>
      <c r="E1089" s="26" t="s">
        <v>5263</v>
      </c>
      <c r="F1089" s="26" t="s">
        <v>5264</v>
      </c>
      <c r="G1089" s="26" t="s">
        <v>5232</v>
      </c>
      <c r="H1089" s="26" t="s">
        <v>39</v>
      </c>
      <c r="I1089" s="26" t="s">
        <v>5265</v>
      </c>
      <c r="J1089" s="11" t="str">
        <f>VLOOKUP(K1089,'PN Dictionary'!A:B,2,FALSE)</f>
        <v xml:space="preserve">	5.5kW PSU GB300</v>
      </c>
      <c r="K1089" s="26" t="s">
        <v>5280</v>
      </c>
      <c r="L1089" s="26" t="s">
        <v>5267</v>
      </c>
      <c r="M1089" s="50" t="s">
        <v>5268</v>
      </c>
      <c r="N1089" s="51" t="s">
        <v>53</v>
      </c>
      <c r="O1089" s="26" t="s">
        <v>728</v>
      </c>
      <c r="P1089" s="26">
        <v>90066</v>
      </c>
      <c r="Q1089" s="26" t="s">
        <v>55</v>
      </c>
    </row>
    <row r="1090" spans="1:17" x14ac:dyDescent="0.3">
      <c r="A1090" s="26" t="s">
        <v>5269</v>
      </c>
      <c r="B1090" s="26" t="s">
        <v>5270</v>
      </c>
      <c r="C1090" s="26" t="s">
        <v>4309</v>
      </c>
      <c r="D1090" s="26" t="s">
        <v>5271</v>
      </c>
      <c r="E1090" s="26" t="s">
        <v>761</v>
      </c>
      <c r="F1090" s="26" t="s">
        <v>3688</v>
      </c>
      <c r="G1090" s="26" t="s">
        <v>5232</v>
      </c>
      <c r="H1090" s="26" t="s">
        <v>39</v>
      </c>
      <c r="I1090" s="26" t="s">
        <v>1190</v>
      </c>
      <c r="J1090" s="11" t="str">
        <f>VLOOKUP(K1090,'PN Dictionary'!A:B,2,FALSE)</f>
        <v>GB300 L10</v>
      </c>
      <c r="K1090" s="26" t="s">
        <v>4318</v>
      </c>
      <c r="L1090" s="26" t="s">
        <v>5272</v>
      </c>
      <c r="M1090" s="50" t="s">
        <v>5273</v>
      </c>
      <c r="N1090" s="51" t="s">
        <v>53</v>
      </c>
      <c r="O1090" s="26" t="s">
        <v>728</v>
      </c>
      <c r="P1090" s="26">
        <v>90160</v>
      </c>
      <c r="Q1090" s="26" t="s">
        <v>55</v>
      </c>
    </row>
    <row r="1091" spans="1:17" x14ac:dyDescent="0.3">
      <c r="A1091" s="26" t="s">
        <v>5274</v>
      </c>
      <c r="B1091" s="26" t="s">
        <v>5275</v>
      </c>
      <c r="C1091" s="26" t="s">
        <v>4309</v>
      </c>
      <c r="D1091" s="26" t="s">
        <v>5258</v>
      </c>
      <c r="E1091" s="26" t="s">
        <v>761</v>
      </c>
      <c r="F1091" s="26" t="s">
        <v>3688</v>
      </c>
      <c r="G1091" s="26" t="s">
        <v>5232</v>
      </c>
      <c r="H1091" s="26" t="s">
        <v>39</v>
      </c>
      <c r="I1091" s="26" t="s">
        <v>1190</v>
      </c>
      <c r="J1091" s="11" t="str">
        <f>VLOOKUP(K1091,'PN Dictionary'!A:B,2,FALSE)</f>
        <v>GB300 L10</v>
      </c>
      <c r="K1091" s="26" t="s">
        <v>4318</v>
      </c>
      <c r="L1091" s="26" t="s">
        <v>5276</v>
      </c>
      <c r="M1091" s="50" t="s">
        <v>5277</v>
      </c>
      <c r="N1091" s="51" t="s">
        <v>53</v>
      </c>
      <c r="O1091" s="26" t="s">
        <v>728</v>
      </c>
      <c r="P1091" s="26">
        <v>90160</v>
      </c>
      <c r="Q1091" s="26" t="s">
        <v>55</v>
      </c>
    </row>
    <row r="1092" spans="1:17" x14ac:dyDescent="0.3">
      <c r="A1092" s="26" t="s">
        <v>5278</v>
      </c>
      <c r="B1092" s="26" t="s">
        <v>5279</v>
      </c>
      <c r="C1092" s="26" t="s">
        <v>4309</v>
      </c>
      <c r="D1092" s="26" t="s">
        <v>5258</v>
      </c>
      <c r="E1092" s="26" t="s">
        <v>761</v>
      </c>
      <c r="F1092" s="26" t="s">
        <v>3688</v>
      </c>
      <c r="G1092" s="26" t="s">
        <v>5232</v>
      </c>
      <c r="H1092" s="26" t="s">
        <v>39</v>
      </c>
      <c r="I1092" s="26" t="s">
        <v>1190</v>
      </c>
      <c r="J1092" s="11" t="str">
        <f>VLOOKUP(K1092,'PN Dictionary'!A:B,2,FALSE)</f>
        <v>GB300 L10</v>
      </c>
      <c r="K1092" s="26" t="s">
        <v>4318</v>
      </c>
      <c r="L1092" s="26" t="s">
        <v>5237</v>
      </c>
      <c r="M1092" s="50" t="s">
        <v>5008</v>
      </c>
      <c r="N1092" s="51" t="s">
        <v>53</v>
      </c>
      <c r="O1092" s="26" t="s">
        <v>728</v>
      </c>
      <c r="P1092" s="26">
        <v>90160</v>
      </c>
      <c r="Q1092" s="26" t="s">
        <v>55</v>
      </c>
    </row>
    <row r="1093" spans="1:17" x14ac:dyDescent="0.3">
      <c r="A1093" s="26" t="s">
        <v>5282</v>
      </c>
      <c r="B1093" s="26" t="s">
        <v>5283</v>
      </c>
      <c r="C1093" s="26" t="s">
        <v>4309</v>
      </c>
      <c r="D1093" s="26" t="s">
        <v>5284</v>
      </c>
      <c r="E1093" s="26" t="s">
        <v>4031</v>
      </c>
      <c r="F1093" s="26" t="s">
        <v>4032</v>
      </c>
      <c r="G1093" s="26" t="s">
        <v>5285</v>
      </c>
      <c r="H1093" s="26" t="s">
        <v>39</v>
      </c>
      <c r="I1093" s="26" t="s">
        <v>4485</v>
      </c>
      <c r="J1093" s="11" t="str">
        <f>VLOOKUP(K1093,'PN Dictionary'!A:B,2,FALSE)</f>
        <v>GB300 L10</v>
      </c>
      <c r="K1093" s="26" t="s">
        <v>4318</v>
      </c>
      <c r="L1093" s="26" t="s">
        <v>4808</v>
      </c>
      <c r="M1093" s="50" t="s">
        <v>5286</v>
      </c>
      <c r="N1093" s="51" t="s">
        <v>53</v>
      </c>
      <c r="O1093" s="26" t="s">
        <v>728</v>
      </c>
      <c r="P1093" s="26">
        <v>90160</v>
      </c>
      <c r="Q1093" s="26" t="s">
        <v>55</v>
      </c>
    </row>
    <row r="1094" spans="1:17" x14ac:dyDescent="0.3">
      <c r="A1094" s="26" t="s">
        <v>5287</v>
      </c>
      <c r="B1094" s="26" t="s">
        <v>5341</v>
      </c>
      <c r="C1094" s="26" t="s">
        <v>4309</v>
      </c>
      <c r="D1094" s="26" t="s">
        <v>5288</v>
      </c>
      <c r="E1094" s="26" t="s">
        <v>128</v>
      </c>
      <c r="F1094" s="26" t="s">
        <v>205</v>
      </c>
      <c r="G1094" s="26" t="s">
        <v>5285</v>
      </c>
      <c r="H1094" s="26" t="s">
        <v>619</v>
      </c>
      <c r="I1094" s="26" t="s">
        <v>5289</v>
      </c>
      <c r="J1094" s="11" t="str">
        <f>VLOOKUP(K1094,'PN Dictionary'!A:B,2,FALSE)</f>
        <v>Cable Cartridge</v>
      </c>
      <c r="K1094" s="26" t="s">
        <v>6</v>
      </c>
      <c r="L1094" s="26">
        <v>2020826491500</v>
      </c>
      <c r="M1094" s="50"/>
      <c r="N1094" s="51" t="s">
        <v>53</v>
      </c>
      <c r="O1094" s="26" t="s">
        <v>728</v>
      </c>
      <c r="P1094" s="26">
        <v>4369</v>
      </c>
      <c r="Q1094" s="26" t="s">
        <v>55</v>
      </c>
    </row>
    <row r="1095" spans="1:17" x14ac:dyDescent="0.3">
      <c r="A1095" s="26" t="s">
        <v>5290</v>
      </c>
      <c r="B1095" s="26" t="s">
        <v>5291</v>
      </c>
      <c r="C1095" s="26" t="s">
        <v>4309</v>
      </c>
      <c r="D1095" s="26" t="s">
        <v>5292</v>
      </c>
      <c r="E1095" s="26" t="s">
        <v>128</v>
      </c>
      <c r="F1095" s="26" t="s">
        <v>205</v>
      </c>
      <c r="G1095" s="26" t="s">
        <v>5285</v>
      </c>
      <c r="H1095" s="26" t="s">
        <v>39</v>
      </c>
      <c r="I1095" s="26" t="s">
        <v>5293</v>
      </c>
      <c r="J1095" s="11" t="str">
        <f>VLOOKUP(K1095,'PN Dictionary'!A:B,2,FALSE)</f>
        <v>Cable Cartridge</v>
      </c>
      <c r="K1095" s="26" t="s">
        <v>6</v>
      </c>
      <c r="L1095" s="26">
        <v>2020926490653</v>
      </c>
      <c r="M1095" s="50">
        <v>2020726351523</v>
      </c>
      <c r="N1095" s="51" t="s">
        <v>53</v>
      </c>
      <c r="O1095" s="26" t="s">
        <v>728</v>
      </c>
      <c r="P1095" s="26">
        <v>4369</v>
      </c>
      <c r="Q1095" s="26" t="s">
        <v>55</v>
      </c>
    </row>
    <row r="1096" spans="1:17" x14ac:dyDescent="0.3">
      <c r="A1096" s="26" t="s">
        <v>5294</v>
      </c>
      <c r="B1096" s="26" t="s">
        <v>5295</v>
      </c>
      <c r="C1096" s="26" t="s">
        <v>4309</v>
      </c>
      <c r="D1096" s="26" t="s">
        <v>5258</v>
      </c>
      <c r="E1096" s="26" t="s">
        <v>128</v>
      </c>
      <c r="F1096" s="26" t="s">
        <v>205</v>
      </c>
      <c r="G1096" s="26" t="s">
        <v>5285</v>
      </c>
      <c r="H1096" s="26" t="s">
        <v>39</v>
      </c>
      <c r="I1096" s="26" t="s">
        <v>5296</v>
      </c>
      <c r="J1096" s="11" t="str">
        <f>VLOOKUP(K1096,'PN Dictionary'!A:B,2,FALSE)</f>
        <v>Cable Cartridge</v>
      </c>
      <c r="K1096" s="26" t="s">
        <v>6</v>
      </c>
      <c r="L1096" s="26">
        <v>2020926490645</v>
      </c>
      <c r="M1096" s="50">
        <v>2020826491501</v>
      </c>
      <c r="N1096" s="51" t="s">
        <v>53</v>
      </c>
      <c r="O1096" s="26" t="s">
        <v>728</v>
      </c>
      <c r="P1096" s="26">
        <v>90160</v>
      </c>
      <c r="Q1096" s="26" t="s">
        <v>55</v>
      </c>
    </row>
    <row r="1097" spans="1:17" x14ac:dyDescent="0.3">
      <c r="A1097" s="26" t="s">
        <v>5297</v>
      </c>
      <c r="B1097" s="26" t="s">
        <v>5298</v>
      </c>
      <c r="C1097" s="26" t="s">
        <v>4309</v>
      </c>
      <c r="D1097" s="26" t="s">
        <v>5258</v>
      </c>
      <c r="E1097" s="26" t="s">
        <v>374</v>
      </c>
      <c r="F1097" s="26" t="s">
        <v>3893</v>
      </c>
      <c r="G1097" s="26" t="s">
        <v>5285</v>
      </c>
      <c r="H1097" s="26" t="s">
        <v>39</v>
      </c>
      <c r="I1097" s="26" t="s">
        <v>5299</v>
      </c>
      <c r="J1097" s="11" t="str">
        <f>VLOOKUP(K1097,'PN Dictionary'!A:B,2,FALSE)</f>
        <v>NVSwitch</v>
      </c>
      <c r="K1097" s="26" t="s">
        <v>7</v>
      </c>
      <c r="L1097" s="26" t="s">
        <v>5300</v>
      </c>
      <c r="M1097" s="50" t="s">
        <v>5301</v>
      </c>
      <c r="N1097" s="51" t="s">
        <v>53</v>
      </c>
      <c r="O1097" s="26" t="s">
        <v>728</v>
      </c>
      <c r="P1097" s="26">
        <v>1519</v>
      </c>
      <c r="Q1097" s="26" t="s">
        <v>55</v>
      </c>
    </row>
    <row r="1098" spans="1:17" x14ac:dyDescent="0.3">
      <c r="A1098" s="26" t="s">
        <v>5302</v>
      </c>
      <c r="B1098" s="26" t="s">
        <v>5303</v>
      </c>
      <c r="C1098" s="26" t="s">
        <v>4309</v>
      </c>
      <c r="D1098" s="26" t="s">
        <v>5172</v>
      </c>
      <c r="E1098" s="26" t="s">
        <v>3881</v>
      </c>
      <c r="F1098" s="26" t="s">
        <v>3882</v>
      </c>
      <c r="G1098" s="26" t="s">
        <v>5285</v>
      </c>
      <c r="H1098" s="26" t="s">
        <v>39</v>
      </c>
      <c r="I1098" s="26" t="s">
        <v>3882</v>
      </c>
      <c r="J1098" s="11" t="str">
        <f>VLOOKUP(K1098,'PN Dictionary'!A:B,2,FALSE)</f>
        <v>GB300 L10</v>
      </c>
      <c r="K1098" s="26" t="s">
        <v>4318</v>
      </c>
      <c r="L1098" s="26" t="s">
        <v>5304</v>
      </c>
      <c r="M1098" s="50" t="s">
        <v>5305</v>
      </c>
      <c r="N1098" s="51" t="s">
        <v>53</v>
      </c>
      <c r="O1098" s="26" t="s">
        <v>728</v>
      </c>
      <c r="P1098" s="26">
        <v>90185</v>
      </c>
      <c r="Q1098" s="26" t="s">
        <v>55</v>
      </c>
    </row>
    <row r="1099" spans="1:17" x14ac:dyDescent="0.3">
      <c r="A1099" s="26" t="s">
        <v>5306</v>
      </c>
      <c r="B1099" s="26" t="s">
        <v>5307</v>
      </c>
      <c r="C1099" s="26" t="s">
        <v>4309</v>
      </c>
      <c r="D1099" s="26" t="s">
        <v>5308</v>
      </c>
      <c r="E1099" s="26" t="s">
        <v>4899</v>
      </c>
      <c r="F1099" s="26" t="s">
        <v>4900</v>
      </c>
      <c r="G1099" s="26" t="s">
        <v>5285</v>
      </c>
      <c r="H1099" s="26" t="s">
        <v>39</v>
      </c>
      <c r="I1099" s="26" t="s">
        <v>5309</v>
      </c>
      <c r="J1099" s="11" t="str">
        <f>VLOOKUP(K1099,'PN Dictionary'!A:B,2,FALSE)</f>
        <v>GB300 L10</v>
      </c>
      <c r="K1099" s="26" t="s">
        <v>4318</v>
      </c>
      <c r="L1099" s="26" t="s">
        <v>5310</v>
      </c>
      <c r="M1099" s="50" t="s">
        <v>5311</v>
      </c>
      <c r="N1099" s="51" t="s">
        <v>53</v>
      </c>
      <c r="O1099" s="26" t="s">
        <v>728</v>
      </c>
      <c r="P1099" s="26">
        <v>90185</v>
      </c>
      <c r="Q1099" s="26" t="s">
        <v>55</v>
      </c>
    </row>
    <row r="1100" spans="1:17" x14ac:dyDescent="0.3">
      <c r="A1100" s="26" t="s">
        <v>5312</v>
      </c>
      <c r="B1100" s="26" t="s">
        <v>5313</v>
      </c>
      <c r="C1100" s="26" t="s">
        <v>4309</v>
      </c>
      <c r="D1100" s="26" t="s">
        <v>5123</v>
      </c>
      <c r="E1100" s="26" t="s">
        <v>761</v>
      </c>
      <c r="F1100" s="26" t="s">
        <v>3688</v>
      </c>
      <c r="G1100" s="26" t="s">
        <v>5285</v>
      </c>
      <c r="H1100" s="26" t="s">
        <v>39</v>
      </c>
      <c r="I1100" s="26" t="s">
        <v>3688</v>
      </c>
      <c r="J1100" s="11" t="str">
        <f>VLOOKUP(K1100,'PN Dictionary'!A:B,2,FALSE)</f>
        <v>GB300 L10</v>
      </c>
      <c r="K1100" s="26" t="s">
        <v>4318</v>
      </c>
      <c r="L1100" s="26" t="s">
        <v>5314</v>
      </c>
      <c r="M1100" s="50" t="s">
        <v>5305</v>
      </c>
      <c r="N1100" s="51" t="s">
        <v>53</v>
      </c>
      <c r="O1100" s="26" t="s">
        <v>728</v>
      </c>
      <c r="P1100" s="26">
        <v>90185</v>
      </c>
      <c r="Q1100" s="26" t="s">
        <v>55</v>
      </c>
    </row>
    <row r="1101" spans="1:17" x14ac:dyDescent="0.3">
      <c r="A1101" s="26" t="s">
        <v>5315</v>
      </c>
      <c r="B1101" s="26" t="s">
        <v>5316</v>
      </c>
      <c r="C1101" s="26" t="s">
        <v>4309</v>
      </c>
      <c r="D1101" s="26" t="s">
        <v>5317</v>
      </c>
      <c r="E1101" s="26" t="s">
        <v>761</v>
      </c>
      <c r="F1101" s="26" t="s">
        <v>3688</v>
      </c>
      <c r="G1101" s="26" t="s">
        <v>5285</v>
      </c>
      <c r="H1101" s="26" t="s">
        <v>39</v>
      </c>
      <c r="I1101" s="26" t="s">
        <v>1190</v>
      </c>
      <c r="J1101" s="11" t="str">
        <f>VLOOKUP(K1101,'PN Dictionary'!A:B,2,FALSE)</f>
        <v>GB300 L10</v>
      </c>
      <c r="K1101" s="26" t="s">
        <v>4318</v>
      </c>
      <c r="L1101" s="26" t="s">
        <v>5024</v>
      </c>
      <c r="M1101" s="50" t="s">
        <v>5318</v>
      </c>
      <c r="N1101" s="51" t="s">
        <v>53</v>
      </c>
      <c r="O1101" s="26" t="s">
        <v>728</v>
      </c>
      <c r="P1101" s="26">
        <v>90160</v>
      </c>
      <c r="Q1101" s="26" t="s">
        <v>55</v>
      </c>
    </row>
    <row r="1102" spans="1:17" x14ac:dyDescent="0.3">
      <c r="A1102" s="26" t="s">
        <v>5319</v>
      </c>
      <c r="B1102" s="26" t="s">
        <v>5320</v>
      </c>
      <c r="C1102" s="26" t="s">
        <v>4309</v>
      </c>
      <c r="D1102" s="26" t="s">
        <v>5321</v>
      </c>
      <c r="E1102" s="26" t="s">
        <v>761</v>
      </c>
      <c r="F1102" s="26" t="s">
        <v>3688</v>
      </c>
      <c r="G1102" s="26" t="s">
        <v>5285</v>
      </c>
      <c r="H1102" s="26" t="s">
        <v>39</v>
      </c>
      <c r="I1102" s="26" t="s">
        <v>1190</v>
      </c>
      <c r="J1102" s="11" t="str">
        <f>VLOOKUP(K1102,'PN Dictionary'!A:B,2,FALSE)</f>
        <v>GB300 L10</v>
      </c>
      <c r="K1102" s="26" t="s">
        <v>4318</v>
      </c>
      <c r="L1102" s="26" t="s">
        <v>5322</v>
      </c>
      <c r="M1102" s="50" t="s">
        <v>5323</v>
      </c>
      <c r="N1102" s="51" t="s">
        <v>53</v>
      </c>
      <c r="O1102" s="26" t="s">
        <v>728</v>
      </c>
      <c r="P1102" s="26">
        <v>90160</v>
      </c>
      <c r="Q1102" s="26" t="s">
        <v>55</v>
      </c>
    </row>
    <row r="1103" spans="1:17" x14ac:dyDescent="0.3">
      <c r="A1103" s="26" t="s">
        <v>5324</v>
      </c>
      <c r="B1103" s="26" t="s">
        <v>5325</v>
      </c>
      <c r="C1103" s="26" t="s">
        <v>4309</v>
      </c>
      <c r="D1103" s="26" t="s">
        <v>5321</v>
      </c>
      <c r="E1103" s="26" t="s">
        <v>761</v>
      </c>
      <c r="F1103" s="26" t="s">
        <v>3688</v>
      </c>
      <c r="G1103" s="26" t="s">
        <v>5285</v>
      </c>
      <c r="H1103" s="26" t="s">
        <v>39</v>
      </c>
      <c r="I1103" s="26" t="s">
        <v>1190</v>
      </c>
      <c r="J1103" s="11" t="str">
        <f>VLOOKUP(K1103,'PN Dictionary'!A:B,2,FALSE)</f>
        <v>GB300 L10</v>
      </c>
      <c r="K1103" s="26" t="s">
        <v>4318</v>
      </c>
      <c r="L1103" s="26" t="s">
        <v>5326</v>
      </c>
      <c r="M1103" s="50" t="s">
        <v>5327</v>
      </c>
      <c r="N1103" s="51" t="s">
        <v>53</v>
      </c>
      <c r="O1103" s="26" t="s">
        <v>728</v>
      </c>
      <c r="P1103" s="26">
        <v>90160</v>
      </c>
      <c r="Q1103" s="26" t="s">
        <v>55</v>
      </c>
    </row>
    <row r="1104" spans="1:17" x14ac:dyDescent="0.3">
      <c r="A1104" s="26" t="s">
        <v>5328</v>
      </c>
      <c r="B1104" s="26" t="s">
        <v>5329</v>
      </c>
      <c r="C1104" s="26" t="s">
        <v>4309</v>
      </c>
      <c r="D1104" s="26" t="s">
        <v>5321</v>
      </c>
      <c r="E1104" s="26" t="s">
        <v>761</v>
      </c>
      <c r="F1104" s="26" t="s">
        <v>3688</v>
      </c>
      <c r="G1104" s="26" t="s">
        <v>5285</v>
      </c>
      <c r="H1104" s="26" t="s">
        <v>39</v>
      </c>
      <c r="I1104" s="26" t="s">
        <v>1190</v>
      </c>
      <c r="J1104" s="11" t="str">
        <f>VLOOKUP(K1104,'PN Dictionary'!A:B,2,FALSE)</f>
        <v>GB300 L10</v>
      </c>
      <c r="K1104" s="26" t="s">
        <v>4318</v>
      </c>
      <c r="L1104" s="26" t="s">
        <v>5330</v>
      </c>
      <c r="M1104" s="50" t="s">
        <v>5331</v>
      </c>
      <c r="N1104" s="51" t="s">
        <v>53</v>
      </c>
      <c r="O1104" s="26" t="s">
        <v>728</v>
      </c>
      <c r="P1104" s="26">
        <v>90160</v>
      </c>
      <c r="Q1104" s="26" t="s">
        <v>55</v>
      </c>
    </row>
    <row r="1105" spans="1:17" x14ac:dyDescent="0.3">
      <c r="A1105" s="26" t="s">
        <v>5332</v>
      </c>
      <c r="B1105" s="26" t="s">
        <v>5333</v>
      </c>
      <c r="C1105" s="26" t="s">
        <v>4309</v>
      </c>
      <c r="D1105" s="26" t="s">
        <v>5195</v>
      </c>
      <c r="E1105" s="26" t="s">
        <v>761</v>
      </c>
      <c r="F1105" s="26" t="s">
        <v>3688</v>
      </c>
      <c r="G1105" s="26" t="s">
        <v>5285</v>
      </c>
      <c r="H1105" s="26" t="s">
        <v>39</v>
      </c>
      <c r="I1105" s="26" t="s">
        <v>1190</v>
      </c>
      <c r="J1105" s="11" t="str">
        <f>VLOOKUP(K1105,'PN Dictionary'!A:B,2,FALSE)</f>
        <v>GB300 L10</v>
      </c>
      <c r="K1105" s="26" t="s">
        <v>4318</v>
      </c>
      <c r="L1105" s="26" t="s">
        <v>5334</v>
      </c>
      <c r="M1105" s="50" t="s">
        <v>5335</v>
      </c>
      <c r="N1105" s="51" t="s">
        <v>53</v>
      </c>
      <c r="O1105" s="26" t="s">
        <v>728</v>
      </c>
      <c r="P1105" s="26">
        <v>90160</v>
      </c>
      <c r="Q1105" s="26" t="s">
        <v>55</v>
      </c>
    </row>
    <row r="1106" spans="1:17" x14ac:dyDescent="0.3">
      <c r="A1106" s="26" t="s">
        <v>5336</v>
      </c>
      <c r="B1106" s="26" t="s">
        <v>5337</v>
      </c>
      <c r="C1106" s="26" t="s">
        <v>4309</v>
      </c>
      <c r="D1106" s="26" t="s">
        <v>5195</v>
      </c>
      <c r="E1106" s="26" t="s">
        <v>761</v>
      </c>
      <c r="F1106" s="26" t="s">
        <v>3688</v>
      </c>
      <c r="G1106" s="26" t="s">
        <v>5285</v>
      </c>
      <c r="H1106" s="26" t="s">
        <v>39</v>
      </c>
      <c r="I1106" s="26" t="s">
        <v>1190</v>
      </c>
      <c r="J1106" s="11" t="str">
        <f>VLOOKUP(K1106,'PN Dictionary'!A:B,2,FALSE)</f>
        <v>GB300 L10</v>
      </c>
      <c r="K1106" s="26" t="s">
        <v>4318</v>
      </c>
      <c r="L1106" s="26" t="s">
        <v>5070</v>
      </c>
      <c r="M1106" s="50" t="s">
        <v>5334</v>
      </c>
      <c r="N1106" s="51" t="s">
        <v>53</v>
      </c>
      <c r="O1106" s="26" t="s">
        <v>728</v>
      </c>
      <c r="P1106" s="26">
        <v>90160</v>
      </c>
      <c r="Q1106" s="26" t="s">
        <v>55</v>
      </c>
    </row>
    <row r="1107" spans="1:17" x14ac:dyDescent="0.3">
      <c r="A1107" s="26" t="s">
        <v>5338</v>
      </c>
      <c r="B1107" s="26" t="s">
        <v>5339</v>
      </c>
      <c r="C1107" s="26" t="s">
        <v>4309</v>
      </c>
      <c r="D1107" s="26" t="s">
        <v>5292</v>
      </c>
      <c r="E1107" s="26" t="s">
        <v>761</v>
      </c>
      <c r="F1107" s="26" t="s">
        <v>3688</v>
      </c>
      <c r="G1107" s="26" t="s">
        <v>5285</v>
      </c>
      <c r="H1107" s="26" t="s">
        <v>39</v>
      </c>
      <c r="I1107" s="26" t="s">
        <v>1190</v>
      </c>
      <c r="J1107" s="11" t="str">
        <f>VLOOKUP(K1107,'PN Dictionary'!A:B,2,FALSE)</f>
        <v>GB300 L10</v>
      </c>
      <c r="K1107" s="26" t="s">
        <v>4318</v>
      </c>
      <c r="L1107" s="26" t="s">
        <v>4677</v>
      </c>
      <c r="M1107" s="50" t="s">
        <v>5340</v>
      </c>
      <c r="N1107" s="51" t="s">
        <v>53</v>
      </c>
      <c r="O1107" s="26" t="s">
        <v>728</v>
      </c>
      <c r="P1107" s="26">
        <v>90160</v>
      </c>
      <c r="Q1107" s="26" t="s">
        <v>55</v>
      </c>
    </row>
    <row r="1108" spans="1:17" x14ac:dyDescent="0.3">
      <c r="A1108" s="26" t="s">
        <v>5342</v>
      </c>
      <c r="B1108" s="26" t="s">
        <v>5343</v>
      </c>
      <c r="C1108" s="26" t="s">
        <v>4309</v>
      </c>
      <c r="D1108" s="26" t="s">
        <v>5344</v>
      </c>
      <c r="E1108" s="26" t="s">
        <v>761</v>
      </c>
      <c r="F1108" s="26" t="s">
        <v>3688</v>
      </c>
      <c r="G1108" s="26" t="s">
        <v>5345</v>
      </c>
      <c r="H1108" s="26" t="s">
        <v>39</v>
      </c>
      <c r="I1108" s="26" t="s">
        <v>1190</v>
      </c>
      <c r="J1108" s="11" t="str">
        <f>VLOOKUP(K1108,'PN Dictionary'!A:B,2,FALSE)</f>
        <v>GB300 L10</v>
      </c>
      <c r="K1108" s="26" t="s">
        <v>4318</v>
      </c>
      <c r="L1108" s="26" t="s">
        <v>5346</v>
      </c>
      <c r="M1108" s="50" t="s">
        <v>5347</v>
      </c>
      <c r="N1108" s="51" t="s">
        <v>53</v>
      </c>
      <c r="O1108" s="26" t="s">
        <v>728</v>
      </c>
      <c r="P1108" s="26">
        <v>90160</v>
      </c>
      <c r="Q1108" s="26" t="s">
        <v>55</v>
      </c>
    </row>
    <row r="1109" spans="1:17" x14ac:dyDescent="0.3">
      <c r="A1109" s="26" t="s">
        <v>5348</v>
      </c>
      <c r="B1109" s="26" t="s">
        <v>5349</v>
      </c>
      <c r="C1109" s="26" t="s">
        <v>4309</v>
      </c>
      <c r="D1109" s="26" t="s">
        <v>5350</v>
      </c>
      <c r="E1109" s="26" t="s">
        <v>761</v>
      </c>
      <c r="F1109" s="26" t="s">
        <v>3688</v>
      </c>
      <c r="G1109" s="26" t="s">
        <v>5345</v>
      </c>
      <c r="H1109" s="26" t="s">
        <v>39</v>
      </c>
      <c r="I1109" s="26" t="s">
        <v>1190</v>
      </c>
      <c r="J1109" s="11" t="str">
        <f>VLOOKUP(K1109,'PN Dictionary'!A:B,2,FALSE)</f>
        <v>GB300 L10</v>
      </c>
      <c r="K1109" s="26" t="s">
        <v>4318</v>
      </c>
      <c r="L1109" s="26" t="s">
        <v>4918</v>
      </c>
      <c r="M1109" s="50" t="s">
        <v>5351</v>
      </c>
      <c r="N1109" s="51" t="s">
        <v>53</v>
      </c>
      <c r="O1109" s="26" t="s">
        <v>728</v>
      </c>
      <c r="P1109" s="26">
        <v>90160</v>
      </c>
      <c r="Q1109" s="26" t="s">
        <v>55</v>
      </c>
    </row>
    <row r="1110" spans="1:17" x14ac:dyDescent="0.3">
      <c r="A1110" s="26" t="s">
        <v>5352</v>
      </c>
      <c r="B1110" s="26" t="s">
        <v>5353</v>
      </c>
      <c r="C1110" s="26" t="s">
        <v>4309</v>
      </c>
      <c r="D1110" s="26" t="s">
        <v>5354</v>
      </c>
      <c r="E1110" s="26" t="s">
        <v>761</v>
      </c>
      <c r="F1110" s="26" t="s">
        <v>3688</v>
      </c>
      <c r="G1110" s="26" t="s">
        <v>5345</v>
      </c>
      <c r="H1110" s="26" t="s">
        <v>39</v>
      </c>
      <c r="I1110" s="26" t="s">
        <v>1190</v>
      </c>
      <c r="J1110" s="11" t="str">
        <f>VLOOKUP(K1110,'PN Dictionary'!A:B,2,FALSE)</f>
        <v>GB300 L10</v>
      </c>
      <c r="K1110" s="26" t="s">
        <v>4318</v>
      </c>
      <c r="L1110" s="26" t="s">
        <v>5355</v>
      </c>
      <c r="M1110" s="50" t="s">
        <v>5356</v>
      </c>
      <c r="N1110" s="51" t="s">
        <v>53</v>
      </c>
      <c r="O1110" s="26" t="s">
        <v>728</v>
      </c>
      <c r="P1110" s="26">
        <v>90160</v>
      </c>
      <c r="Q1110" s="26" t="s">
        <v>55</v>
      </c>
    </row>
    <row r="1111" spans="1:17" x14ac:dyDescent="0.3">
      <c r="A1111" s="26" t="s">
        <v>5357</v>
      </c>
      <c r="B1111" s="26" t="s">
        <v>5358</v>
      </c>
      <c r="C1111" s="26" t="s">
        <v>4309</v>
      </c>
      <c r="D1111" s="26" t="s">
        <v>5292</v>
      </c>
      <c r="E1111" s="26" t="s">
        <v>761</v>
      </c>
      <c r="F1111" s="26" t="s">
        <v>3688</v>
      </c>
      <c r="G1111" s="26" t="s">
        <v>5345</v>
      </c>
      <c r="H1111" s="26" t="s">
        <v>39</v>
      </c>
      <c r="I1111" s="26" t="s">
        <v>1190</v>
      </c>
      <c r="J1111" s="11" t="str">
        <f>VLOOKUP(K1111,'PN Dictionary'!A:B,2,FALSE)</f>
        <v>GB300 L10</v>
      </c>
      <c r="K1111" s="26" t="s">
        <v>4318</v>
      </c>
      <c r="L1111" s="26" t="s">
        <v>5340</v>
      </c>
      <c r="M1111" s="50" t="s">
        <v>5359</v>
      </c>
      <c r="N1111" s="51" t="s">
        <v>53</v>
      </c>
      <c r="O1111" s="26" t="s">
        <v>728</v>
      </c>
      <c r="P1111" s="26">
        <v>90160</v>
      </c>
      <c r="Q1111" s="26" t="s">
        <v>55</v>
      </c>
    </row>
    <row r="1112" spans="1:17" x14ac:dyDescent="0.3">
      <c r="A1112" s="26" t="s">
        <v>5360</v>
      </c>
      <c r="B1112" s="26" t="s">
        <v>5361</v>
      </c>
      <c r="C1112" s="26" t="s">
        <v>4309</v>
      </c>
      <c r="D1112" s="26" t="s">
        <v>5321</v>
      </c>
      <c r="E1112" s="26" t="s">
        <v>81</v>
      </c>
      <c r="F1112" s="26" t="s">
        <v>522</v>
      </c>
      <c r="G1112" s="26" t="s">
        <v>5345</v>
      </c>
      <c r="H1112" s="26" t="s">
        <v>39</v>
      </c>
      <c r="I1112" s="26" t="s">
        <v>5362</v>
      </c>
      <c r="J1112" s="11" t="str">
        <f>VLOOKUP(K1112,'PN Dictionary'!A:B,2,FALSE)</f>
        <v>GB300 L10</v>
      </c>
      <c r="K1112" s="26" t="s">
        <v>4318</v>
      </c>
      <c r="L1112" s="26" t="s">
        <v>4769</v>
      </c>
      <c r="M1112" s="50" t="s">
        <v>5363</v>
      </c>
      <c r="N1112" s="51" t="s">
        <v>53</v>
      </c>
      <c r="O1112" s="26" t="s">
        <v>728</v>
      </c>
      <c r="P1112" s="26">
        <v>90160</v>
      </c>
      <c r="Q1112" s="26" t="s">
        <v>55</v>
      </c>
    </row>
    <row r="1113" spans="1:17" x14ac:dyDescent="0.3">
      <c r="A1113" s="26" t="s">
        <v>5364</v>
      </c>
      <c r="B1113" s="26" t="s">
        <v>5365</v>
      </c>
      <c r="C1113" s="26" t="s">
        <v>4309</v>
      </c>
      <c r="D1113" s="26" t="s">
        <v>5321</v>
      </c>
      <c r="E1113" s="26" t="s">
        <v>4538</v>
      </c>
      <c r="F1113" s="26" t="s">
        <v>4539</v>
      </c>
      <c r="G1113" s="26" t="s">
        <v>5345</v>
      </c>
      <c r="H1113" s="26" t="s">
        <v>39</v>
      </c>
      <c r="I1113" s="26" t="s">
        <v>4540</v>
      </c>
      <c r="J1113" s="11" t="str">
        <f>VLOOKUP(K1113,'PN Dictionary'!A:B,2,FALSE)</f>
        <v>GB300 L10</v>
      </c>
      <c r="K1113" s="26" t="s">
        <v>4318</v>
      </c>
      <c r="L1113" s="26" t="s">
        <v>5366</v>
      </c>
      <c r="M1113" s="50" t="s">
        <v>5367</v>
      </c>
      <c r="N1113" s="51" t="s">
        <v>53</v>
      </c>
      <c r="O1113" s="26" t="s">
        <v>728</v>
      </c>
      <c r="P1113" s="26">
        <v>90160</v>
      </c>
      <c r="Q1113" s="26" t="s">
        <v>55</v>
      </c>
    </row>
    <row r="1114" spans="1:17" x14ac:dyDescent="0.3">
      <c r="A1114" s="26" t="s">
        <v>5368</v>
      </c>
      <c r="B1114" s="26" t="s">
        <v>5369</v>
      </c>
      <c r="C1114" s="26" t="s">
        <v>4309</v>
      </c>
      <c r="D1114" s="26" t="s">
        <v>5321</v>
      </c>
      <c r="E1114" s="26" t="s">
        <v>3881</v>
      </c>
      <c r="F1114" s="26" t="s">
        <v>3882</v>
      </c>
      <c r="G1114" s="26" t="s">
        <v>5345</v>
      </c>
      <c r="H1114" s="26" t="s">
        <v>39</v>
      </c>
      <c r="I1114" s="26" t="s">
        <v>1225</v>
      </c>
      <c r="J1114" s="11" t="str">
        <f>VLOOKUP(K1114,'PN Dictionary'!A:B,2,FALSE)</f>
        <v>GB300 L10</v>
      </c>
      <c r="K1114" s="26" t="s">
        <v>4318</v>
      </c>
      <c r="L1114" s="26" t="s">
        <v>5370</v>
      </c>
      <c r="M1114" s="50" t="s">
        <v>5371</v>
      </c>
      <c r="N1114" s="51" t="s">
        <v>53</v>
      </c>
      <c r="O1114" s="26" t="s">
        <v>728</v>
      </c>
      <c r="P1114" s="26">
        <v>90160</v>
      </c>
      <c r="Q1114" s="26" t="s">
        <v>55</v>
      </c>
    </row>
    <row r="1115" spans="1:17" x14ac:dyDescent="0.3">
      <c r="A1115" s="26" t="s">
        <v>5372</v>
      </c>
      <c r="B1115" s="26" t="s">
        <v>5373</v>
      </c>
      <c r="C1115" s="26" t="s">
        <v>4309</v>
      </c>
      <c r="D1115" s="26" t="s">
        <v>5374</v>
      </c>
      <c r="E1115" s="26" t="s">
        <v>3881</v>
      </c>
      <c r="F1115" s="26" t="s">
        <v>3882</v>
      </c>
      <c r="G1115" s="26" t="s">
        <v>5345</v>
      </c>
      <c r="H1115" s="26" t="s">
        <v>39</v>
      </c>
      <c r="I1115" s="26" t="s">
        <v>1225</v>
      </c>
      <c r="J1115" s="11" t="str">
        <f>VLOOKUP(K1115,'PN Dictionary'!A:B,2,FALSE)</f>
        <v>GB300 L10</v>
      </c>
      <c r="K1115" s="26" t="s">
        <v>4318</v>
      </c>
      <c r="L1115" s="26" t="s">
        <v>5125</v>
      </c>
      <c r="M1115" s="50" t="s">
        <v>5375</v>
      </c>
      <c r="N1115" s="51" t="s">
        <v>53</v>
      </c>
      <c r="O1115" s="26" t="s">
        <v>728</v>
      </c>
      <c r="P1115" s="26">
        <v>90160</v>
      </c>
      <c r="Q1115" s="26" t="s">
        <v>55</v>
      </c>
    </row>
    <row r="1116" spans="1:17" x14ac:dyDescent="0.3">
      <c r="A1116" s="26" t="s">
        <v>5376</v>
      </c>
      <c r="B1116" s="26" t="s">
        <v>5377</v>
      </c>
      <c r="C1116" s="26" t="s">
        <v>4309</v>
      </c>
      <c r="D1116" s="26" t="s">
        <v>5378</v>
      </c>
      <c r="E1116" s="26" t="s">
        <v>242</v>
      </c>
      <c r="F1116" s="26" t="s">
        <v>604</v>
      </c>
      <c r="G1116" s="26" t="s">
        <v>5345</v>
      </c>
      <c r="H1116" s="26" t="s">
        <v>39</v>
      </c>
      <c r="I1116" s="26" t="s">
        <v>5379</v>
      </c>
      <c r="J1116" s="11" t="str">
        <f>VLOOKUP(K1116,'PN Dictionary'!A:B,2,FALSE)</f>
        <v xml:space="preserve">	5.5kW PSU GB300</v>
      </c>
      <c r="K1116" s="26" t="s">
        <v>5266</v>
      </c>
      <c r="L1116" s="26" t="s">
        <v>5380</v>
      </c>
      <c r="M1116" s="50" t="s">
        <v>5381</v>
      </c>
      <c r="N1116" s="51" t="s">
        <v>53</v>
      </c>
      <c r="O1116" s="26" t="s">
        <v>728</v>
      </c>
      <c r="P1116" s="26">
        <v>90160</v>
      </c>
      <c r="Q1116" s="26" t="s">
        <v>55</v>
      </c>
    </row>
    <row r="1117" spans="1:17" x14ac:dyDescent="0.3">
      <c r="A1117" s="26" t="s">
        <v>5382</v>
      </c>
      <c r="B1117" s="26" t="s">
        <v>5383</v>
      </c>
      <c r="C1117" s="26" t="s">
        <v>4309</v>
      </c>
      <c r="D1117" s="26" t="s">
        <v>5384</v>
      </c>
      <c r="E1117" s="26" t="s">
        <v>3881</v>
      </c>
      <c r="F1117" s="26" t="s">
        <v>3882</v>
      </c>
      <c r="G1117" s="26" t="s">
        <v>5345</v>
      </c>
      <c r="H1117" s="26" t="s">
        <v>39</v>
      </c>
      <c r="I1117" s="26" t="s">
        <v>3882</v>
      </c>
      <c r="J1117" s="11" t="str">
        <f>VLOOKUP(K1117,'PN Dictionary'!A:B,2,FALSE)</f>
        <v>GB300 L10</v>
      </c>
      <c r="K1117" s="26" t="s">
        <v>4318</v>
      </c>
      <c r="L1117" s="26" t="s">
        <v>5029</v>
      </c>
      <c r="M1117" s="50" t="s">
        <v>5385</v>
      </c>
      <c r="N1117" s="51" t="s">
        <v>53</v>
      </c>
      <c r="O1117" s="26" t="s">
        <v>728</v>
      </c>
      <c r="P1117" s="26">
        <v>90185</v>
      </c>
      <c r="Q1117" s="26" t="s">
        <v>55</v>
      </c>
    </row>
    <row r="1118" spans="1:17" x14ac:dyDescent="0.3">
      <c r="A1118" s="26" t="s">
        <v>5386</v>
      </c>
      <c r="B1118" s="26" t="s">
        <v>5387</v>
      </c>
      <c r="C1118" s="26" t="s">
        <v>4309</v>
      </c>
      <c r="D1118" s="26" t="s">
        <v>5384</v>
      </c>
      <c r="E1118" s="26" t="s">
        <v>259</v>
      </c>
      <c r="F1118" s="26" t="s">
        <v>5388</v>
      </c>
      <c r="G1118" s="26" t="s">
        <v>5345</v>
      </c>
      <c r="H1118" s="26" t="s">
        <v>39</v>
      </c>
      <c r="I1118" s="26" t="s">
        <v>2353</v>
      </c>
      <c r="J1118" s="11" t="str">
        <f>VLOOKUP(K1118,'PN Dictionary'!A:B,2,FALSE)</f>
        <v>GB300 L10</v>
      </c>
      <c r="K1118" s="26" t="s">
        <v>4318</v>
      </c>
      <c r="L1118" s="26" t="s">
        <v>5004</v>
      </c>
      <c r="M1118" s="50" t="s">
        <v>5389</v>
      </c>
      <c r="N1118" s="51" t="s">
        <v>53</v>
      </c>
      <c r="O1118" s="26" t="s">
        <v>728</v>
      </c>
      <c r="P1118" s="26">
        <v>90185</v>
      </c>
      <c r="Q1118" s="26" t="s">
        <v>55</v>
      </c>
    </row>
    <row r="1119" spans="1:17" x14ac:dyDescent="0.3">
      <c r="A1119" s="26" t="s">
        <v>5390</v>
      </c>
      <c r="B1119" s="26" t="s">
        <v>5391</v>
      </c>
      <c r="C1119" s="26" t="s">
        <v>4309</v>
      </c>
      <c r="D1119" s="26" t="s">
        <v>5113</v>
      </c>
      <c r="E1119" s="26" t="s">
        <v>81</v>
      </c>
      <c r="F1119" s="26" t="s">
        <v>522</v>
      </c>
      <c r="G1119" s="26" t="s">
        <v>5345</v>
      </c>
      <c r="H1119" s="26" t="s">
        <v>39</v>
      </c>
      <c r="I1119" s="26" t="s">
        <v>522</v>
      </c>
      <c r="J1119" s="11" t="str">
        <f>VLOOKUP(K1119,'PN Dictionary'!A:B,2,FALSE)</f>
        <v>GB300 L10</v>
      </c>
      <c r="K1119" s="26" t="s">
        <v>4318</v>
      </c>
      <c r="L1119" s="26" t="s">
        <v>5392</v>
      </c>
      <c r="M1119" s="50" t="s">
        <v>5393</v>
      </c>
      <c r="N1119" s="51" t="s">
        <v>53</v>
      </c>
      <c r="O1119" s="26" t="s">
        <v>728</v>
      </c>
      <c r="P1119" s="26">
        <v>90185</v>
      </c>
      <c r="Q1119" s="26" t="s">
        <v>55</v>
      </c>
    </row>
    <row r="1120" spans="1:17" x14ac:dyDescent="0.3">
      <c r="A1120" s="26" t="s">
        <v>5394</v>
      </c>
      <c r="B1120" s="26" t="s">
        <v>5395</v>
      </c>
      <c r="C1120" s="26" t="s">
        <v>4309</v>
      </c>
      <c r="D1120" s="26" t="s">
        <v>5317</v>
      </c>
      <c r="E1120" s="26" t="s">
        <v>242</v>
      </c>
      <c r="F1120" s="26" t="s">
        <v>604</v>
      </c>
      <c r="G1120" s="26" t="s">
        <v>5345</v>
      </c>
      <c r="H1120" s="26" t="s">
        <v>39</v>
      </c>
      <c r="I1120" s="26" t="s">
        <v>5396</v>
      </c>
      <c r="J1120" s="11" t="str">
        <f>VLOOKUP(K1120,'PN Dictionary'!A:B,2,FALSE)</f>
        <v xml:space="preserve">	5.5kW PSU GB300</v>
      </c>
      <c r="K1120" s="26" t="s">
        <v>5266</v>
      </c>
      <c r="L1120" s="26" t="s">
        <v>5397</v>
      </c>
      <c r="M1120" s="50" t="s">
        <v>5398</v>
      </c>
      <c r="N1120" s="51" t="s">
        <v>53</v>
      </c>
      <c r="O1120" s="26" t="s">
        <v>728</v>
      </c>
      <c r="P1120" s="26">
        <v>90160</v>
      </c>
      <c r="Q1120" s="26" t="s">
        <v>55</v>
      </c>
    </row>
    <row r="1121" spans="1:17" x14ac:dyDescent="0.3">
      <c r="A1121" s="26" t="s">
        <v>5399</v>
      </c>
      <c r="B1121" s="26" t="s">
        <v>5400</v>
      </c>
      <c r="C1121" s="26" t="s">
        <v>4309</v>
      </c>
      <c r="D1121" s="26" t="s">
        <v>5378</v>
      </c>
      <c r="E1121" s="26" t="s">
        <v>761</v>
      </c>
      <c r="F1121" s="26" t="s">
        <v>3688</v>
      </c>
      <c r="G1121" s="26" t="s">
        <v>5345</v>
      </c>
      <c r="H1121" s="26" t="s">
        <v>39</v>
      </c>
      <c r="I1121" s="26" t="s">
        <v>1190</v>
      </c>
      <c r="J1121" s="11" t="str">
        <f>VLOOKUP(K1121,'PN Dictionary'!A:B,2,FALSE)</f>
        <v>GB300 L10</v>
      </c>
      <c r="K1121" s="26" t="s">
        <v>4318</v>
      </c>
      <c r="L1121" s="26" t="s">
        <v>4796</v>
      </c>
      <c r="M1121" s="50" t="s">
        <v>5401</v>
      </c>
      <c r="N1121" s="51" t="s">
        <v>53</v>
      </c>
      <c r="O1121" s="26" t="s">
        <v>728</v>
      </c>
      <c r="P1121" s="26">
        <v>90160</v>
      </c>
      <c r="Q1121" s="26" t="s">
        <v>55</v>
      </c>
    </row>
    <row r="1122" spans="1:17" x14ac:dyDescent="0.3">
      <c r="A1122" s="26" t="s">
        <v>5402</v>
      </c>
      <c r="B1122" s="26" t="s">
        <v>5403</v>
      </c>
      <c r="C1122" s="26" t="s">
        <v>4309</v>
      </c>
      <c r="D1122" s="26" t="s">
        <v>5321</v>
      </c>
      <c r="E1122" s="26" t="s">
        <v>761</v>
      </c>
      <c r="F1122" s="26" t="s">
        <v>3688</v>
      </c>
      <c r="G1122" s="26" t="s">
        <v>5345</v>
      </c>
      <c r="H1122" s="26" t="s">
        <v>39</v>
      </c>
      <c r="I1122" s="26" t="s">
        <v>1190</v>
      </c>
      <c r="J1122" s="11" t="str">
        <f>VLOOKUP(K1122,'PN Dictionary'!A:B,2,FALSE)</f>
        <v>GB300 L10</v>
      </c>
      <c r="K1122" s="26" t="s">
        <v>4318</v>
      </c>
      <c r="L1122" s="26" t="s">
        <v>4833</v>
      </c>
      <c r="M1122" s="50" t="s">
        <v>5404</v>
      </c>
      <c r="N1122" s="51" t="s">
        <v>53</v>
      </c>
      <c r="O1122" s="26" t="s">
        <v>728</v>
      </c>
      <c r="P1122" s="26">
        <v>90160</v>
      </c>
      <c r="Q1122" s="26" t="s">
        <v>55</v>
      </c>
    </row>
    <row r="1123" spans="1:17" x14ac:dyDescent="0.3">
      <c r="A1123" s="26" t="s">
        <v>5405</v>
      </c>
      <c r="B1123" s="26" t="s">
        <v>5406</v>
      </c>
      <c r="C1123" s="26" t="s">
        <v>4309</v>
      </c>
      <c r="D1123" s="26" t="s">
        <v>5321</v>
      </c>
      <c r="E1123" s="26" t="s">
        <v>761</v>
      </c>
      <c r="F1123" s="26" t="s">
        <v>3688</v>
      </c>
      <c r="G1123" s="26" t="s">
        <v>5345</v>
      </c>
      <c r="H1123" s="26" t="s">
        <v>39</v>
      </c>
      <c r="I1123" s="26" t="s">
        <v>1190</v>
      </c>
      <c r="J1123" s="11" t="str">
        <f>VLOOKUP(K1123,'PN Dictionary'!A:B,2,FALSE)</f>
        <v>GB300 L10</v>
      </c>
      <c r="K1123" s="26" t="s">
        <v>4318</v>
      </c>
      <c r="L1123" s="26" t="s">
        <v>5407</v>
      </c>
      <c r="M1123" s="50" t="s">
        <v>5408</v>
      </c>
      <c r="N1123" s="51" t="s">
        <v>53</v>
      </c>
      <c r="O1123" s="26" t="s">
        <v>728</v>
      </c>
      <c r="P1123" s="26">
        <v>90160</v>
      </c>
      <c r="Q1123" s="26" t="s">
        <v>55</v>
      </c>
    </row>
    <row r="1124" spans="1:17" x14ac:dyDescent="0.3">
      <c r="A1124" s="26" t="s">
        <v>5409</v>
      </c>
      <c r="B1124" s="26" t="s">
        <v>5410</v>
      </c>
      <c r="C1124" s="26" t="s">
        <v>4309</v>
      </c>
      <c r="D1124" s="26" t="s">
        <v>5411</v>
      </c>
      <c r="E1124" s="26" t="s">
        <v>761</v>
      </c>
      <c r="F1124" s="26" t="s">
        <v>3688</v>
      </c>
      <c r="G1124" s="26" t="s">
        <v>5345</v>
      </c>
      <c r="H1124" s="26" t="s">
        <v>39</v>
      </c>
      <c r="I1124" s="26" t="s">
        <v>1190</v>
      </c>
      <c r="J1124" s="11" t="str">
        <f>VLOOKUP(K1124,'PN Dictionary'!A:B,2,FALSE)</f>
        <v>GB300 L10</v>
      </c>
      <c r="K1124" s="26" t="s">
        <v>4318</v>
      </c>
      <c r="L1124" s="26" t="s">
        <v>5254</v>
      </c>
      <c r="M1124" s="50" t="s">
        <v>5412</v>
      </c>
      <c r="N1124" s="51" t="s">
        <v>53</v>
      </c>
      <c r="O1124" s="26" t="s">
        <v>728</v>
      </c>
      <c r="P1124" s="26">
        <v>90160</v>
      </c>
      <c r="Q1124" s="26" t="s">
        <v>55</v>
      </c>
    </row>
    <row r="1125" spans="1:17" x14ac:dyDescent="0.3">
      <c r="A1125" s="26" t="s">
        <v>5413</v>
      </c>
      <c r="B1125" s="26" t="s">
        <v>5414</v>
      </c>
      <c r="C1125" s="26" t="s">
        <v>4309</v>
      </c>
      <c r="D1125" s="26" t="s">
        <v>5415</v>
      </c>
      <c r="E1125" s="26" t="s">
        <v>761</v>
      </c>
      <c r="F1125" s="26" t="s">
        <v>3688</v>
      </c>
      <c r="G1125" s="26" t="s">
        <v>5345</v>
      </c>
      <c r="H1125" s="26" t="s">
        <v>39</v>
      </c>
      <c r="I1125" s="26" t="s">
        <v>1190</v>
      </c>
      <c r="J1125" s="11" t="str">
        <f>VLOOKUP(K1125,'PN Dictionary'!A:B,2,FALSE)</f>
        <v>GB300 L10</v>
      </c>
      <c r="K1125" s="26" t="s">
        <v>4318</v>
      </c>
      <c r="L1125" s="26" t="s">
        <v>5186</v>
      </c>
      <c r="M1125" s="50" t="s">
        <v>4838</v>
      </c>
      <c r="N1125" s="51" t="s">
        <v>53</v>
      </c>
      <c r="O1125" s="26" t="s">
        <v>728</v>
      </c>
      <c r="P1125" s="26">
        <v>90160</v>
      </c>
      <c r="Q1125" s="26" t="s">
        <v>55</v>
      </c>
    </row>
    <row r="1126" spans="1:17" x14ac:dyDescent="0.3">
      <c r="A1126" s="26" t="s">
        <v>5416</v>
      </c>
      <c r="B1126" s="26" t="s">
        <v>5417</v>
      </c>
      <c r="C1126" s="26" t="s">
        <v>4309</v>
      </c>
      <c r="D1126" s="26" t="s">
        <v>5418</v>
      </c>
      <c r="E1126" s="26" t="s">
        <v>81</v>
      </c>
      <c r="F1126" s="26" t="s">
        <v>522</v>
      </c>
      <c r="G1126" s="26" t="s">
        <v>5419</v>
      </c>
      <c r="H1126" s="26" t="s">
        <v>39</v>
      </c>
      <c r="I1126" s="26" t="s">
        <v>3432</v>
      </c>
      <c r="J1126" s="11" t="str">
        <f>VLOOKUP(K1126,'PN Dictionary'!A:B,2,FALSE)</f>
        <v>GB300 L10</v>
      </c>
      <c r="K1126" s="26" t="s">
        <v>4318</v>
      </c>
      <c r="L1126" s="26" t="s">
        <v>5420</v>
      </c>
      <c r="M1126" s="50" t="s">
        <v>5421</v>
      </c>
      <c r="N1126" s="51" t="s">
        <v>53</v>
      </c>
      <c r="O1126" s="26" t="s">
        <v>728</v>
      </c>
      <c r="P1126" s="26">
        <v>90160</v>
      </c>
      <c r="Q1126" s="26" t="s">
        <v>55</v>
      </c>
    </row>
    <row r="1127" spans="1:17" x14ac:dyDescent="0.3">
      <c r="A1127" s="26" t="s">
        <v>5422</v>
      </c>
      <c r="B1127" s="26" t="s">
        <v>5423</v>
      </c>
      <c r="C1127" s="26" t="s">
        <v>4309</v>
      </c>
      <c r="D1127" s="26" t="s">
        <v>5424</v>
      </c>
      <c r="E1127" s="26" t="s">
        <v>4094</v>
      </c>
      <c r="F1127" s="26" t="s">
        <v>4095</v>
      </c>
      <c r="G1127" s="26" t="s">
        <v>5419</v>
      </c>
      <c r="H1127" s="26" t="s">
        <v>39</v>
      </c>
      <c r="I1127" s="26" t="s">
        <v>5425</v>
      </c>
      <c r="J1127" s="11" t="str">
        <f>VLOOKUP(K1127,'PN Dictionary'!A:B,2,FALSE)</f>
        <v>GB300 L10</v>
      </c>
      <c r="K1127" s="26" t="s">
        <v>4318</v>
      </c>
      <c r="L1127" s="26" t="s">
        <v>5426</v>
      </c>
      <c r="M1127" s="50" t="s">
        <v>5427</v>
      </c>
      <c r="N1127" s="51" t="s">
        <v>53</v>
      </c>
      <c r="O1127" s="26" t="s">
        <v>728</v>
      </c>
      <c r="P1127" s="26">
        <v>90160</v>
      </c>
      <c r="Q1127" s="26" t="s">
        <v>55</v>
      </c>
    </row>
    <row r="1128" spans="1:17" x14ac:dyDescent="0.3">
      <c r="A1128" s="26" t="s">
        <v>5428</v>
      </c>
      <c r="B1128" s="26" t="s">
        <v>5429</v>
      </c>
      <c r="C1128" s="26" t="s">
        <v>4309</v>
      </c>
      <c r="D1128" s="26" t="s">
        <v>5415</v>
      </c>
      <c r="E1128" s="26" t="s">
        <v>761</v>
      </c>
      <c r="F1128" s="26" t="s">
        <v>3688</v>
      </c>
      <c r="G1128" s="26" t="s">
        <v>5419</v>
      </c>
      <c r="H1128" s="26" t="s">
        <v>39</v>
      </c>
      <c r="I1128" s="26" t="s">
        <v>3688</v>
      </c>
      <c r="J1128" s="11" t="str">
        <f>VLOOKUP(K1128,'PN Dictionary'!A:B,2,FALSE)</f>
        <v>GB300 L10</v>
      </c>
      <c r="K1128" s="26" t="s">
        <v>4318</v>
      </c>
      <c r="L1128" s="26" t="s">
        <v>5430</v>
      </c>
      <c r="M1128" s="50" t="s">
        <v>5431</v>
      </c>
      <c r="N1128" s="51" t="s">
        <v>53</v>
      </c>
      <c r="O1128" s="26" t="s">
        <v>728</v>
      </c>
      <c r="P1128" s="26">
        <v>90185</v>
      </c>
      <c r="Q1128" s="26" t="s">
        <v>55</v>
      </c>
    </row>
    <row r="1129" spans="1:17" x14ac:dyDescent="0.3">
      <c r="A1129" s="26" t="s">
        <v>5432</v>
      </c>
      <c r="B1129" s="26" t="s">
        <v>5433</v>
      </c>
      <c r="C1129" s="26" t="s">
        <v>4309</v>
      </c>
      <c r="D1129" s="26" t="s">
        <v>5434</v>
      </c>
      <c r="E1129" s="26" t="s">
        <v>128</v>
      </c>
      <c r="F1129" s="26" t="s">
        <v>205</v>
      </c>
      <c r="G1129" s="26" t="s">
        <v>5419</v>
      </c>
      <c r="H1129" s="26" t="s">
        <v>39</v>
      </c>
      <c r="I1129" s="26" t="s">
        <v>5435</v>
      </c>
      <c r="J1129" s="11" t="str">
        <f>VLOOKUP(K1129,'PN Dictionary'!A:B,2,FALSE)</f>
        <v>Cable Cartridge</v>
      </c>
      <c r="K1129" s="26" t="s">
        <v>6</v>
      </c>
      <c r="L1129" s="26">
        <v>2020826490615</v>
      </c>
      <c r="M1129" s="50">
        <v>2020826491502</v>
      </c>
      <c r="N1129" s="51" t="s">
        <v>53</v>
      </c>
      <c r="O1129" s="26" t="s">
        <v>728</v>
      </c>
      <c r="P1129" s="26">
        <v>90185</v>
      </c>
      <c r="Q1129" s="26" t="s">
        <v>55</v>
      </c>
    </row>
    <row r="1130" spans="1:17" x14ac:dyDescent="0.3">
      <c r="A1130" s="26" t="s">
        <v>5436</v>
      </c>
      <c r="B1130" s="26" t="s">
        <v>5437</v>
      </c>
      <c r="C1130" s="26" t="s">
        <v>4309</v>
      </c>
      <c r="D1130" s="26" t="s">
        <v>5434</v>
      </c>
      <c r="E1130" s="26" t="s">
        <v>230</v>
      </c>
      <c r="F1130" s="26" t="s">
        <v>238</v>
      </c>
      <c r="G1130" s="26" t="s">
        <v>5419</v>
      </c>
      <c r="H1130" s="26" t="s">
        <v>39</v>
      </c>
      <c r="I1130" s="26" t="s">
        <v>5438</v>
      </c>
      <c r="J1130" s="11" t="str">
        <f>VLOOKUP(K1130,'PN Dictionary'!A:B,2,FALSE)</f>
        <v>NVSwitch</v>
      </c>
      <c r="K1130" s="26" t="s">
        <v>7</v>
      </c>
      <c r="L1130" s="26" t="s">
        <v>5439</v>
      </c>
      <c r="M1130" s="50" t="s">
        <v>5440</v>
      </c>
      <c r="N1130" s="51" t="s">
        <v>53</v>
      </c>
      <c r="O1130" s="26" t="s">
        <v>728</v>
      </c>
      <c r="P1130" s="26">
        <v>3908</v>
      </c>
      <c r="Q1130" s="26" t="s">
        <v>55</v>
      </c>
    </row>
    <row r="1131" spans="1:17" x14ac:dyDescent="0.3">
      <c r="A1131" s="26" t="s">
        <v>5441</v>
      </c>
      <c r="B1131" s="26" t="s">
        <v>5442</v>
      </c>
      <c r="C1131" s="26" t="s">
        <v>4309</v>
      </c>
      <c r="D1131" s="26" t="s">
        <v>5443</v>
      </c>
      <c r="E1131" s="26" t="s">
        <v>761</v>
      </c>
      <c r="F1131" s="26" t="s">
        <v>3688</v>
      </c>
      <c r="G1131" s="26" t="s">
        <v>5419</v>
      </c>
      <c r="H1131" s="26" t="s">
        <v>39</v>
      </c>
      <c r="I1131" s="26" t="s">
        <v>1190</v>
      </c>
      <c r="J1131" s="11" t="str">
        <f>VLOOKUP(K1131,'PN Dictionary'!A:B,2,FALSE)</f>
        <v>GB300 L10</v>
      </c>
      <c r="K1131" s="26" t="s">
        <v>4318</v>
      </c>
      <c r="L1131" s="26" t="s">
        <v>4868</v>
      </c>
      <c r="M1131" s="50" t="s">
        <v>5444</v>
      </c>
      <c r="N1131" s="51" t="s">
        <v>53</v>
      </c>
      <c r="O1131" s="26" t="s">
        <v>728</v>
      </c>
      <c r="P1131" s="26">
        <v>3908</v>
      </c>
      <c r="Q1131" s="26" t="s">
        <v>55</v>
      </c>
    </row>
    <row r="1132" spans="1:17" x14ac:dyDescent="0.3">
      <c r="A1132" s="26" t="s">
        <v>5445</v>
      </c>
      <c r="B1132" s="26" t="s">
        <v>5446</v>
      </c>
      <c r="C1132" s="26" t="s">
        <v>4309</v>
      </c>
      <c r="D1132" s="26" t="s">
        <v>5424</v>
      </c>
      <c r="E1132" s="26" t="s">
        <v>761</v>
      </c>
      <c r="F1132" s="26" t="s">
        <v>3688</v>
      </c>
      <c r="G1132" s="26" t="s">
        <v>5419</v>
      </c>
      <c r="H1132" s="26" t="s">
        <v>39</v>
      </c>
      <c r="I1132" s="26" t="s">
        <v>1190</v>
      </c>
      <c r="J1132" s="11" t="str">
        <f>VLOOKUP(K1132,'PN Dictionary'!A:B,2,FALSE)</f>
        <v>GB300 L10</v>
      </c>
      <c r="K1132" s="26" t="s">
        <v>4318</v>
      </c>
      <c r="L1132" s="26" t="s">
        <v>4973</v>
      </c>
      <c r="M1132" s="50" t="s">
        <v>5447</v>
      </c>
      <c r="N1132" s="51" t="s">
        <v>53</v>
      </c>
      <c r="O1132" s="26" t="s">
        <v>728</v>
      </c>
      <c r="P1132" s="26">
        <v>90160</v>
      </c>
      <c r="Q1132" s="26" t="s">
        <v>55</v>
      </c>
    </row>
    <row r="1133" spans="1:17" x14ac:dyDescent="0.3">
      <c r="A1133" s="26" t="s">
        <v>5448</v>
      </c>
      <c r="B1133" s="26" t="s">
        <v>5449</v>
      </c>
      <c r="C1133" s="26" t="s">
        <v>4309</v>
      </c>
      <c r="D1133" s="26" t="s">
        <v>5415</v>
      </c>
      <c r="E1133" s="26" t="s">
        <v>761</v>
      </c>
      <c r="F1133" s="26" t="s">
        <v>3688</v>
      </c>
      <c r="G1133" s="26" t="s">
        <v>5419</v>
      </c>
      <c r="H1133" s="26" t="s">
        <v>39</v>
      </c>
      <c r="I1133" s="26" t="s">
        <v>1190</v>
      </c>
      <c r="J1133" s="11" t="str">
        <f>VLOOKUP(K1133,'PN Dictionary'!A:B,2,FALSE)</f>
        <v>GB300 L10</v>
      </c>
      <c r="K1133" s="26" t="s">
        <v>4318</v>
      </c>
      <c r="L1133" s="26" t="s">
        <v>5430</v>
      </c>
      <c r="M1133" s="50" t="s">
        <v>5431</v>
      </c>
      <c r="N1133" s="51" t="s">
        <v>53</v>
      </c>
      <c r="O1133" s="26" t="s">
        <v>728</v>
      </c>
      <c r="P1133" s="26">
        <v>90160</v>
      </c>
      <c r="Q1133" s="26" t="s">
        <v>55</v>
      </c>
    </row>
    <row r="1134" spans="1:17" x14ac:dyDescent="0.3">
      <c r="A1134" s="26" t="s">
        <v>5450</v>
      </c>
      <c r="B1134" s="26" t="s">
        <v>5451</v>
      </c>
      <c r="C1134" s="26" t="s">
        <v>4309</v>
      </c>
      <c r="D1134" s="26" t="s">
        <v>5411</v>
      </c>
      <c r="E1134" s="26" t="s">
        <v>4154</v>
      </c>
      <c r="F1134" s="26" t="s">
        <v>4155</v>
      </c>
      <c r="G1134" s="26" t="s">
        <v>5419</v>
      </c>
      <c r="H1134" s="26" t="s">
        <v>39</v>
      </c>
      <c r="I1134" s="26" t="s">
        <v>5452</v>
      </c>
      <c r="J1134" s="11" t="str">
        <f>VLOOKUP(K1134,'PN Dictionary'!A:B,2,FALSE)</f>
        <v>GB300 L10</v>
      </c>
      <c r="K1134" s="26" t="s">
        <v>4318</v>
      </c>
      <c r="L1134" s="26" t="s">
        <v>5453</v>
      </c>
      <c r="M1134" s="50" t="s">
        <v>5454</v>
      </c>
      <c r="N1134" s="51" t="s">
        <v>53</v>
      </c>
      <c r="O1134" s="26" t="s">
        <v>728</v>
      </c>
      <c r="P1134" s="26">
        <v>90131</v>
      </c>
      <c r="Q1134" s="26" t="s">
        <v>55</v>
      </c>
    </row>
    <row r="1135" spans="1:17" x14ac:dyDescent="0.3">
      <c r="A1135" s="26" t="s">
        <v>5455</v>
      </c>
      <c r="B1135" s="26" t="s">
        <v>5456</v>
      </c>
      <c r="C1135" s="26" t="s">
        <v>4309</v>
      </c>
      <c r="D1135" s="26" t="s">
        <v>5418</v>
      </c>
      <c r="E1135" s="26" t="s">
        <v>761</v>
      </c>
      <c r="F1135" s="26" t="s">
        <v>3688</v>
      </c>
      <c r="G1135" s="26" t="s">
        <v>5419</v>
      </c>
      <c r="H1135" s="26" t="s">
        <v>39</v>
      </c>
      <c r="I1135" s="26" t="s">
        <v>1190</v>
      </c>
      <c r="J1135" s="11" t="str">
        <f>VLOOKUP(K1135,'PN Dictionary'!A:B,2,FALSE)</f>
        <v>GB300 L10</v>
      </c>
      <c r="K1135" s="26" t="s">
        <v>4318</v>
      </c>
      <c r="L1135" s="26" t="s">
        <v>5457</v>
      </c>
      <c r="M1135" s="50" t="s">
        <v>5458</v>
      </c>
      <c r="N1135" s="51" t="s">
        <v>53</v>
      </c>
      <c r="O1135" s="26" t="s">
        <v>728</v>
      </c>
      <c r="P1135" s="26">
        <v>90160</v>
      </c>
      <c r="Q1135" s="26" t="s">
        <v>55</v>
      </c>
    </row>
    <row r="1136" spans="1:17" x14ac:dyDescent="0.3">
      <c r="A1136" s="26" t="s">
        <v>5459</v>
      </c>
      <c r="B1136" s="26" t="s">
        <v>5460</v>
      </c>
      <c r="C1136" s="26" t="s">
        <v>4309</v>
      </c>
      <c r="D1136" s="26" t="s">
        <v>5461</v>
      </c>
      <c r="E1136" s="26" t="s">
        <v>81</v>
      </c>
      <c r="F1136" s="26" t="s">
        <v>522</v>
      </c>
      <c r="G1136" s="26" t="s">
        <v>5462</v>
      </c>
      <c r="H1136" s="26" t="s">
        <v>39</v>
      </c>
      <c r="I1136" s="26" t="s">
        <v>3432</v>
      </c>
      <c r="J1136" s="11" t="str">
        <f>VLOOKUP(K1136,'PN Dictionary'!A:B,2,FALSE)</f>
        <v>GB300 L10</v>
      </c>
      <c r="K1136" s="26" t="s">
        <v>4318</v>
      </c>
      <c r="L1136" s="26" t="s">
        <v>5463</v>
      </c>
      <c r="M1136" s="50" t="s">
        <v>5464</v>
      </c>
      <c r="N1136" s="51" t="s">
        <v>53</v>
      </c>
      <c r="O1136" s="26" t="s">
        <v>728</v>
      </c>
      <c r="P1136" s="26">
        <v>90160</v>
      </c>
      <c r="Q1136" s="26" t="s">
        <v>55</v>
      </c>
    </row>
    <row r="1137" spans="1:17" x14ac:dyDescent="0.3">
      <c r="A1137" s="26" t="s">
        <v>5465</v>
      </c>
      <c r="B1137" s="26" t="s">
        <v>5466</v>
      </c>
      <c r="C1137" s="26" t="s">
        <v>4309</v>
      </c>
      <c r="D1137" s="26" t="s">
        <v>5467</v>
      </c>
      <c r="E1137" s="26" t="s">
        <v>3857</v>
      </c>
      <c r="F1137" s="26" t="s">
        <v>3858</v>
      </c>
      <c r="G1137" s="26" t="s">
        <v>5462</v>
      </c>
      <c r="H1137" s="26" t="s">
        <v>39</v>
      </c>
      <c r="I1137" s="26" t="s">
        <v>3859</v>
      </c>
      <c r="J1137" s="11" t="str">
        <f>VLOOKUP(K1137,'PN Dictionary'!A:B,2,FALSE)</f>
        <v>GB300 L10</v>
      </c>
      <c r="K1137" s="26" t="s">
        <v>4318</v>
      </c>
      <c r="L1137" s="26" t="s">
        <v>5468</v>
      </c>
      <c r="M1137" s="50" t="s">
        <v>5469</v>
      </c>
      <c r="N1137" s="51" t="s">
        <v>53</v>
      </c>
      <c r="O1137" s="26" t="s">
        <v>728</v>
      </c>
      <c r="P1137" s="26">
        <v>90160</v>
      </c>
      <c r="Q1137" s="26" t="s">
        <v>55</v>
      </c>
    </row>
    <row r="1138" spans="1:17" x14ac:dyDescent="0.3">
      <c r="A1138" s="26" t="s">
        <v>5470</v>
      </c>
      <c r="B1138" s="26" t="s">
        <v>5471</v>
      </c>
      <c r="C1138" s="26" t="s">
        <v>4309</v>
      </c>
      <c r="D1138" s="26" t="s">
        <v>5195</v>
      </c>
      <c r="E1138" s="26" t="s">
        <v>3881</v>
      </c>
      <c r="F1138" s="26" t="s">
        <v>3882</v>
      </c>
      <c r="G1138" s="26" t="s">
        <v>5462</v>
      </c>
      <c r="H1138" s="26" t="s">
        <v>39</v>
      </c>
      <c r="I1138" s="26" t="s">
        <v>1225</v>
      </c>
      <c r="J1138" s="11" t="str">
        <f>VLOOKUP(K1138,'PN Dictionary'!A:B,2,FALSE)</f>
        <v>GB300 L10</v>
      </c>
      <c r="K1138" s="26" t="s">
        <v>4318</v>
      </c>
      <c r="L1138" s="26" t="s">
        <v>5074</v>
      </c>
      <c r="M1138" s="50" t="s">
        <v>5472</v>
      </c>
      <c r="N1138" s="51" t="s">
        <v>53</v>
      </c>
      <c r="O1138" s="26" t="s">
        <v>728</v>
      </c>
      <c r="P1138" s="26">
        <v>90160</v>
      </c>
      <c r="Q1138" s="26" t="s">
        <v>55</v>
      </c>
    </row>
    <row r="1139" spans="1:17" x14ac:dyDescent="0.3">
      <c r="A1139" s="26" t="s">
        <v>5473</v>
      </c>
      <c r="B1139" s="26" t="s">
        <v>5474</v>
      </c>
      <c r="C1139" s="26" t="s">
        <v>4309</v>
      </c>
      <c r="D1139" s="26" t="s">
        <v>5475</v>
      </c>
      <c r="E1139" s="26" t="s">
        <v>242</v>
      </c>
      <c r="F1139" s="26" t="s">
        <v>604</v>
      </c>
      <c r="G1139" s="26" t="s">
        <v>5462</v>
      </c>
      <c r="H1139" s="26" t="s">
        <v>39</v>
      </c>
      <c r="I1139" s="26" t="s">
        <v>5476</v>
      </c>
      <c r="J1139" s="11" t="str">
        <f>VLOOKUP(K1139,'PN Dictionary'!A:B,2,FALSE)</f>
        <v>Power shelf control module</v>
      </c>
      <c r="K1139" s="26" t="s">
        <v>4746</v>
      </c>
      <c r="L1139" s="26" t="s">
        <v>5477</v>
      </c>
      <c r="M1139" s="50" t="s">
        <v>5478</v>
      </c>
      <c r="N1139" s="51" t="s">
        <v>53</v>
      </c>
      <c r="O1139" s="26" t="s">
        <v>728</v>
      </c>
      <c r="P1139" s="26">
        <v>1237</v>
      </c>
      <c r="Q1139" s="26" t="s">
        <v>55</v>
      </c>
    </row>
    <row r="1140" spans="1:17" x14ac:dyDescent="0.3">
      <c r="A1140" s="26" t="s">
        <v>5479</v>
      </c>
      <c r="B1140" s="26" t="s">
        <v>5480</v>
      </c>
      <c r="C1140" s="26" t="s">
        <v>4309</v>
      </c>
      <c r="D1140" s="26" t="s">
        <v>4816</v>
      </c>
      <c r="E1140" s="26" t="s">
        <v>230</v>
      </c>
      <c r="F1140" s="26" t="s">
        <v>238</v>
      </c>
      <c r="G1140" s="26" t="s">
        <v>5462</v>
      </c>
      <c r="H1140" s="26" t="s">
        <v>39</v>
      </c>
      <c r="I1140" s="26" t="s">
        <v>5481</v>
      </c>
      <c r="J1140" s="11" t="str">
        <f>VLOOKUP(K1140,'PN Dictionary'!A:B,2,FALSE)</f>
        <v>NVSwitch</v>
      </c>
      <c r="K1140" s="26" t="s">
        <v>7</v>
      </c>
      <c r="L1140" s="26" t="s">
        <v>5482</v>
      </c>
      <c r="M1140" s="50" t="s">
        <v>5483</v>
      </c>
      <c r="N1140" s="51" t="s">
        <v>53</v>
      </c>
      <c r="O1140" s="26" t="s">
        <v>728</v>
      </c>
      <c r="P1140" s="26">
        <v>2984</v>
      </c>
      <c r="Q1140" s="26" t="s">
        <v>55</v>
      </c>
    </row>
    <row r="1141" spans="1:17" x14ac:dyDescent="0.3">
      <c r="A1141" s="26" t="s">
        <v>5484</v>
      </c>
      <c r="B1141" s="26" t="s">
        <v>5485</v>
      </c>
      <c r="C1141" s="26" t="s">
        <v>4309</v>
      </c>
      <c r="D1141" s="26" t="s">
        <v>5486</v>
      </c>
      <c r="E1141" s="26" t="s">
        <v>128</v>
      </c>
      <c r="F1141" s="26" t="s">
        <v>205</v>
      </c>
      <c r="G1141" s="26" t="s">
        <v>5462</v>
      </c>
      <c r="H1141" s="26" t="s">
        <v>39</v>
      </c>
      <c r="I1141" s="26" t="s">
        <v>5487</v>
      </c>
      <c r="J1141" s="11" t="str">
        <f>VLOOKUP(K1141,'PN Dictionary'!A:B,2,FALSE)</f>
        <v>Cable Cartridge</v>
      </c>
      <c r="K1141" s="26" t="s">
        <v>6</v>
      </c>
      <c r="L1141" s="26">
        <v>1820626356632</v>
      </c>
      <c r="M1141" s="50">
        <v>1823525350225</v>
      </c>
      <c r="N1141" s="51" t="s">
        <v>53</v>
      </c>
      <c r="O1141" s="26" t="s">
        <v>728</v>
      </c>
      <c r="P1141" s="26">
        <v>90185</v>
      </c>
      <c r="Q1141" s="26" t="s">
        <v>55</v>
      </c>
    </row>
    <row r="1142" spans="1:17" x14ac:dyDescent="0.3">
      <c r="A1142" s="26" t="s">
        <v>5488</v>
      </c>
      <c r="B1142" s="26" t="s">
        <v>5489</v>
      </c>
      <c r="C1142" s="26" t="s">
        <v>4309</v>
      </c>
      <c r="D1142" s="26" t="s">
        <v>5486</v>
      </c>
      <c r="E1142" s="26" t="s">
        <v>761</v>
      </c>
      <c r="F1142" s="26" t="s">
        <v>3688</v>
      </c>
      <c r="G1142" s="26" t="s">
        <v>5462</v>
      </c>
      <c r="H1142" s="26" t="s">
        <v>39</v>
      </c>
      <c r="I1142" s="26" t="s">
        <v>3688</v>
      </c>
      <c r="J1142" s="11" t="str">
        <f>VLOOKUP(K1142,'PN Dictionary'!A:B,2,FALSE)</f>
        <v>GB300 L10</v>
      </c>
      <c r="K1142" s="26" t="s">
        <v>4318</v>
      </c>
      <c r="L1142" s="26" t="s">
        <v>5490</v>
      </c>
      <c r="M1142" s="50" t="s">
        <v>5491</v>
      </c>
      <c r="N1142" s="51" t="s">
        <v>53</v>
      </c>
      <c r="O1142" s="26" t="s">
        <v>728</v>
      </c>
      <c r="P1142" s="26">
        <v>90185</v>
      </c>
      <c r="Q1142" s="26" t="s">
        <v>55</v>
      </c>
    </row>
    <row r="1143" spans="1:17" x14ac:dyDescent="0.3">
      <c r="A1143" s="26" t="s">
        <v>5492</v>
      </c>
      <c r="B1143" s="26" t="s">
        <v>5493</v>
      </c>
      <c r="C1143" s="26" t="s">
        <v>4309</v>
      </c>
      <c r="D1143" s="26" t="s">
        <v>5195</v>
      </c>
      <c r="E1143" s="26" t="s">
        <v>761</v>
      </c>
      <c r="F1143" s="26" t="s">
        <v>3688</v>
      </c>
      <c r="G1143" s="26" t="s">
        <v>5462</v>
      </c>
      <c r="H1143" s="26" t="s">
        <v>39</v>
      </c>
      <c r="I1143" s="26" t="s">
        <v>1190</v>
      </c>
      <c r="J1143" s="11" t="str">
        <f>VLOOKUP(K1143,'PN Dictionary'!A:B,2,FALSE)</f>
        <v>GB300 L10</v>
      </c>
      <c r="K1143" s="26" t="s">
        <v>4318</v>
      </c>
      <c r="L1143" s="26" t="s">
        <v>5494</v>
      </c>
      <c r="M1143" s="50" t="s">
        <v>5495</v>
      </c>
      <c r="N1143" s="51" t="s">
        <v>53</v>
      </c>
      <c r="O1143" s="26" t="s">
        <v>728</v>
      </c>
      <c r="P1143" s="26">
        <v>90160</v>
      </c>
      <c r="Q1143" s="26" t="s">
        <v>55</v>
      </c>
    </row>
    <row r="1144" spans="1:17" x14ac:dyDescent="0.3">
      <c r="A1144" s="26" t="s">
        <v>5496</v>
      </c>
      <c r="B1144" s="26" t="s">
        <v>5497</v>
      </c>
      <c r="C1144" s="26" t="s">
        <v>4309</v>
      </c>
      <c r="D1144" s="26" t="s">
        <v>5411</v>
      </c>
      <c r="E1144" s="26" t="s">
        <v>761</v>
      </c>
      <c r="F1144" s="26" t="s">
        <v>3688</v>
      </c>
      <c r="G1144" s="26" t="s">
        <v>5462</v>
      </c>
      <c r="H1144" s="26" t="s">
        <v>39</v>
      </c>
      <c r="I1144" s="26" t="s">
        <v>1190</v>
      </c>
      <c r="J1144" s="11" t="str">
        <f>VLOOKUP(K1144,'PN Dictionary'!A:B,2,FALSE)</f>
        <v>GB300 L10</v>
      </c>
      <c r="K1144" s="26" t="s">
        <v>4318</v>
      </c>
      <c r="L1144" s="26" t="s">
        <v>5139</v>
      </c>
      <c r="M1144" s="50" t="s">
        <v>5498</v>
      </c>
      <c r="N1144" s="51" t="s">
        <v>53</v>
      </c>
      <c r="O1144" s="26" t="s">
        <v>728</v>
      </c>
      <c r="P1144" s="26">
        <v>90160</v>
      </c>
      <c r="Q1144" s="26" t="s">
        <v>55</v>
      </c>
    </row>
    <row r="1145" spans="1:17" x14ac:dyDescent="0.3">
      <c r="A1145" s="26" t="s">
        <v>5499</v>
      </c>
      <c r="B1145" s="26" t="s">
        <v>5500</v>
      </c>
      <c r="C1145" s="26" t="s">
        <v>4309</v>
      </c>
      <c r="D1145" s="26" t="s">
        <v>5195</v>
      </c>
      <c r="E1145" s="26" t="s">
        <v>761</v>
      </c>
      <c r="F1145" s="26" t="s">
        <v>3688</v>
      </c>
      <c r="G1145" s="26" t="s">
        <v>5462</v>
      </c>
      <c r="H1145" s="26" t="s">
        <v>39</v>
      </c>
      <c r="I1145" s="26" t="s">
        <v>1190</v>
      </c>
      <c r="J1145" s="11" t="str">
        <f>VLOOKUP(K1145,'PN Dictionary'!A:B,2,FALSE)</f>
        <v>GB300 L10</v>
      </c>
      <c r="K1145" s="26" t="s">
        <v>4318</v>
      </c>
      <c r="L1145" s="26" t="s">
        <v>5501</v>
      </c>
      <c r="M1145" s="50" t="s">
        <v>5494</v>
      </c>
      <c r="N1145" s="51" t="s">
        <v>53</v>
      </c>
      <c r="O1145" s="26" t="s">
        <v>728</v>
      </c>
      <c r="P1145" s="26">
        <v>90160</v>
      </c>
      <c r="Q1145" s="26" t="s">
        <v>55</v>
      </c>
    </row>
    <row r="1146" spans="1:17" x14ac:dyDescent="0.3">
      <c r="A1146" s="26" t="s">
        <v>5502</v>
      </c>
      <c r="B1146" s="26" t="s">
        <v>5503</v>
      </c>
      <c r="C1146" s="26" t="s">
        <v>4309</v>
      </c>
      <c r="D1146" s="26" t="s">
        <v>5504</v>
      </c>
      <c r="E1146" s="26" t="s">
        <v>761</v>
      </c>
      <c r="F1146" s="26" t="s">
        <v>3688</v>
      </c>
      <c r="G1146" s="26" t="s">
        <v>5462</v>
      </c>
      <c r="H1146" s="26" t="s">
        <v>39</v>
      </c>
      <c r="I1146" s="26" t="s">
        <v>1190</v>
      </c>
      <c r="J1146" s="11" t="str">
        <f>VLOOKUP(K1146,'PN Dictionary'!A:B,2,FALSE)</f>
        <v>GB300 L10</v>
      </c>
      <c r="K1146" s="26" t="s">
        <v>4318</v>
      </c>
      <c r="L1146" s="26" t="s">
        <v>5505</v>
      </c>
      <c r="M1146" s="50" t="s">
        <v>5506</v>
      </c>
      <c r="N1146" s="51" t="s">
        <v>53</v>
      </c>
      <c r="O1146" s="26" t="s">
        <v>728</v>
      </c>
      <c r="P1146" s="26">
        <v>90160</v>
      </c>
      <c r="Q1146" s="26" t="s">
        <v>55</v>
      </c>
    </row>
    <row r="1147" spans="1:17" x14ac:dyDescent="0.3">
      <c r="A1147" s="26" t="s">
        <v>5507</v>
      </c>
      <c r="B1147" s="26" t="s">
        <v>5508</v>
      </c>
      <c r="C1147" s="26" t="s">
        <v>4309</v>
      </c>
      <c r="D1147" s="26" t="s">
        <v>5424</v>
      </c>
      <c r="E1147" s="26" t="s">
        <v>761</v>
      </c>
      <c r="F1147" s="26" t="s">
        <v>3688</v>
      </c>
      <c r="G1147" s="26" t="s">
        <v>5462</v>
      </c>
      <c r="H1147" s="26" t="s">
        <v>39</v>
      </c>
      <c r="I1147" s="26" t="s">
        <v>1190</v>
      </c>
      <c r="J1147" s="11" t="str">
        <f>VLOOKUP(K1147,'PN Dictionary'!A:B,2,FALSE)</f>
        <v>GB300 L10</v>
      </c>
      <c r="K1147" s="26" t="s">
        <v>4318</v>
      </c>
      <c r="L1147" s="26" t="s">
        <v>5509</v>
      </c>
      <c r="M1147" s="50" t="s">
        <v>5510</v>
      </c>
      <c r="N1147" s="51" t="s">
        <v>53</v>
      </c>
      <c r="O1147" s="26" t="s">
        <v>728</v>
      </c>
      <c r="P1147" s="26">
        <v>90160</v>
      </c>
      <c r="Q1147" s="26" t="s">
        <v>55</v>
      </c>
    </row>
    <row r="1148" spans="1:17" hidden="1" x14ac:dyDescent="0.3">
      <c r="A1148" s="26" t="s">
        <v>5636</v>
      </c>
      <c r="B1148" s="26" t="s">
        <v>5637</v>
      </c>
      <c r="C1148" s="26" t="s">
        <v>5643</v>
      </c>
      <c r="D1148" s="26" t="s">
        <v>5639</v>
      </c>
      <c r="E1148" s="26" t="s">
        <v>761</v>
      </c>
      <c r="F1148" s="26" t="s">
        <v>3688</v>
      </c>
      <c r="G1148" s="26" t="s">
        <v>5462</v>
      </c>
      <c r="H1148" s="26" t="s">
        <v>39</v>
      </c>
      <c r="I1148" s="26" t="s">
        <v>1190</v>
      </c>
      <c r="J1148" s="11" t="str">
        <f>VLOOKUP(K1148,'PN Dictionary'!A:B,2,FALSE)</f>
        <v>GB300 L10</v>
      </c>
      <c r="K1148" s="26" t="s">
        <v>5640</v>
      </c>
      <c r="L1148" s="26" t="s">
        <v>5641</v>
      </c>
      <c r="M1148" s="50" t="s">
        <v>5642</v>
      </c>
      <c r="N1148" s="51" t="s">
        <v>53</v>
      </c>
      <c r="O1148" s="26" t="s">
        <v>728</v>
      </c>
      <c r="P1148" s="26">
        <v>90160</v>
      </c>
      <c r="Q1148" s="26" t="s">
        <v>55</v>
      </c>
    </row>
    <row r="1149" spans="1:17" x14ac:dyDescent="0.3">
      <c r="A1149" s="26" t="s">
        <v>5511</v>
      </c>
      <c r="B1149" s="26" t="s">
        <v>5512</v>
      </c>
      <c r="C1149" s="26" t="s">
        <v>4309</v>
      </c>
      <c r="D1149" s="26" t="s">
        <v>5513</v>
      </c>
      <c r="E1149" s="26" t="s">
        <v>242</v>
      </c>
      <c r="F1149" s="26" t="s">
        <v>604</v>
      </c>
      <c r="G1149" s="26" t="s">
        <v>5462</v>
      </c>
      <c r="H1149" s="26" t="s">
        <v>39</v>
      </c>
      <c r="I1149" s="26" t="s">
        <v>5514</v>
      </c>
      <c r="J1149" s="11" t="str">
        <f>VLOOKUP(K1149,'PN Dictionary'!A:B,2,FALSE)</f>
        <v xml:space="preserve">	5.5kW PSU GB300</v>
      </c>
      <c r="K1149" s="26" t="s">
        <v>5266</v>
      </c>
      <c r="L1149" s="26" t="s">
        <v>5515</v>
      </c>
      <c r="M1149" s="50" t="s">
        <v>5516</v>
      </c>
      <c r="N1149" s="51" t="s">
        <v>53</v>
      </c>
      <c r="O1149" s="26" t="s">
        <v>728</v>
      </c>
      <c r="P1149" s="26">
        <v>90185</v>
      </c>
      <c r="Q1149" s="26" t="s">
        <v>55</v>
      </c>
    </row>
    <row r="1150" spans="1:17" x14ac:dyDescent="0.3">
      <c r="A1150" s="26" t="s">
        <v>5517</v>
      </c>
      <c r="B1150" s="26" t="s">
        <v>5518</v>
      </c>
      <c r="C1150" s="26" t="s">
        <v>4309</v>
      </c>
      <c r="D1150" s="26" t="s">
        <v>5461</v>
      </c>
      <c r="E1150" s="26" t="s">
        <v>128</v>
      </c>
      <c r="F1150" s="26" t="s">
        <v>205</v>
      </c>
      <c r="G1150" s="26" t="s">
        <v>5462</v>
      </c>
      <c r="H1150" s="26" t="s">
        <v>39</v>
      </c>
      <c r="I1150" s="26" t="s">
        <v>5519</v>
      </c>
      <c r="J1150" s="11" t="str">
        <f>VLOOKUP(K1150,'PN Dictionary'!A:B,2,FALSE)</f>
        <v>Cable Cartridge</v>
      </c>
      <c r="K1150" s="26" t="s">
        <v>6</v>
      </c>
      <c r="L1150" s="26">
        <v>1823425350816</v>
      </c>
      <c r="M1150" s="50">
        <v>2020826491505</v>
      </c>
      <c r="N1150" s="51" t="s">
        <v>53</v>
      </c>
      <c r="O1150" s="26" t="s">
        <v>728</v>
      </c>
      <c r="P1150" s="26">
        <v>90160</v>
      </c>
      <c r="Q1150" s="26" t="s">
        <v>55</v>
      </c>
    </row>
    <row r="1151" spans="1:17" x14ac:dyDescent="0.3">
      <c r="A1151" s="26" t="s">
        <v>5520</v>
      </c>
      <c r="B1151" s="26" t="s">
        <v>5521</v>
      </c>
      <c r="C1151" s="26" t="s">
        <v>4309</v>
      </c>
      <c r="D1151" s="26" t="s">
        <v>5504</v>
      </c>
      <c r="E1151" s="26" t="s">
        <v>5522</v>
      </c>
      <c r="F1151" s="26" t="s">
        <v>5523</v>
      </c>
      <c r="G1151" s="26" t="s">
        <v>5462</v>
      </c>
      <c r="H1151" s="26" t="s">
        <v>39</v>
      </c>
      <c r="I1151" s="26" t="s">
        <v>5524</v>
      </c>
      <c r="J1151" s="11" t="str">
        <f>VLOOKUP(K1151,'PN Dictionary'!A:B,2,FALSE)</f>
        <v>GB300 L10</v>
      </c>
      <c r="K1151" s="26" t="s">
        <v>4318</v>
      </c>
      <c r="L1151" s="26" t="s">
        <v>5506</v>
      </c>
      <c r="M1151" s="50" t="s">
        <v>5525</v>
      </c>
      <c r="N1151" s="51" t="s">
        <v>53</v>
      </c>
      <c r="O1151" s="26" t="s">
        <v>728</v>
      </c>
      <c r="P1151" s="26">
        <v>90160</v>
      </c>
      <c r="Q1151" s="26" t="s">
        <v>55</v>
      </c>
    </row>
    <row r="1152" spans="1:17" x14ac:dyDescent="0.3">
      <c r="A1152" s="26" t="s">
        <v>5526</v>
      </c>
      <c r="B1152" s="26" t="s">
        <v>5527</v>
      </c>
      <c r="C1152" s="26" t="s">
        <v>4309</v>
      </c>
      <c r="D1152" s="26" t="s">
        <v>5504</v>
      </c>
      <c r="E1152" s="26" t="s">
        <v>761</v>
      </c>
      <c r="F1152" s="26" t="s">
        <v>3688</v>
      </c>
      <c r="G1152" s="26" t="s">
        <v>5528</v>
      </c>
      <c r="H1152" s="26" t="s">
        <v>39</v>
      </c>
      <c r="I1152" s="26" t="s">
        <v>1190</v>
      </c>
      <c r="J1152" s="11" t="str">
        <f>VLOOKUP(K1152,'PN Dictionary'!A:B,2,FALSE)</f>
        <v>GB300 L10</v>
      </c>
      <c r="K1152" s="26" t="s">
        <v>4318</v>
      </c>
      <c r="L1152" s="26" t="s">
        <v>5559</v>
      </c>
      <c r="M1152" s="50" t="s">
        <v>5525</v>
      </c>
      <c r="N1152" s="51" t="s">
        <v>53</v>
      </c>
      <c r="O1152" s="26" t="s">
        <v>728</v>
      </c>
      <c r="P1152" s="26">
        <v>90160</v>
      </c>
      <c r="Q1152" s="26" t="s">
        <v>55</v>
      </c>
    </row>
    <row r="1153" spans="1:17" x14ac:dyDescent="0.3">
      <c r="A1153" s="26" t="s">
        <v>5529</v>
      </c>
      <c r="B1153" s="26" t="s">
        <v>5530</v>
      </c>
      <c r="C1153" s="26" t="s">
        <v>4309</v>
      </c>
      <c r="D1153" s="26" t="s">
        <v>5504</v>
      </c>
      <c r="E1153" s="26" t="s">
        <v>4644</v>
      </c>
      <c r="F1153" s="26" t="s">
        <v>4645</v>
      </c>
      <c r="G1153" s="26" t="s">
        <v>5528</v>
      </c>
      <c r="H1153" s="26" t="s">
        <v>39</v>
      </c>
      <c r="I1153" s="26" t="s">
        <v>4647</v>
      </c>
      <c r="J1153" s="11" t="str">
        <f>VLOOKUP(K1153,'PN Dictionary'!A:B,2,FALSE)</f>
        <v>GB300 L10</v>
      </c>
      <c r="K1153" s="26" t="s">
        <v>4318</v>
      </c>
      <c r="L1153" s="26" t="s">
        <v>5531</v>
      </c>
      <c r="M1153" s="50" t="s">
        <v>5532</v>
      </c>
      <c r="N1153" s="51" t="s">
        <v>53</v>
      </c>
      <c r="O1153" s="26" t="s">
        <v>728</v>
      </c>
      <c r="P1153" s="26">
        <v>90160</v>
      </c>
      <c r="Q1153" s="26" t="s">
        <v>55</v>
      </c>
    </row>
    <row r="1154" spans="1:17" x14ac:dyDescent="0.3">
      <c r="A1154" s="26" t="s">
        <v>5533</v>
      </c>
      <c r="B1154" s="26" t="s">
        <v>5534</v>
      </c>
      <c r="C1154" s="26" t="s">
        <v>4309</v>
      </c>
      <c r="D1154" s="26" t="s">
        <v>5535</v>
      </c>
      <c r="E1154" s="26" t="s">
        <v>3881</v>
      </c>
      <c r="F1154" s="26" t="s">
        <v>3882</v>
      </c>
      <c r="G1154" s="26" t="s">
        <v>5528</v>
      </c>
      <c r="H1154" s="26" t="s">
        <v>39</v>
      </c>
      <c r="I1154" s="26" t="s">
        <v>1225</v>
      </c>
      <c r="J1154" s="11" t="str">
        <f>VLOOKUP(K1154,'PN Dictionary'!A:B,2,FALSE)</f>
        <v>GB300 L10</v>
      </c>
      <c r="K1154" s="26" t="s">
        <v>4318</v>
      </c>
      <c r="L1154" s="26" t="s">
        <v>5536</v>
      </c>
      <c r="M1154" s="50" t="s">
        <v>5537</v>
      </c>
      <c r="N1154" s="51" t="s">
        <v>53</v>
      </c>
      <c r="O1154" s="26" t="s">
        <v>728</v>
      </c>
      <c r="P1154" s="26">
        <v>90160</v>
      </c>
      <c r="Q1154" s="26" t="s">
        <v>55</v>
      </c>
    </row>
    <row r="1155" spans="1:17" x14ac:dyDescent="0.3">
      <c r="A1155" s="26" t="s">
        <v>5538</v>
      </c>
      <c r="B1155" s="26" t="s">
        <v>5539</v>
      </c>
      <c r="C1155" s="26" t="s">
        <v>4309</v>
      </c>
      <c r="D1155" s="26" t="s">
        <v>5195</v>
      </c>
      <c r="E1155" s="26" t="s">
        <v>411</v>
      </c>
      <c r="F1155" s="26" t="s">
        <v>597</v>
      </c>
      <c r="G1155" s="26" t="s">
        <v>5528</v>
      </c>
      <c r="H1155" s="26" t="s">
        <v>39</v>
      </c>
      <c r="I1155" s="26" t="s">
        <v>5540</v>
      </c>
      <c r="J1155" s="11" t="str">
        <f>VLOOKUP(K1155,'PN Dictionary'!A:B,2,FALSE)</f>
        <v>NVSwitch</v>
      </c>
      <c r="K1155" s="26" t="s">
        <v>7</v>
      </c>
      <c r="L1155" s="26" t="s">
        <v>5541</v>
      </c>
      <c r="M1155" s="50" t="s">
        <v>5542</v>
      </c>
      <c r="N1155" s="51" t="s">
        <v>53</v>
      </c>
      <c r="O1155" s="26" t="s">
        <v>728</v>
      </c>
      <c r="P1155" s="26">
        <v>90160</v>
      </c>
      <c r="Q1155" s="26" t="s">
        <v>55</v>
      </c>
    </row>
    <row r="1156" spans="1:17" x14ac:dyDescent="0.3">
      <c r="A1156" s="26" t="s">
        <v>5543</v>
      </c>
      <c r="B1156" s="26" t="s">
        <v>5544</v>
      </c>
      <c r="C1156" s="26" t="s">
        <v>4309</v>
      </c>
      <c r="D1156" s="26" t="s">
        <v>5545</v>
      </c>
      <c r="E1156" s="26" t="s">
        <v>380</v>
      </c>
      <c r="F1156" s="26" t="s">
        <v>620</v>
      </c>
      <c r="G1156" s="26" t="s">
        <v>5528</v>
      </c>
      <c r="H1156" s="26" t="s">
        <v>39</v>
      </c>
      <c r="I1156" s="26" t="s">
        <v>5546</v>
      </c>
      <c r="J1156" s="11" t="str">
        <f>VLOOKUP(K1156,'PN Dictionary'!A:B,2,FALSE)</f>
        <v>NVSwitch</v>
      </c>
      <c r="K1156" s="26" t="s">
        <v>7</v>
      </c>
      <c r="L1156" s="26" t="s">
        <v>5547</v>
      </c>
      <c r="M1156" s="50" t="s">
        <v>5548</v>
      </c>
      <c r="N1156" s="51" t="s">
        <v>53</v>
      </c>
      <c r="O1156" s="26" t="s">
        <v>728</v>
      </c>
      <c r="P1156" s="26">
        <v>4369</v>
      </c>
      <c r="Q1156" s="26" t="s">
        <v>55</v>
      </c>
    </row>
    <row r="1157" spans="1:17" x14ac:dyDescent="0.3">
      <c r="A1157" s="26" t="s">
        <v>5549</v>
      </c>
      <c r="B1157" s="26" t="s">
        <v>5550</v>
      </c>
      <c r="C1157" s="26" t="s">
        <v>4309</v>
      </c>
      <c r="D1157" s="26" t="s">
        <v>5513</v>
      </c>
      <c r="E1157" s="26" t="s">
        <v>5551</v>
      </c>
      <c r="F1157" s="26" t="s">
        <v>5552</v>
      </c>
      <c r="G1157" s="26" t="s">
        <v>5528</v>
      </c>
      <c r="H1157" s="26" t="s">
        <v>39</v>
      </c>
      <c r="I1157" s="26" t="s">
        <v>5553</v>
      </c>
      <c r="J1157" s="11" t="str">
        <f>VLOOKUP(K1157,'PN Dictionary'!A:B,2,FALSE)</f>
        <v>GB300 L10</v>
      </c>
      <c r="K1157" s="26" t="s">
        <v>4318</v>
      </c>
      <c r="L1157" s="26" t="s">
        <v>5554</v>
      </c>
      <c r="M1157" s="50" t="s">
        <v>5090</v>
      </c>
      <c r="N1157" s="51" t="s">
        <v>53</v>
      </c>
      <c r="O1157" s="26" t="s">
        <v>728</v>
      </c>
      <c r="P1157" s="26">
        <v>1237</v>
      </c>
      <c r="Q1157" s="26" t="s">
        <v>55</v>
      </c>
    </row>
    <row r="1158" spans="1:17" x14ac:dyDescent="0.3">
      <c r="A1158" s="26" t="s">
        <v>5555</v>
      </c>
      <c r="B1158" s="26" t="s">
        <v>5556</v>
      </c>
      <c r="C1158" s="26" t="s">
        <v>4309</v>
      </c>
      <c r="D1158" s="26" t="s">
        <v>5513</v>
      </c>
      <c r="E1158" s="26" t="s">
        <v>230</v>
      </c>
      <c r="F1158" s="26" t="s">
        <v>238</v>
      </c>
      <c r="G1158" s="26" t="s">
        <v>5528</v>
      </c>
      <c r="H1158" s="26" t="s">
        <v>39</v>
      </c>
      <c r="I1158" s="26" t="s">
        <v>5557</v>
      </c>
      <c r="J1158" s="11" t="str">
        <f>VLOOKUP(K1158,'PN Dictionary'!A:B,2,FALSE)</f>
        <v>NVSwitch</v>
      </c>
      <c r="K1158" s="26" t="s">
        <v>7</v>
      </c>
      <c r="L1158" s="26" t="s">
        <v>5558</v>
      </c>
      <c r="M1158" s="50" t="s">
        <v>5158</v>
      </c>
      <c r="N1158" s="51" t="s">
        <v>53</v>
      </c>
      <c r="O1158" s="26" t="s">
        <v>728</v>
      </c>
      <c r="P1158" s="26">
        <v>90185</v>
      </c>
      <c r="Q1158" s="26" t="s">
        <v>55</v>
      </c>
    </row>
    <row r="1159" spans="1:17" x14ac:dyDescent="0.3">
      <c r="A1159" s="26" t="s">
        <v>5560</v>
      </c>
      <c r="B1159" s="26" t="s">
        <v>5561</v>
      </c>
      <c r="C1159" s="26" t="s">
        <v>4309</v>
      </c>
      <c r="D1159" s="26" t="s">
        <v>5562</v>
      </c>
      <c r="E1159" s="26" t="s">
        <v>761</v>
      </c>
      <c r="F1159" s="26" t="s">
        <v>3688</v>
      </c>
      <c r="G1159" s="26" t="s">
        <v>5528</v>
      </c>
      <c r="H1159" s="26" t="s">
        <v>39</v>
      </c>
      <c r="I1159" s="26" t="s">
        <v>1163</v>
      </c>
      <c r="J1159" s="11" t="str">
        <f>VLOOKUP(K1159,'PN Dictionary'!A:B,2,FALSE)</f>
        <v>GB300 L10</v>
      </c>
      <c r="K1159" s="26" t="s">
        <v>4318</v>
      </c>
      <c r="L1159" s="26" t="s">
        <v>5563</v>
      </c>
      <c r="M1159" s="50" t="s">
        <v>5564</v>
      </c>
      <c r="N1159" s="51" t="s">
        <v>53</v>
      </c>
      <c r="O1159" s="26" t="s">
        <v>728</v>
      </c>
      <c r="P1159" s="26">
        <v>90160</v>
      </c>
      <c r="Q1159" s="26" t="s">
        <v>55</v>
      </c>
    </row>
    <row r="1160" spans="1:17" x14ac:dyDescent="0.3">
      <c r="A1160" s="26" t="s">
        <v>5565</v>
      </c>
      <c r="B1160" s="26" t="s">
        <v>5566</v>
      </c>
      <c r="C1160" s="26" t="s">
        <v>4309</v>
      </c>
      <c r="D1160" s="26" t="s">
        <v>5562</v>
      </c>
      <c r="E1160" s="26" t="s">
        <v>761</v>
      </c>
      <c r="F1160" s="26" t="s">
        <v>3688</v>
      </c>
      <c r="G1160" s="26" t="s">
        <v>5528</v>
      </c>
      <c r="H1160" s="26" t="s">
        <v>39</v>
      </c>
      <c r="I1160" s="26" t="s">
        <v>1163</v>
      </c>
      <c r="J1160" s="11" t="str">
        <f>VLOOKUP(K1160,'PN Dictionary'!A:B,2,FALSE)</f>
        <v>GB300 L10</v>
      </c>
      <c r="K1160" s="26" t="s">
        <v>4318</v>
      </c>
      <c r="L1160" s="26" t="s">
        <v>5567</v>
      </c>
      <c r="M1160" s="50" t="s">
        <v>5568</v>
      </c>
      <c r="N1160" s="51" t="s">
        <v>53</v>
      </c>
      <c r="O1160" s="26" t="s">
        <v>728</v>
      </c>
      <c r="P1160" s="26">
        <v>90160</v>
      </c>
      <c r="Q1160" s="26" t="s">
        <v>55</v>
      </c>
    </row>
    <row r="1161" spans="1:17" x14ac:dyDescent="0.3">
      <c r="A1161" s="26" t="s">
        <v>5569</v>
      </c>
      <c r="B1161" s="26" t="s">
        <v>5570</v>
      </c>
      <c r="C1161" s="26" t="s">
        <v>4309</v>
      </c>
      <c r="D1161" s="26" t="s">
        <v>5562</v>
      </c>
      <c r="E1161" s="26" t="s">
        <v>761</v>
      </c>
      <c r="F1161" s="26" t="s">
        <v>3688</v>
      </c>
      <c r="G1161" s="26" t="s">
        <v>5528</v>
      </c>
      <c r="H1161" s="26" t="s">
        <v>39</v>
      </c>
      <c r="I1161" s="26" t="s">
        <v>1163</v>
      </c>
      <c r="J1161" s="11" t="str">
        <f>VLOOKUP(K1161,'PN Dictionary'!A:B,2,FALSE)</f>
        <v>GB300 L10</v>
      </c>
      <c r="K1161" s="26" t="s">
        <v>4318</v>
      </c>
      <c r="L1161" s="26" t="s">
        <v>5571</v>
      </c>
      <c r="M1161" s="50" t="s">
        <v>5572</v>
      </c>
      <c r="N1161" s="51" t="s">
        <v>53</v>
      </c>
      <c r="O1161" s="26" t="s">
        <v>728</v>
      </c>
      <c r="P1161" s="26">
        <v>90160</v>
      </c>
      <c r="Q1161" s="26" t="s">
        <v>55</v>
      </c>
    </row>
    <row r="1162" spans="1:17" x14ac:dyDescent="0.3">
      <c r="A1162" s="26" t="s">
        <v>5573</v>
      </c>
      <c r="B1162" s="26" t="s">
        <v>5574</v>
      </c>
      <c r="C1162" s="26" t="s">
        <v>4309</v>
      </c>
      <c r="D1162" s="26" t="s">
        <v>5575</v>
      </c>
      <c r="E1162" s="26" t="s">
        <v>761</v>
      </c>
      <c r="F1162" s="26" t="s">
        <v>3688</v>
      </c>
      <c r="G1162" s="26" t="s">
        <v>5528</v>
      </c>
      <c r="H1162" s="26" t="s">
        <v>39</v>
      </c>
      <c r="I1162" s="26" t="s">
        <v>1163</v>
      </c>
      <c r="J1162" s="11" t="str">
        <f>VLOOKUP(K1162,'PN Dictionary'!A:B,2,FALSE)</f>
        <v>GB300 L10</v>
      </c>
      <c r="K1162" s="26" t="s">
        <v>4318</v>
      </c>
      <c r="L1162" s="26" t="s">
        <v>5134</v>
      </c>
      <c r="M1162" s="50" t="s">
        <v>5576</v>
      </c>
      <c r="N1162" s="51" t="s">
        <v>53</v>
      </c>
      <c r="O1162" s="26" t="s">
        <v>728</v>
      </c>
      <c r="P1162" s="26">
        <v>90160</v>
      </c>
      <c r="Q1162" s="26" t="s">
        <v>55</v>
      </c>
    </row>
    <row r="1163" spans="1:17" x14ac:dyDescent="0.3">
      <c r="A1163" s="26" t="s">
        <v>5577</v>
      </c>
      <c r="B1163" s="26" t="s">
        <v>5578</v>
      </c>
      <c r="C1163" s="26" t="s">
        <v>4309</v>
      </c>
      <c r="D1163" s="26" t="s">
        <v>5579</v>
      </c>
      <c r="E1163" s="26" t="s">
        <v>761</v>
      </c>
      <c r="F1163" s="26" t="s">
        <v>3688</v>
      </c>
      <c r="G1163" s="26" t="s">
        <v>5528</v>
      </c>
      <c r="H1163" s="26" t="s">
        <v>39</v>
      </c>
      <c r="I1163" s="26" t="s">
        <v>1163</v>
      </c>
      <c r="J1163" s="11" t="str">
        <f>VLOOKUP(K1163,'PN Dictionary'!A:B,2,FALSE)</f>
        <v>GB300 L10</v>
      </c>
      <c r="K1163" s="26" t="s">
        <v>4318</v>
      </c>
      <c r="L1163" s="26" t="s">
        <v>4720</v>
      </c>
      <c r="M1163" s="50" t="s">
        <v>5580</v>
      </c>
      <c r="N1163" s="51" t="s">
        <v>53</v>
      </c>
      <c r="O1163" s="26" t="s">
        <v>728</v>
      </c>
      <c r="P1163" s="26">
        <v>90160</v>
      </c>
      <c r="Q1163" s="26" t="s">
        <v>55</v>
      </c>
    </row>
    <row r="1164" spans="1:17" x14ac:dyDescent="0.3">
      <c r="A1164" s="26" t="s">
        <v>5581</v>
      </c>
      <c r="B1164" s="26" t="s">
        <v>5582</v>
      </c>
      <c r="C1164" s="26" t="s">
        <v>4309</v>
      </c>
      <c r="D1164" s="26" t="s">
        <v>5535</v>
      </c>
      <c r="E1164" s="26" t="s">
        <v>761</v>
      </c>
      <c r="F1164" s="26" t="s">
        <v>3688</v>
      </c>
      <c r="G1164" s="26" t="s">
        <v>5528</v>
      </c>
      <c r="H1164" s="26" t="s">
        <v>39</v>
      </c>
      <c r="I1164" s="26" t="s">
        <v>1163</v>
      </c>
      <c r="J1164" s="11" t="str">
        <f>VLOOKUP(K1164,'PN Dictionary'!A:B,2,FALSE)</f>
        <v>GB300 L10</v>
      </c>
      <c r="K1164" s="26" t="s">
        <v>4318</v>
      </c>
      <c r="L1164" s="26" t="s">
        <v>4800</v>
      </c>
      <c r="M1164" s="50" t="s">
        <v>5583</v>
      </c>
      <c r="N1164" s="51" t="s">
        <v>53</v>
      </c>
      <c r="O1164" s="26" t="s">
        <v>728</v>
      </c>
      <c r="P1164" s="26">
        <v>90160</v>
      </c>
      <c r="Q1164" s="26" t="s">
        <v>55</v>
      </c>
    </row>
    <row r="1165" spans="1:17" x14ac:dyDescent="0.3">
      <c r="A1165" s="26" t="s">
        <v>5584</v>
      </c>
      <c r="B1165" s="26" t="s">
        <v>5585</v>
      </c>
      <c r="C1165" s="26" t="s">
        <v>4309</v>
      </c>
      <c r="D1165" s="26" t="s">
        <v>5586</v>
      </c>
      <c r="E1165" s="26" t="s">
        <v>761</v>
      </c>
      <c r="F1165" s="26" t="s">
        <v>3688</v>
      </c>
      <c r="G1165" s="26" t="s">
        <v>5528</v>
      </c>
      <c r="H1165" s="26" t="s">
        <v>39</v>
      </c>
      <c r="I1165" s="26" t="s">
        <v>1163</v>
      </c>
      <c r="J1165" s="11" t="str">
        <f>VLOOKUP(K1165,'PN Dictionary'!A:B,2,FALSE)</f>
        <v>GB300 L10</v>
      </c>
      <c r="K1165" s="26" t="s">
        <v>4318</v>
      </c>
      <c r="L1165" s="26" t="s">
        <v>5587</v>
      </c>
      <c r="M1165" s="50" t="s">
        <v>5310</v>
      </c>
      <c r="N1165" s="51" t="s">
        <v>53</v>
      </c>
      <c r="O1165" s="26" t="s">
        <v>728</v>
      </c>
      <c r="P1165" s="26">
        <v>90160</v>
      </c>
      <c r="Q1165" s="26" t="s">
        <v>55</v>
      </c>
    </row>
    <row r="1166" spans="1:17" x14ac:dyDescent="0.3">
      <c r="A1166" s="26" t="s">
        <v>5588</v>
      </c>
      <c r="B1166" s="26" t="s">
        <v>5589</v>
      </c>
      <c r="C1166" s="26" t="s">
        <v>4309</v>
      </c>
      <c r="D1166" s="26" t="s">
        <v>5579</v>
      </c>
      <c r="E1166" s="26" t="s">
        <v>761</v>
      </c>
      <c r="F1166" s="26" t="s">
        <v>3688</v>
      </c>
      <c r="G1166" s="26" t="s">
        <v>5528</v>
      </c>
      <c r="H1166" s="26" t="s">
        <v>39</v>
      </c>
      <c r="I1166" s="26" t="s">
        <v>1190</v>
      </c>
      <c r="J1166" s="11" t="str">
        <f>VLOOKUP(K1166,'PN Dictionary'!A:B,2,FALSE)</f>
        <v>GB300 L10</v>
      </c>
      <c r="K1166" s="26" t="s">
        <v>4318</v>
      </c>
      <c r="L1166" s="26" t="s">
        <v>5580</v>
      </c>
      <c r="M1166" s="50" t="s">
        <v>5590</v>
      </c>
      <c r="N1166" s="51" t="s">
        <v>53</v>
      </c>
      <c r="O1166" s="26" t="s">
        <v>728</v>
      </c>
      <c r="P1166" s="26">
        <v>90066</v>
      </c>
      <c r="Q1166" s="26" t="s">
        <v>55</v>
      </c>
    </row>
    <row r="1167" spans="1:17" x14ac:dyDescent="0.3">
      <c r="A1167" s="26" t="s">
        <v>5591</v>
      </c>
      <c r="B1167" s="26" t="s">
        <v>5592</v>
      </c>
      <c r="C1167" s="26" t="s">
        <v>4309</v>
      </c>
      <c r="D1167" s="26" t="s">
        <v>5562</v>
      </c>
      <c r="E1167" s="26" t="s">
        <v>761</v>
      </c>
      <c r="F1167" s="26" t="s">
        <v>3688</v>
      </c>
      <c r="G1167" s="26" t="s">
        <v>5528</v>
      </c>
      <c r="H1167" s="26" t="s">
        <v>39</v>
      </c>
      <c r="I1167" s="26" t="s">
        <v>1163</v>
      </c>
      <c r="J1167" s="11" t="str">
        <f>VLOOKUP(K1167,'PN Dictionary'!A:B,2,FALSE)</f>
        <v>GB300 L10</v>
      </c>
      <c r="K1167" s="26" t="s">
        <v>4318</v>
      </c>
      <c r="L1167" s="26" t="s">
        <v>5568</v>
      </c>
      <c r="M1167" s="50" t="s">
        <v>5564</v>
      </c>
      <c r="N1167" s="51" t="s">
        <v>53</v>
      </c>
      <c r="O1167" s="26" t="s">
        <v>728</v>
      </c>
      <c r="P1167" s="26">
        <v>90160</v>
      </c>
      <c r="Q1167" s="26" t="s">
        <v>55</v>
      </c>
    </row>
    <row r="1168" spans="1:17" x14ac:dyDescent="0.3">
      <c r="A1168" s="26" t="s">
        <v>5593</v>
      </c>
      <c r="B1168" s="26" t="s">
        <v>5594</v>
      </c>
      <c r="C1168" s="26" t="s">
        <v>4309</v>
      </c>
      <c r="D1168" s="26" t="s">
        <v>5562</v>
      </c>
      <c r="E1168" s="26" t="s">
        <v>128</v>
      </c>
      <c r="F1168" s="26" t="s">
        <v>205</v>
      </c>
      <c r="G1168" s="26" t="s">
        <v>5528</v>
      </c>
      <c r="H1168" s="26" t="s">
        <v>39</v>
      </c>
      <c r="I1168" s="26" t="s">
        <v>2010</v>
      </c>
      <c r="J1168" s="11" t="str">
        <f>VLOOKUP(K1168,'PN Dictionary'!A:B,2,FALSE)</f>
        <v>Cable Cartridge</v>
      </c>
      <c r="K1168" s="26" t="s">
        <v>6</v>
      </c>
      <c r="L1168" s="26">
        <v>1820626355046</v>
      </c>
      <c r="M1168" s="50">
        <v>2021026490429</v>
      </c>
      <c r="N1168" s="51" t="s">
        <v>53</v>
      </c>
      <c r="O1168" s="26" t="s">
        <v>728</v>
      </c>
      <c r="P1168" s="26">
        <v>3908</v>
      </c>
      <c r="Q1168" s="26" t="s">
        <v>55</v>
      </c>
    </row>
    <row r="1169" spans="1:17" x14ac:dyDescent="0.3">
      <c r="A1169" s="26" t="s">
        <v>5595</v>
      </c>
      <c r="B1169" s="26" t="s">
        <v>5596</v>
      </c>
      <c r="C1169" s="26" t="s">
        <v>4309</v>
      </c>
      <c r="D1169" s="26" t="s">
        <v>5597</v>
      </c>
      <c r="E1169" s="26" t="s">
        <v>242</v>
      </c>
      <c r="F1169" s="26" t="s">
        <v>604</v>
      </c>
      <c r="G1169" s="26" t="s">
        <v>5598</v>
      </c>
      <c r="H1169" s="26" t="s">
        <v>39</v>
      </c>
      <c r="I1169" s="26" t="s">
        <v>5599</v>
      </c>
      <c r="J1169" s="11" t="str">
        <f>VLOOKUP(K1169,'PN Dictionary'!A:B,2,FALSE)</f>
        <v>Power shelf control module</v>
      </c>
      <c r="K1169" s="26" t="s">
        <v>4746</v>
      </c>
      <c r="L1169" s="26" t="s">
        <v>5600</v>
      </c>
      <c r="M1169" s="50" t="s">
        <v>5601</v>
      </c>
      <c r="N1169" s="51" t="s">
        <v>53</v>
      </c>
      <c r="O1169" s="26" t="s">
        <v>728</v>
      </c>
      <c r="P1169" s="26">
        <v>90185</v>
      </c>
      <c r="Q1169" s="26" t="s">
        <v>55</v>
      </c>
    </row>
    <row r="1170" spans="1:17" x14ac:dyDescent="0.3">
      <c r="A1170" s="26" t="s">
        <v>5602</v>
      </c>
      <c r="B1170" s="26" t="s">
        <v>5603</v>
      </c>
      <c r="C1170" s="26" t="s">
        <v>4309</v>
      </c>
      <c r="D1170" s="26" t="s">
        <v>5562</v>
      </c>
      <c r="E1170" s="26" t="s">
        <v>411</v>
      </c>
      <c r="F1170" s="26" t="s">
        <v>597</v>
      </c>
      <c r="G1170" s="26" t="s">
        <v>5598</v>
      </c>
      <c r="H1170" s="26" t="s">
        <v>39</v>
      </c>
      <c r="I1170" s="26" t="s">
        <v>3550</v>
      </c>
      <c r="J1170" s="11" t="str">
        <f>VLOOKUP(K1170,'PN Dictionary'!A:B,2,FALSE)</f>
        <v>NVSwitch</v>
      </c>
      <c r="K1170" s="26" t="s">
        <v>7</v>
      </c>
      <c r="L1170" s="26" t="s">
        <v>5604</v>
      </c>
      <c r="M1170" s="50" t="s">
        <v>5605</v>
      </c>
      <c r="N1170" s="51" t="s">
        <v>53</v>
      </c>
      <c r="O1170" s="26" t="s">
        <v>728</v>
      </c>
      <c r="P1170" s="26">
        <v>3908</v>
      </c>
      <c r="Q1170" s="26" t="s">
        <v>55</v>
      </c>
    </row>
    <row r="1171" spans="1:17" x14ac:dyDescent="0.3">
      <c r="A1171" s="26" t="s">
        <v>5606</v>
      </c>
      <c r="B1171" s="26" t="s">
        <v>5607</v>
      </c>
      <c r="C1171" s="26" t="s">
        <v>4309</v>
      </c>
      <c r="D1171" s="26" t="s">
        <v>5513</v>
      </c>
      <c r="E1171" s="26" t="s">
        <v>761</v>
      </c>
      <c r="F1171" s="26" t="s">
        <v>3688</v>
      </c>
      <c r="G1171" s="26" t="s">
        <v>5598</v>
      </c>
      <c r="H1171" s="26" t="s">
        <v>39</v>
      </c>
      <c r="I1171" s="26" t="s">
        <v>3688</v>
      </c>
      <c r="J1171" s="11" t="str">
        <f>VLOOKUP(K1171,'PN Dictionary'!A:B,2,FALSE)</f>
        <v>Power shelf control module</v>
      </c>
      <c r="K1171" s="26" t="s">
        <v>4746</v>
      </c>
      <c r="L1171" s="26" t="s">
        <v>5608</v>
      </c>
      <c r="M1171" s="50" t="s">
        <v>5609</v>
      </c>
      <c r="N1171" s="51" t="s">
        <v>53</v>
      </c>
      <c r="O1171" s="26" t="s">
        <v>728</v>
      </c>
      <c r="P1171" s="26">
        <v>924</v>
      </c>
      <c r="Q1171" s="26" t="s">
        <v>55</v>
      </c>
    </row>
    <row r="1172" spans="1:17" x14ac:dyDescent="0.3">
      <c r="A1172" s="26" t="s">
        <v>5610</v>
      </c>
      <c r="B1172" s="26" t="s">
        <v>5611</v>
      </c>
      <c r="C1172" s="26" t="s">
        <v>4309</v>
      </c>
      <c r="D1172" s="26" t="s">
        <v>5579</v>
      </c>
      <c r="E1172" s="26" t="s">
        <v>761</v>
      </c>
      <c r="F1172" s="26" t="s">
        <v>3688</v>
      </c>
      <c r="G1172" s="26" t="s">
        <v>5598</v>
      </c>
      <c r="H1172" s="26" t="s">
        <v>39</v>
      </c>
      <c r="I1172" s="26" t="s">
        <v>1190</v>
      </c>
      <c r="J1172" s="11" t="str">
        <f>VLOOKUP(K1172,'PN Dictionary'!A:B,2,FALSE)</f>
        <v>GB300 L10</v>
      </c>
      <c r="K1172" s="26" t="s">
        <v>4318</v>
      </c>
      <c r="L1172" s="26" t="s">
        <v>5612</v>
      </c>
      <c r="M1172" s="50" t="s">
        <v>5613</v>
      </c>
      <c r="N1172" s="51" t="s">
        <v>53</v>
      </c>
      <c r="O1172" s="26" t="s">
        <v>728</v>
      </c>
      <c r="P1172" s="26">
        <v>90160</v>
      </c>
      <c r="Q1172" s="26" t="s">
        <v>55</v>
      </c>
    </row>
    <row r="1173" spans="1:17" x14ac:dyDescent="0.3">
      <c r="A1173" s="26" t="s">
        <v>5614</v>
      </c>
      <c r="B1173" s="26" t="s">
        <v>5615</v>
      </c>
      <c r="C1173" s="26" t="s">
        <v>4309</v>
      </c>
      <c r="D1173" s="26" t="s">
        <v>5616</v>
      </c>
      <c r="E1173" s="26" t="s">
        <v>4094</v>
      </c>
      <c r="F1173" s="26" t="s">
        <v>4095</v>
      </c>
      <c r="G1173" s="26" t="s">
        <v>5598</v>
      </c>
      <c r="H1173" s="26" t="s">
        <v>39</v>
      </c>
      <c r="I1173" s="26" t="s">
        <v>5617</v>
      </c>
      <c r="J1173" s="11" t="str">
        <f>VLOOKUP(K1173,'PN Dictionary'!A:B,2,FALSE)</f>
        <v>GB300 L10</v>
      </c>
      <c r="K1173" s="26" t="s">
        <v>4318</v>
      </c>
      <c r="L1173" s="26" t="s">
        <v>5618</v>
      </c>
      <c r="M1173" s="50" t="s">
        <v>5619</v>
      </c>
      <c r="N1173" s="51" t="s">
        <v>53</v>
      </c>
      <c r="O1173" s="26" t="s">
        <v>728</v>
      </c>
      <c r="P1173" s="26">
        <v>90160</v>
      </c>
      <c r="Q1173" s="26" t="s">
        <v>55</v>
      </c>
    </row>
    <row r="1174" spans="1:17" x14ac:dyDescent="0.3">
      <c r="A1174" s="26" t="s">
        <v>5620</v>
      </c>
      <c r="B1174" s="26" t="s">
        <v>5621</v>
      </c>
      <c r="C1174" s="26" t="s">
        <v>4309</v>
      </c>
      <c r="D1174" s="26" t="s">
        <v>5616</v>
      </c>
      <c r="E1174" s="26" t="s">
        <v>4094</v>
      </c>
      <c r="F1174" s="26" t="s">
        <v>4095</v>
      </c>
      <c r="G1174" s="26" t="s">
        <v>5598</v>
      </c>
      <c r="H1174" s="26" t="s">
        <v>39</v>
      </c>
      <c r="I1174" s="26" t="s">
        <v>5622</v>
      </c>
      <c r="J1174" s="11" t="str">
        <f>VLOOKUP(K1174,'PN Dictionary'!A:B,2,FALSE)</f>
        <v>GB300 L10</v>
      </c>
      <c r="K1174" s="26" t="s">
        <v>4318</v>
      </c>
      <c r="L1174" s="26" t="s">
        <v>5623</v>
      </c>
      <c r="M1174" s="50" t="s">
        <v>5624</v>
      </c>
      <c r="N1174" s="51" t="s">
        <v>53</v>
      </c>
      <c r="O1174" s="26" t="s">
        <v>728</v>
      </c>
      <c r="P1174" s="26">
        <v>90160</v>
      </c>
      <c r="Q1174" s="26" t="s">
        <v>55</v>
      </c>
    </row>
    <row r="1175" spans="1:17" x14ac:dyDescent="0.3">
      <c r="A1175" s="26" t="s">
        <v>5625</v>
      </c>
      <c r="B1175" s="26" t="s">
        <v>5626</v>
      </c>
      <c r="C1175" s="26" t="s">
        <v>4309</v>
      </c>
      <c r="D1175" s="26" t="s">
        <v>5616</v>
      </c>
      <c r="E1175" s="26" t="s">
        <v>4094</v>
      </c>
      <c r="F1175" s="26" t="s">
        <v>4095</v>
      </c>
      <c r="G1175" s="26" t="s">
        <v>5598</v>
      </c>
      <c r="H1175" s="26" t="s">
        <v>39</v>
      </c>
      <c r="I1175" s="26" t="s">
        <v>5617</v>
      </c>
      <c r="J1175" s="11" t="str">
        <f>VLOOKUP(K1175,'PN Dictionary'!A:B,2,FALSE)</f>
        <v>GB300 L10</v>
      </c>
      <c r="K1175" s="26" t="s">
        <v>4318</v>
      </c>
      <c r="L1175" s="26" t="s">
        <v>5627</v>
      </c>
      <c r="M1175" s="50" t="s">
        <v>5628</v>
      </c>
      <c r="N1175" s="51" t="s">
        <v>53</v>
      </c>
      <c r="O1175" s="26" t="s">
        <v>728</v>
      </c>
      <c r="P1175" s="26">
        <v>90160</v>
      </c>
      <c r="Q1175" s="26" t="s">
        <v>55</v>
      </c>
    </row>
    <row r="1176" spans="1:17" x14ac:dyDescent="0.3">
      <c r="A1176" s="26" t="s">
        <v>5629</v>
      </c>
      <c r="B1176" s="26" t="s">
        <v>5630</v>
      </c>
      <c r="C1176" s="26" t="s">
        <v>4309</v>
      </c>
      <c r="D1176" s="26" t="s">
        <v>5562</v>
      </c>
      <c r="E1176" s="26" t="s">
        <v>128</v>
      </c>
      <c r="F1176" s="26" t="s">
        <v>205</v>
      </c>
      <c r="G1176" s="26" t="s">
        <v>5598</v>
      </c>
      <c r="H1176" s="26" t="s">
        <v>39</v>
      </c>
      <c r="I1176" s="26" t="s">
        <v>4887</v>
      </c>
      <c r="J1176" s="11" t="str">
        <f>VLOOKUP(K1176,'PN Dictionary'!A:B,2,FALSE)</f>
        <v>NVSwitch</v>
      </c>
      <c r="K1176" s="26" t="s">
        <v>7</v>
      </c>
      <c r="L1176" s="26" t="s">
        <v>5631</v>
      </c>
      <c r="M1176" s="50" t="s">
        <v>5632</v>
      </c>
      <c r="N1176" s="51" t="s">
        <v>53</v>
      </c>
      <c r="O1176" s="26" t="s">
        <v>728</v>
      </c>
      <c r="P1176" s="26">
        <v>2984</v>
      </c>
      <c r="Q1176" s="26" t="s">
        <v>55</v>
      </c>
    </row>
    <row r="1177" spans="1:17" x14ac:dyDescent="0.3">
      <c r="A1177" s="26" t="s">
        <v>5633</v>
      </c>
      <c r="B1177" s="26" t="s">
        <v>5634</v>
      </c>
      <c r="C1177" s="26" t="s">
        <v>4309</v>
      </c>
      <c r="D1177" s="26" t="s">
        <v>5597</v>
      </c>
      <c r="E1177" s="26" t="s">
        <v>128</v>
      </c>
      <c r="F1177" s="26" t="s">
        <v>205</v>
      </c>
      <c r="G1177" s="26" t="s">
        <v>5598</v>
      </c>
      <c r="H1177" s="26" t="s">
        <v>39</v>
      </c>
      <c r="I1177" s="26" t="s">
        <v>5635</v>
      </c>
      <c r="J1177" s="11" t="str">
        <f>VLOOKUP(K1177,'PN Dictionary'!A:B,2,FALSE)</f>
        <v>Cable Cartridge</v>
      </c>
      <c r="K1177" s="26" t="s">
        <v>6</v>
      </c>
      <c r="L1177" s="26">
        <v>1821026355356</v>
      </c>
      <c r="M1177" s="50">
        <v>1823025357204</v>
      </c>
      <c r="N1177" s="51" t="s">
        <v>53</v>
      </c>
      <c r="O1177" s="26" t="s">
        <v>728</v>
      </c>
      <c r="P1177" s="26">
        <v>640</v>
      </c>
      <c r="Q1177" s="26" t="s">
        <v>55</v>
      </c>
    </row>
    <row r="1178" spans="1:17" x14ac:dyDescent="0.3">
      <c r="A1178" s="26" t="s">
        <v>5644</v>
      </c>
      <c r="B1178" s="26" t="s">
        <v>5645</v>
      </c>
      <c r="C1178" s="26" t="s">
        <v>4309</v>
      </c>
      <c r="D1178" s="26" t="s">
        <v>5597</v>
      </c>
      <c r="E1178" s="26" t="s">
        <v>761</v>
      </c>
      <c r="F1178" s="26" t="s">
        <v>3688</v>
      </c>
      <c r="G1178" s="26" t="s">
        <v>5598</v>
      </c>
      <c r="H1178" s="26" t="s">
        <v>39</v>
      </c>
      <c r="I1178" s="26" t="s">
        <v>5646</v>
      </c>
      <c r="J1178" s="11" t="str">
        <f>VLOOKUP(K1178,'PN Dictionary'!A:B,2,FALSE)</f>
        <v>GB300 L10</v>
      </c>
      <c r="K1178" s="26" t="s">
        <v>4318</v>
      </c>
      <c r="L1178" s="26" t="s">
        <v>5392</v>
      </c>
      <c r="M1178" s="50" t="s">
        <v>5647</v>
      </c>
      <c r="N1178" s="51" t="s">
        <v>53</v>
      </c>
      <c r="O1178" s="26" t="s">
        <v>728</v>
      </c>
      <c r="P1178" s="26">
        <v>90185</v>
      </c>
      <c r="Q1178" s="26" t="s">
        <v>55</v>
      </c>
    </row>
    <row r="1179" spans="1:17" x14ac:dyDescent="0.3">
      <c r="A1179" s="26" t="s">
        <v>5648</v>
      </c>
      <c r="B1179" s="26" t="s">
        <v>5649</v>
      </c>
      <c r="C1179" s="26" t="s">
        <v>4309</v>
      </c>
      <c r="D1179" s="26" t="s">
        <v>5650</v>
      </c>
      <c r="E1179" s="26" t="s">
        <v>259</v>
      </c>
      <c r="F1179" s="26" t="s">
        <v>5388</v>
      </c>
      <c r="G1179" s="26" t="s">
        <v>5598</v>
      </c>
      <c r="H1179" s="26" t="s">
        <v>39</v>
      </c>
      <c r="I1179" s="26" t="s">
        <v>2353</v>
      </c>
      <c r="J1179" s="11" t="str">
        <f>VLOOKUP(K1179,'PN Dictionary'!A:B,2,FALSE)</f>
        <v>GB300 L10</v>
      </c>
      <c r="K1179" s="26" t="s">
        <v>4318</v>
      </c>
      <c r="L1179" s="26" t="s">
        <v>5651</v>
      </c>
      <c r="M1179" s="50" t="s">
        <v>5652</v>
      </c>
      <c r="N1179" s="51" t="s">
        <v>53</v>
      </c>
      <c r="O1179" s="26" t="s">
        <v>728</v>
      </c>
      <c r="P1179" s="26">
        <v>90185</v>
      </c>
      <c r="Q1179" s="26" t="s">
        <v>55</v>
      </c>
    </row>
    <row r="1180" spans="1:17" x14ac:dyDescent="0.3">
      <c r="A1180" s="26" t="s">
        <v>5653</v>
      </c>
      <c r="B1180" s="26" t="s">
        <v>5654</v>
      </c>
      <c r="C1180" s="26" t="s">
        <v>4309</v>
      </c>
      <c r="D1180" s="26" t="s">
        <v>5655</v>
      </c>
      <c r="E1180" s="26" t="s">
        <v>761</v>
      </c>
      <c r="F1180" s="26" t="s">
        <v>3688</v>
      </c>
      <c r="G1180" s="26" t="s">
        <v>5598</v>
      </c>
      <c r="H1180" s="26" t="s">
        <v>39</v>
      </c>
      <c r="I1180" s="26" t="s">
        <v>1163</v>
      </c>
      <c r="J1180" s="11" t="str">
        <f>VLOOKUP(K1180,'PN Dictionary'!A:B,2,FALSE)</f>
        <v>GB300 L10</v>
      </c>
      <c r="K1180" s="26" t="s">
        <v>4318</v>
      </c>
      <c r="L1180" s="26" t="s">
        <v>4918</v>
      </c>
      <c r="M1180" s="50" t="s">
        <v>5656</v>
      </c>
      <c r="N1180" s="51" t="s">
        <v>53</v>
      </c>
      <c r="O1180" s="26" t="s">
        <v>728</v>
      </c>
      <c r="P1180" s="26">
        <v>90160</v>
      </c>
      <c r="Q1180" s="26" t="s">
        <v>55</v>
      </c>
    </row>
    <row r="1181" spans="1:17" x14ac:dyDescent="0.3">
      <c r="A1181" s="26" t="s">
        <v>5657</v>
      </c>
      <c r="B1181" s="26" t="s">
        <v>5658</v>
      </c>
      <c r="C1181" s="26" t="s">
        <v>4309</v>
      </c>
      <c r="D1181" s="26" t="s">
        <v>5659</v>
      </c>
      <c r="E1181" s="26" t="s">
        <v>761</v>
      </c>
      <c r="F1181" s="26" t="s">
        <v>3688</v>
      </c>
      <c r="G1181" s="26" t="s">
        <v>5598</v>
      </c>
      <c r="H1181" s="26" t="s">
        <v>39</v>
      </c>
      <c r="I1181" s="26" t="s">
        <v>1163</v>
      </c>
      <c r="J1181" s="11" t="str">
        <f>VLOOKUP(K1181,'PN Dictionary'!A:B,2,FALSE)</f>
        <v>GB300 L10</v>
      </c>
      <c r="K1181" s="26" t="s">
        <v>4318</v>
      </c>
      <c r="L1181" s="26" t="s">
        <v>5660</v>
      </c>
      <c r="M1181" s="50" t="s">
        <v>5661</v>
      </c>
      <c r="N1181" s="51" t="s">
        <v>53</v>
      </c>
      <c r="O1181" s="26" t="s">
        <v>728</v>
      </c>
      <c r="P1181" s="26">
        <v>90160</v>
      </c>
      <c r="Q1181" s="26" t="s">
        <v>55</v>
      </c>
    </row>
    <row r="1182" spans="1:17" x14ac:dyDescent="0.3">
      <c r="A1182" s="26" t="s">
        <v>5662</v>
      </c>
      <c r="B1182" s="26" t="s">
        <v>5663</v>
      </c>
      <c r="C1182" s="26" t="s">
        <v>4309</v>
      </c>
      <c r="D1182" s="26" t="s">
        <v>5659</v>
      </c>
      <c r="E1182" s="26" t="s">
        <v>761</v>
      </c>
      <c r="F1182" s="26" t="s">
        <v>3688</v>
      </c>
      <c r="G1182" s="26" t="s">
        <v>5598</v>
      </c>
      <c r="H1182" s="26" t="s">
        <v>39</v>
      </c>
      <c r="I1182" s="26" t="s">
        <v>1163</v>
      </c>
      <c r="J1182" s="11" t="str">
        <f>VLOOKUP(K1182,'PN Dictionary'!A:B,2,FALSE)</f>
        <v>GB300 L10</v>
      </c>
      <c r="K1182" s="26" t="s">
        <v>4318</v>
      </c>
      <c r="L1182" s="26" t="s">
        <v>5664</v>
      </c>
      <c r="M1182" s="50" t="s">
        <v>5665</v>
      </c>
      <c r="N1182" s="51" t="s">
        <v>53</v>
      </c>
      <c r="O1182" s="26" t="s">
        <v>728</v>
      </c>
      <c r="P1182" s="26">
        <v>90160</v>
      </c>
      <c r="Q1182" s="26" t="s">
        <v>55</v>
      </c>
    </row>
    <row r="1183" spans="1:17" x14ac:dyDescent="0.3">
      <c r="A1183" s="26" t="s">
        <v>5666</v>
      </c>
      <c r="B1183" s="26" t="s">
        <v>5667</v>
      </c>
      <c r="C1183" s="26" t="s">
        <v>4309</v>
      </c>
      <c r="D1183" s="26" t="s">
        <v>5668</v>
      </c>
      <c r="E1183" s="26" t="s">
        <v>761</v>
      </c>
      <c r="F1183" s="26" t="s">
        <v>3688</v>
      </c>
      <c r="G1183" s="26" t="s">
        <v>5598</v>
      </c>
      <c r="H1183" s="26" t="s">
        <v>619</v>
      </c>
      <c r="I1183" s="26" t="s">
        <v>1163</v>
      </c>
      <c r="J1183" s="11" t="str">
        <f>VLOOKUP(K1183,'PN Dictionary'!A:B,2,FALSE)</f>
        <v>GB300 L10</v>
      </c>
      <c r="K1183" s="26" t="s">
        <v>4318</v>
      </c>
      <c r="L1183" s="26" t="s">
        <v>5125</v>
      </c>
      <c r="M1183" s="50" t="s">
        <v>5509</v>
      </c>
      <c r="N1183" s="51" t="s">
        <v>53</v>
      </c>
      <c r="O1183" s="26" t="s">
        <v>728</v>
      </c>
      <c r="P1183" s="26">
        <v>90160</v>
      </c>
      <c r="Q1183" s="26" t="s">
        <v>55</v>
      </c>
    </row>
    <row r="1184" spans="1:17" x14ac:dyDescent="0.3">
      <c r="A1184" s="26" t="s">
        <v>5669</v>
      </c>
      <c r="B1184" s="26" t="s">
        <v>5670</v>
      </c>
      <c r="C1184" s="26" t="s">
        <v>4309</v>
      </c>
      <c r="D1184" s="26" t="s">
        <v>5586</v>
      </c>
      <c r="E1184" s="26" t="s">
        <v>761</v>
      </c>
      <c r="F1184" s="26" t="s">
        <v>3688</v>
      </c>
      <c r="G1184" s="26" t="s">
        <v>5598</v>
      </c>
      <c r="H1184" s="26" t="s">
        <v>39</v>
      </c>
      <c r="I1184" s="26" t="s">
        <v>1163</v>
      </c>
      <c r="J1184" s="11" t="str">
        <f>VLOOKUP(K1184,'PN Dictionary'!A:B,2,FALSE)</f>
        <v>GB300 L10</v>
      </c>
      <c r="K1184" s="26" t="s">
        <v>4318</v>
      </c>
      <c r="L1184" s="26" t="s">
        <v>5671</v>
      </c>
      <c r="M1184" s="50" t="s">
        <v>5672</v>
      </c>
      <c r="N1184" s="51" t="s">
        <v>53</v>
      </c>
      <c r="O1184" s="26" t="s">
        <v>728</v>
      </c>
      <c r="P1184" s="26">
        <v>90160</v>
      </c>
      <c r="Q1184" s="26" t="s">
        <v>55</v>
      </c>
    </row>
    <row r="1185" spans="1:17" x14ac:dyDescent="0.3">
      <c r="A1185" s="26" t="s">
        <v>5673</v>
      </c>
      <c r="B1185" s="26" t="s">
        <v>5674</v>
      </c>
      <c r="C1185" s="26" t="s">
        <v>4309</v>
      </c>
      <c r="D1185" s="26" t="s">
        <v>5545</v>
      </c>
      <c r="E1185" s="26" t="s">
        <v>761</v>
      </c>
      <c r="F1185" s="26" t="s">
        <v>3688</v>
      </c>
      <c r="G1185" s="26" t="s">
        <v>5598</v>
      </c>
      <c r="H1185" s="26" t="s">
        <v>39</v>
      </c>
      <c r="I1185" s="26" t="s">
        <v>1163</v>
      </c>
      <c r="J1185" s="11" t="str">
        <f>VLOOKUP(K1185,'PN Dictionary'!A:B,2,FALSE)</f>
        <v>GB300 L10</v>
      </c>
      <c r="K1185" s="26" t="s">
        <v>4318</v>
      </c>
      <c r="L1185" s="26" t="s">
        <v>5675</v>
      </c>
      <c r="M1185" s="50" t="s">
        <v>5676</v>
      </c>
      <c r="N1185" s="51" t="s">
        <v>53</v>
      </c>
      <c r="O1185" s="26" t="s">
        <v>728</v>
      </c>
      <c r="P1185" s="26">
        <v>90160</v>
      </c>
      <c r="Q1185" s="26" t="s">
        <v>55</v>
      </c>
    </row>
    <row r="1186" spans="1:17" x14ac:dyDescent="0.3">
      <c r="A1186" s="26" t="s">
        <v>5677</v>
      </c>
      <c r="B1186" s="26" t="s">
        <v>5678</v>
      </c>
      <c r="C1186" s="26" t="s">
        <v>4309</v>
      </c>
      <c r="D1186" s="26" t="s">
        <v>5679</v>
      </c>
      <c r="E1186" s="26" t="s">
        <v>761</v>
      </c>
      <c r="F1186" s="26" t="s">
        <v>3688</v>
      </c>
      <c r="G1186" s="26" t="s">
        <v>5598</v>
      </c>
      <c r="H1186" s="26" t="s">
        <v>39</v>
      </c>
      <c r="I1186" s="26" t="s">
        <v>1163</v>
      </c>
      <c r="J1186" s="11" t="str">
        <f>VLOOKUP(K1186,'PN Dictionary'!A:B,2,FALSE)</f>
        <v>GB300 L10</v>
      </c>
      <c r="K1186" s="26" t="s">
        <v>4318</v>
      </c>
      <c r="L1186" s="26" t="s">
        <v>5680</v>
      </c>
      <c r="M1186" s="50" t="s">
        <v>5681</v>
      </c>
      <c r="N1186" s="51" t="s">
        <v>53</v>
      </c>
      <c r="O1186" s="26" t="s">
        <v>728</v>
      </c>
      <c r="P1186" s="26">
        <v>90160</v>
      </c>
      <c r="Q1186" s="26" t="s">
        <v>55</v>
      </c>
    </row>
    <row r="1187" spans="1:17" x14ac:dyDescent="0.3">
      <c r="A1187" s="26" t="s">
        <v>5682</v>
      </c>
      <c r="B1187" s="26" t="s">
        <v>5683</v>
      </c>
      <c r="C1187" s="26" t="s">
        <v>4309</v>
      </c>
      <c r="D1187" s="26" t="s">
        <v>5616</v>
      </c>
      <c r="E1187" s="26" t="s">
        <v>128</v>
      </c>
      <c r="F1187" s="26" t="s">
        <v>205</v>
      </c>
      <c r="G1187" s="26" t="s">
        <v>5598</v>
      </c>
      <c r="H1187" s="26" t="s">
        <v>39</v>
      </c>
      <c r="I1187" s="26" t="s">
        <v>5684</v>
      </c>
      <c r="J1187" s="11" t="str">
        <f>VLOOKUP(K1187,'PN Dictionary'!A:B,2,FALSE)</f>
        <v>Cable Cartridge</v>
      </c>
      <c r="K1187" s="26" t="s">
        <v>6</v>
      </c>
      <c r="L1187" s="26">
        <v>2020826490578</v>
      </c>
      <c r="M1187" s="50">
        <v>2021026491012</v>
      </c>
      <c r="N1187" s="51" t="s">
        <v>53</v>
      </c>
      <c r="O1187" s="26" t="s">
        <v>728</v>
      </c>
      <c r="P1187" s="26">
        <v>90160</v>
      </c>
      <c r="Q1187" s="26" t="s">
        <v>55</v>
      </c>
    </row>
    <row r="1188" spans="1:17" x14ac:dyDescent="0.3">
      <c r="A1188" s="26" t="s">
        <v>5685</v>
      </c>
      <c r="B1188" s="26" t="s">
        <v>5686</v>
      </c>
      <c r="C1188" s="26" t="s">
        <v>4309</v>
      </c>
      <c r="D1188" s="26" t="s">
        <v>5687</v>
      </c>
      <c r="E1188" s="26" t="s">
        <v>761</v>
      </c>
      <c r="F1188" s="26" t="s">
        <v>3688</v>
      </c>
      <c r="G1188" s="26" t="s">
        <v>5598</v>
      </c>
      <c r="H1188" s="26" t="s">
        <v>39</v>
      </c>
      <c r="I1188" s="26" t="s">
        <v>1163</v>
      </c>
      <c r="J1188" s="11" t="str">
        <f>VLOOKUP(K1188,'PN Dictionary'!A:B,2,FALSE)</f>
        <v>GB300 L10</v>
      </c>
      <c r="K1188" s="26" t="s">
        <v>4318</v>
      </c>
      <c r="L1188" s="26" t="s">
        <v>5688</v>
      </c>
      <c r="M1188" s="50" t="s">
        <v>5689</v>
      </c>
      <c r="N1188" s="51" t="s">
        <v>53</v>
      </c>
      <c r="O1188" s="26" t="s">
        <v>728</v>
      </c>
      <c r="P1188" s="26">
        <v>90160</v>
      </c>
      <c r="Q1188" s="26" t="s">
        <v>55</v>
      </c>
    </row>
    <row r="1189" spans="1:17" x14ac:dyDescent="0.3">
      <c r="A1189" s="26" t="s">
        <v>5690</v>
      </c>
      <c r="B1189" s="26" t="s">
        <v>5691</v>
      </c>
      <c r="C1189" s="26" t="s">
        <v>4309</v>
      </c>
      <c r="D1189" s="26" t="s">
        <v>5616</v>
      </c>
      <c r="E1189" s="26" t="s">
        <v>761</v>
      </c>
      <c r="F1189" s="26" t="s">
        <v>3688</v>
      </c>
      <c r="G1189" s="26" t="s">
        <v>5692</v>
      </c>
      <c r="H1189" s="26" t="s">
        <v>39</v>
      </c>
      <c r="I1189" s="26" t="s">
        <v>1163</v>
      </c>
      <c r="J1189" s="11" t="str">
        <f>VLOOKUP(K1189,'PN Dictionary'!A:B,2,FALSE)</f>
        <v>GB300 L10</v>
      </c>
      <c r="K1189" s="26" t="s">
        <v>4318</v>
      </c>
      <c r="L1189" s="26" t="s">
        <v>5693</v>
      </c>
      <c r="M1189" s="50" t="s">
        <v>5694</v>
      </c>
      <c r="N1189" s="51" t="s">
        <v>53</v>
      </c>
      <c r="O1189" s="26" t="s">
        <v>728</v>
      </c>
      <c r="P1189" s="26">
        <v>90160</v>
      </c>
      <c r="Q1189" s="26" t="s">
        <v>55</v>
      </c>
    </row>
    <row r="1190" spans="1:17" x14ac:dyDescent="0.3">
      <c r="A1190" s="26" t="s">
        <v>5695</v>
      </c>
      <c r="B1190" s="26" t="s">
        <v>5696</v>
      </c>
      <c r="C1190" s="26" t="s">
        <v>4309</v>
      </c>
      <c r="D1190" s="26" t="s">
        <v>5697</v>
      </c>
      <c r="E1190" s="26" t="s">
        <v>761</v>
      </c>
      <c r="F1190" s="26" t="s">
        <v>3688</v>
      </c>
      <c r="G1190" s="26" t="s">
        <v>5692</v>
      </c>
      <c r="H1190" s="26" t="s">
        <v>39</v>
      </c>
      <c r="I1190" s="26" t="s">
        <v>1163</v>
      </c>
      <c r="J1190" s="11" t="str">
        <f>VLOOKUP(K1190,'PN Dictionary'!A:B,2,FALSE)</f>
        <v>GB300 L10</v>
      </c>
      <c r="K1190" s="26" t="s">
        <v>4318</v>
      </c>
      <c r="L1190" s="26" t="s">
        <v>5698</v>
      </c>
      <c r="M1190" s="50" t="s">
        <v>5699</v>
      </c>
      <c r="N1190" s="51" t="s">
        <v>53</v>
      </c>
      <c r="O1190" s="26" t="s">
        <v>728</v>
      </c>
      <c r="P1190" s="26">
        <v>90160</v>
      </c>
      <c r="Q1190" s="26" t="s">
        <v>55</v>
      </c>
    </row>
    <row r="1191" spans="1:17" x14ac:dyDescent="0.3">
      <c r="A1191" s="26" t="s">
        <v>5700</v>
      </c>
      <c r="B1191" s="26" t="s">
        <v>5701</v>
      </c>
      <c r="C1191" s="26" t="s">
        <v>4309</v>
      </c>
      <c r="D1191" s="26" t="s">
        <v>5650</v>
      </c>
      <c r="E1191" s="26" t="s">
        <v>761</v>
      </c>
      <c r="F1191" s="26" t="s">
        <v>3688</v>
      </c>
      <c r="G1191" s="26" t="s">
        <v>5692</v>
      </c>
      <c r="H1191" s="26" t="s">
        <v>39</v>
      </c>
      <c r="I1191" s="26" t="s">
        <v>3688</v>
      </c>
      <c r="J1191" s="11" t="str">
        <f>VLOOKUP(K1191,'PN Dictionary'!A:B,2,FALSE)</f>
        <v>GB300 L10</v>
      </c>
      <c r="K1191" s="26" t="s">
        <v>4318</v>
      </c>
      <c r="L1191" s="26" t="s">
        <v>5702</v>
      </c>
      <c r="M1191" s="50" t="s">
        <v>5703</v>
      </c>
      <c r="N1191" s="51" t="s">
        <v>53</v>
      </c>
      <c r="O1191" s="26" t="s">
        <v>728</v>
      </c>
      <c r="P1191" s="26">
        <v>90185</v>
      </c>
      <c r="Q1191" s="26" t="s">
        <v>55</v>
      </c>
    </row>
    <row r="1192" spans="1:17" x14ac:dyDescent="0.3">
      <c r="A1192" s="26" t="s">
        <v>5704</v>
      </c>
      <c r="B1192" s="26" t="s">
        <v>5705</v>
      </c>
      <c r="C1192" s="26" t="s">
        <v>4309</v>
      </c>
      <c r="D1192" s="26" t="s">
        <v>5545</v>
      </c>
      <c r="E1192" s="26" t="s">
        <v>81</v>
      </c>
      <c r="F1192" s="26" t="s">
        <v>522</v>
      </c>
      <c r="G1192" s="26" t="s">
        <v>5692</v>
      </c>
      <c r="H1192" s="26" t="s">
        <v>39</v>
      </c>
      <c r="I1192" s="26" t="s">
        <v>3432</v>
      </c>
      <c r="J1192" s="11" t="str">
        <f>VLOOKUP(K1192,'PN Dictionary'!A:B,2,FALSE)</f>
        <v>GB300 L10</v>
      </c>
      <c r="K1192" s="26" t="s">
        <v>4318</v>
      </c>
      <c r="L1192" s="26" t="s">
        <v>5706</v>
      </c>
      <c r="M1192" s="50" t="s">
        <v>5707</v>
      </c>
      <c r="N1192" s="51" t="s">
        <v>53</v>
      </c>
      <c r="O1192" s="26" t="s">
        <v>728</v>
      </c>
      <c r="P1192" s="26">
        <v>90160</v>
      </c>
      <c r="Q1192" s="26" t="s">
        <v>55</v>
      </c>
    </row>
    <row r="1193" spans="1:17" x14ac:dyDescent="0.3">
      <c r="A1193" s="26" t="s">
        <v>5708</v>
      </c>
      <c r="B1193" s="26" t="s">
        <v>5709</v>
      </c>
      <c r="C1193" s="26" t="s">
        <v>4309</v>
      </c>
      <c r="D1193" s="26" t="s">
        <v>5710</v>
      </c>
      <c r="E1193" s="26" t="s">
        <v>3881</v>
      </c>
      <c r="F1193" s="26" t="s">
        <v>3882</v>
      </c>
      <c r="G1193" s="26" t="s">
        <v>5692</v>
      </c>
      <c r="H1193" s="26" t="s">
        <v>39</v>
      </c>
      <c r="I1193" s="26" t="s">
        <v>1225</v>
      </c>
      <c r="J1193" s="11" t="str">
        <f>VLOOKUP(K1193,'PN Dictionary'!A:B,2,FALSE)</f>
        <v>GB300 L10</v>
      </c>
      <c r="K1193" s="26" t="s">
        <v>4318</v>
      </c>
      <c r="L1193" s="26" t="s">
        <v>5536</v>
      </c>
      <c r="M1193" s="50" t="s">
        <v>5711</v>
      </c>
      <c r="N1193" s="51" t="s">
        <v>53</v>
      </c>
      <c r="O1193" s="26" t="s">
        <v>728</v>
      </c>
      <c r="P1193" s="26">
        <v>90160</v>
      </c>
      <c r="Q1193" s="26" t="s">
        <v>55</v>
      </c>
    </row>
    <row r="1194" spans="1:17" x14ac:dyDescent="0.3">
      <c r="A1194" s="26" t="s">
        <v>5712</v>
      </c>
      <c r="B1194" s="26" t="s">
        <v>5713</v>
      </c>
      <c r="C1194" s="26" t="s">
        <v>4309</v>
      </c>
      <c r="D1194" s="26" t="s">
        <v>5697</v>
      </c>
      <c r="E1194" s="26" t="s">
        <v>81</v>
      </c>
      <c r="F1194" s="26" t="s">
        <v>522</v>
      </c>
      <c r="G1194" s="26" t="s">
        <v>5692</v>
      </c>
      <c r="H1194" s="26" t="s">
        <v>39</v>
      </c>
      <c r="I1194" s="26" t="s">
        <v>5714</v>
      </c>
      <c r="J1194" s="11" t="str">
        <f>VLOOKUP(K1194,'PN Dictionary'!A:B,2,FALSE)</f>
        <v>GB300 L10</v>
      </c>
      <c r="K1194" s="26" t="s">
        <v>4318</v>
      </c>
      <c r="L1194" s="26" t="s">
        <v>5715</v>
      </c>
      <c r="M1194" s="50" t="s">
        <v>5716</v>
      </c>
      <c r="N1194" s="51" t="s">
        <v>53</v>
      </c>
      <c r="O1194" s="26" t="s">
        <v>728</v>
      </c>
      <c r="P1194" s="26">
        <v>90160</v>
      </c>
      <c r="Q1194" s="26" t="s">
        <v>55</v>
      </c>
    </row>
    <row r="1195" spans="1:17" x14ac:dyDescent="0.3">
      <c r="A1195" s="26" t="s">
        <v>5717</v>
      </c>
      <c r="B1195" s="26" t="s">
        <v>5718</v>
      </c>
      <c r="C1195" s="26" t="s">
        <v>4309</v>
      </c>
      <c r="D1195" s="26" t="s">
        <v>5697</v>
      </c>
      <c r="E1195" s="26" t="s">
        <v>81</v>
      </c>
      <c r="F1195" s="26" t="s">
        <v>522</v>
      </c>
      <c r="G1195" s="26" t="s">
        <v>5692</v>
      </c>
      <c r="H1195" s="26" t="s">
        <v>39</v>
      </c>
      <c r="I1195" s="26" t="s">
        <v>5719</v>
      </c>
      <c r="J1195" s="11" t="str">
        <f>VLOOKUP(K1195,'PN Dictionary'!A:B,2,FALSE)</f>
        <v>GB300 L10</v>
      </c>
      <c r="K1195" s="26" t="s">
        <v>4318</v>
      </c>
      <c r="L1195" s="26" t="s">
        <v>4808</v>
      </c>
      <c r="M1195" s="50" t="s">
        <v>5720</v>
      </c>
      <c r="N1195" s="51" t="s">
        <v>53</v>
      </c>
      <c r="O1195" s="26" t="s">
        <v>728</v>
      </c>
      <c r="P1195" s="26">
        <v>90160</v>
      </c>
      <c r="Q1195" s="26" t="s">
        <v>55</v>
      </c>
    </row>
    <row r="1196" spans="1:17" x14ac:dyDescent="0.3">
      <c r="A1196" s="26" t="s">
        <v>5721</v>
      </c>
      <c r="B1196" s="26" t="s">
        <v>5722</v>
      </c>
      <c r="C1196" s="26" t="s">
        <v>4309</v>
      </c>
      <c r="D1196" s="26" t="s">
        <v>5723</v>
      </c>
      <c r="E1196" s="26" t="s">
        <v>128</v>
      </c>
      <c r="F1196" s="26" t="s">
        <v>205</v>
      </c>
      <c r="G1196" s="26" t="s">
        <v>5692</v>
      </c>
      <c r="H1196" s="26" t="s">
        <v>39</v>
      </c>
      <c r="I1196" s="26" t="s">
        <v>5724</v>
      </c>
      <c r="J1196" s="11" t="str">
        <f>VLOOKUP(K1196,'PN Dictionary'!A:B,2,FALSE)</f>
        <v>Cable Cartridge</v>
      </c>
      <c r="K1196" s="26" t="s">
        <v>6</v>
      </c>
      <c r="L1196" s="26">
        <v>2021026490444</v>
      </c>
      <c r="M1196" s="50">
        <v>2021026490413</v>
      </c>
      <c r="N1196" s="51" t="s">
        <v>53</v>
      </c>
      <c r="O1196" s="26" t="s">
        <v>728</v>
      </c>
      <c r="P1196" s="26">
        <v>2984</v>
      </c>
      <c r="Q1196" s="26" t="s">
        <v>55</v>
      </c>
    </row>
    <row r="1197" spans="1:17" x14ac:dyDescent="0.3">
      <c r="A1197" s="26" t="s">
        <v>5725</v>
      </c>
      <c r="B1197" s="26" t="s">
        <v>5726</v>
      </c>
      <c r="C1197" s="26" t="s">
        <v>4309</v>
      </c>
      <c r="D1197" s="26" t="s">
        <v>5727</v>
      </c>
      <c r="E1197" s="26" t="s">
        <v>230</v>
      </c>
      <c r="F1197" s="26" t="s">
        <v>238</v>
      </c>
      <c r="G1197" s="26" t="s">
        <v>5692</v>
      </c>
      <c r="H1197" s="26" t="s">
        <v>39</v>
      </c>
      <c r="I1197" s="26" t="s">
        <v>5728</v>
      </c>
      <c r="J1197" s="11" t="str">
        <f>VLOOKUP(K1197,'PN Dictionary'!A:B,2,FALSE)</f>
        <v>NVSwitch</v>
      </c>
      <c r="K1197" s="26" t="s">
        <v>7</v>
      </c>
      <c r="L1197" s="26" t="s">
        <v>5729</v>
      </c>
      <c r="M1197" s="50" t="s">
        <v>5730</v>
      </c>
      <c r="N1197" s="51" t="s">
        <v>53</v>
      </c>
      <c r="O1197" s="26" t="s">
        <v>728</v>
      </c>
      <c r="P1197" s="26">
        <v>1519</v>
      </c>
      <c r="Q1197" s="26" t="s">
        <v>55</v>
      </c>
    </row>
    <row r="1198" spans="1:17" x14ac:dyDescent="0.3">
      <c r="A1198" s="26" t="s">
        <v>5731</v>
      </c>
      <c r="B1198" s="26" t="s">
        <v>5732</v>
      </c>
      <c r="C1198" s="26" t="s">
        <v>4309</v>
      </c>
      <c r="D1198" s="26" t="s">
        <v>5733</v>
      </c>
      <c r="E1198" s="26" t="s">
        <v>761</v>
      </c>
      <c r="F1198" s="26" t="s">
        <v>3688</v>
      </c>
      <c r="G1198" s="26" t="s">
        <v>5692</v>
      </c>
      <c r="H1198" s="26" t="s">
        <v>39</v>
      </c>
      <c r="I1198" s="26" t="s">
        <v>1163</v>
      </c>
      <c r="J1198" s="11" t="str">
        <f>VLOOKUP(K1198,'PN Dictionary'!A:B,2,FALSE)</f>
        <v>GB300 L10</v>
      </c>
      <c r="K1198" s="26" t="s">
        <v>4318</v>
      </c>
      <c r="L1198" s="26" t="s">
        <v>5734</v>
      </c>
      <c r="M1198" s="50" t="s">
        <v>5735</v>
      </c>
      <c r="N1198" s="51" t="s">
        <v>53</v>
      </c>
      <c r="O1198" s="26" t="s">
        <v>728</v>
      </c>
      <c r="P1198" s="26">
        <v>90160</v>
      </c>
      <c r="Q1198" s="26" t="s">
        <v>55</v>
      </c>
    </row>
    <row r="1199" spans="1:17" x14ac:dyDescent="0.3">
      <c r="A1199" s="26" t="s">
        <v>5736</v>
      </c>
      <c r="B1199" s="26" t="s">
        <v>5737</v>
      </c>
      <c r="C1199" s="26" t="s">
        <v>4309</v>
      </c>
      <c r="D1199" s="26" t="s">
        <v>5738</v>
      </c>
      <c r="E1199" s="26" t="s">
        <v>761</v>
      </c>
      <c r="F1199" s="26" t="s">
        <v>3688</v>
      </c>
      <c r="G1199" s="26" t="s">
        <v>5692</v>
      </c>
      <c r="H1199" s="26" t="s">
        <v>39</v>
      </c>
      <c r="I1199" s="26" t="s">
        <v>1163</v>
      </c>
      <c r="J1199" s="11" t="str">
        <f>VLOOKUP(K1199,'PN Dictionary'!A:B,2,FALSE)</f>
        <v>GB300 L10</v>
      </c>
      <c r="K1199" s="26" t="s">
        <v>4318</v>
      </c>
      <c r="L1199" s="50" t="s">
        <v>5739</v>
      </c>
      <c r="M1199" s="51" t="s">
        <v>5740</v>
      </c>
      <c r="N1199" s="26" t="s">
        <v>53</v>
      </c>
      <c r="O1199" s="26" t="s">
        <v>728</v>
      </c>
      <c r="P1199" s="26">
        <v>90160</v>
      </c>
      <c r="Q1199" s="26" t="s">
        <v>55</v>
      </c>
    </row>
    <row r="1200" spans="1:17" x14ac:dyDescent="0.3">
      <c r="A1200" s="26" t="s">
        <v>5741</v>
      </c>
      <c r="B1200" s="26" t="s">
        <v>5742</v>
      </c>
      <c r="C1200" s="26" t="s">
        <v>4309</v>
      </c>
      <c r="D1200" s="26" t="s">
        <v>5743</v>
      </c>
      <c r="E1200" s="26" t="s">
        <v>259</v>
      </c>
      <c r="F1200" s="26" t="s">
        <v>5388</v>
      </c>
      <c r="G1200" s="26" t="s">
        <v>5692</v>
      </c>
      <c r="H1200" s="26" t="s">
        <v>39</v>
      </c>
      <c r="I1200" s="26" t="s">
        <v>5744</v>
      </c>
      <c r="J1200" s="11" t="str">
        <f>VLOOKUP(K1200,'PN Dictionary'!A:B,2,FALSE)</f>
        <v>GB300 L10</v>
      </c>
      <c r="K1200" s="26" t="s">
        <v>4318</v>
      </c>
      <c r="L1200" s="50" t="s">
        <v>5745</v>
      </c>
      <c r="M1200" s="51" t="s">
        <v>5746</v>
      </c>
      <c r="N1200" s="26" t="s">
        <v>53</v>
      </c>
      <c r="O1200" s="26" t="s">
        <v>728</v>
      </c>
      <c r="P1200" s="26">
        <v>90185</v>
      </c>
      <c r="Q1200" s="26" t="s">
        <v>55</v>
      </c>
    </row>
    <row r="1201" spans="1:17" x14ac:dyDescent="0.3">
      <c r="A1201" s="26" t="s">
        <v>5747</v>
      </c>
      <c r="B1201" s="26" t="s">
        <v>5748</v>
      </c>
      <c r="C1201" s="26" t="s">
        <v>4309</v>
      </c>
      <c r="D1201" s="26" t="s">
        <v>5749</v>
      </c>
      <c r="E1201" s="26" t="s">
        <v>761</v>
      </c>
      <c r="F1201" s="26" t="s">
        <v>3688</v>
      </c>
      <c r="G1201" s="26" t="s">
        <v>5692</v>
      </c>
      <c r="H1201" s="26" t="s">
        <v>39</v>
      </c>
      <c r="I1201" s="26" t="s">
        <v>3688</v>
      </c>
      <c r="J1201" s="11" t="str">
        <f>VLOOKUP(K1201,'PN Dictionary'!A:B,2,FALSE)</f>
        <v>GB300 L10</v>
      </c>
      <c r="K1201" s="26" t="s">
        <v>4318</v>
      </c>
      <c r="L1201" s="50" t="s">
        <v>5750</v>
      </c>
      <c r="M1201" s="51" t="s">
        <v>5751</v>
      </c>
      <c r="N1201" s="26" t="s">
        <v>53</v>
      </c>
      <c r="O1201" s="26" t="s">
        <v>728</v>
      </c>
      <c r="P1201" s="26">
        <v>90185</v>
      </c>
      <c r="Q1201" s="26" t="s">
        <v>55</v>
      </c>
    </row>
    <row r="1202" spans="1:17" x14ac:dyDescent="0.3">
      <c r="A1202" s="26" t="s">
        <v>5752</v>
      </c>
      <c r="B1202" s="26" t="s">
        <v>5753</v>
      </c>
      <c r="C1202" s="26" t="s">
        <v>4309</v>
      </c>
      <c r="D1202" s="26" t="s">
        <v>5749</v>
      </c>
      <c r="E1202" s="26" t="s">
        <v>761</v>
      </c>
      <c r="F1202" s="26" t="s">
        <v>3688</v>
      </c>
      <c r="G1202" s="26" t="s">
        <v>5692</v>
      </c>
      <c r="H1202" s="26" t="s">
        <v>39</v>
      </c>
      <c r="I1202" s="26" t="s">
        <v>3688</v>
      </c>
      <c r="J1202" s="11" t="str">
        <f>VLOOKUP(K1202,'PN Dictionary'!A:B,2,FALSE)</f>
        <v>GB300 L10</v>
      </c>
      <c r="K1202" s="26" t="s">
        <v>4318</v>
      </c>
      <c r="L1202" s="50" t="s">
        <v>5754</v>
      </c>
      <c r="M1202" s="51" t="s">
        <v>5755</v>
      </c>
      <c r="N1202" s="26" t="s">
        <v>53</v>
      </c>
      <c r="O1202" s="26" t="s">
        <v>728</v>
      </c>
      <c r="P1202" s="26">
        <v>90185</v>
      </c>
      <c r="Q1202" s="26" t="s">
        <v>55</v>
      </c>
    </row>
    <row r="1203" spans="1:17" x14ac:dyDescent="0.3">
      <c r="A1203" s="26" t="s">
        <v>5756</v>
      </c>
      <c r="B1203" s="26" t="s">
        <v>5757</v>
      </c>
      <c r="C1203" s="26" t="s">
        <v>4309</v>
      </c>
      <c r="D1203" s="26" t="s">
        <v>5710</v>
      </c>
      <c r="E1203" s="26" t="s">
        <v>761</v>
      </c>
      <c r="F1203" s="26" t="s">
        <v>3688</v>
      </c>
      <c r="G1203" s="26" t="s">
        <v>5758</v>
      </c>
      <c r="H1203" s="26" t="s">
        <v>39</v>
      </c>
      <c r="I1203" s="26" t="s">
        <v>1163</v>
      </c>
      <c r="J1203" s="11" t="str">
        <f>VLOOKUP(K1203,'PN Dictionary'!A:B,2,FALSE)</f>
        <v>GB300 L10</v>
      </c>
      <c r="K1203" s="26" t="s">
        <v>4318</v>
      </c>
      <c r="L1203" s="50" t="s">
        <v>5759</v>
      </c>
      <c r="M1203" s="51" t="s">
        <v>5760</v>
      </c>
      <c r="N1203" s="26" t="s">
        <v>53</v>
      </c>
      <c r="O1203" s="26" t="s">
        <v>728</v>
      </c>
      <c r="P1203" s="26">
        <v>90160</v>
      </c>
      <c r="Q1203" s="26" t="s">
        <v>55</v>
      </c>
    </row>
    <row r="1204" spans="1:17" x14ac:dyDescent="0.3">
      <c r="A1204" s="26" t="s">
        <v>5761</v>
      </c>
      <c r="B1204" s="26" t="s">
        <v>5762</v>
      </c>
      <c r="C1204" s="26" t="s">
        <v>4309</v>
      </c>
      <c r="D1204" s="26" t="s">
        <v>5763</v>
      </c>
      <c r="E1204" s="26" t="s">
        <v>761</v>
      </c>
      <c r="F1204" s="26" t="s">
        <v>3688</v>
      </c>
      <c r="G1204" s="26" t="s">
        <v>5758</v>
      </c>
      <c r="H1204" s="26" t="s">
        <v>39</v>
      </c>
      <c r="I1204" s="26" t="s">
        <v>3688</v>
      </c>
      <c r="J1204" s="11" t="str">
        <f>VLOOKUP(K1204,'PN Dictionary'!A:B,2,FALSE)</f>
        <v>GB300 L10</v>
      </c>
      <c r="K1204" s="26" t="s">
        <v>4318</v>
      </c>
      <c r="L1204" s="50" t="s">
        <v>5764</v>
      </c>
      <c r="M1204" s="51" t="s">
        <v>5765</v>
      </c>
      <c r="N1204" s="26" t="s">
        <v>53</v>
      </c>
      <c r="O1204" s="26" t="s">
        <v>728</v>
      </c>
      <c r="P1204" s="26">
        <v>90185</v>
      </c>
      <c r="Q1204" s="26" t="s">
        <v>55</v>
      </c>
    </row>
    <row r="1205" spans="1:17" x14ac:dyDescent="0.3">
      <c r="A1205" s="26" t="s">
        <v>5766</v>
      </c>
      <c r="B1205" s="26" t="s">
        <v>5767</v>
      </c>
      <c r="C1205" s="26" t="s">
        <v>4309</v>
      </c>
      <c r="D1205" s="26" t="s">
        <v>5763</v>
      </c>
      <c r="E1205" s="26" t="s">
        <v>761</v>
      </c>
      <c r="F1205" s="26" t="s">
        <v>3688</v>
      </c>
      <c r="G1205" s="26" t="s">
        <v>5758</v>
      </c>
      <c r="H1205" s="26" t="s">
        <v>39</v>
      </c>
      <c r="I1205" s="26" t="s">
        <v>3688</v>
      </c>
      <c r="J1205" s="11" t="str">
        <f>VLOOKUP(K1205,'PN Dictionary'!A:B,2,FALSE)</f>
        <v>GB300 L10</v>
      </c>
      <c r="K1205" s="26" t="s">
        <v>4318</v>
      </c>
      <c r="L1205" s="50" t="s">
        <v>5768</v>
      </c>
      <c r="M1205" s="51" t="s">
        <v>5769</v>
      </c>
      <c r="N1205" s="26" t="s">
        <v>53</v>
      </c>
      <c r="O1205" s="26" t="s">
        <v>728</v>
      </c>
      <c r="P1205" s="26">
        <v>90185</v>
      </c>
      <c r="Q1205" s="26" t="s">
        <v>55</v>
      </c>
    </row>
    <row r="1206" spans="1:17" x14ac:dyDescent="0.3">
      <c r="A1206" s="26" t="s">
        <v>5770</v>
      </c>
      <c r="B1206" s="26" t="s">
        <v>5771</v>
      </c>
      <c r="C1206" s="26" t="s">
        <v>4309</v>
      </c>
      <c r="D1206" s="26" t="s">
        <v>5772</v>
      </c>
      <c r="E1206" s="26" t="s">
        <v>761</v>
      </c>
      <c r="F1206" s="26" t="s">
        <v>3688</v>
      </c>
      <c r="G1206" s="26" t="s">
        <v>5758</v>
      </c>
      <c r="H1206" s="26" t="s">
        <v>39</v>
      </c>
      <c r="I1206" s="26" t="s">
        <v>3688</v>
      </c>
      <c r="J1206" s="11" t="str">
        <f>VLOOKUP(K1206,'PN Dictionary'!A:B,2,FALSE)</f>
        <v>GB300 L10</v>
      </c>
      <c r="K1206" s="26" t="s">
        <v>4318</v>
      </c>
      <c r="L1206" s="50" t="s">
        <v>5186</v>
      </c>
      <c r="M1206" s="51" t="s">
        <v>5773</v>
      </c>
      <c r="N1206" s="26" t="s">
        <v>53</v>
      </c>
      <c r="O1206" s="26" t="s">
        <v>728</v>
      </c>
      <c r="P1206" s="26">
        <v>90185</v>
      </c>
      <c r="Q1206" s="26" t="s">
        <v>55</v>
      </c>
    </row>
    <row r="1207" spans="1:17" x14ac:dyDescent="0.3">
      <c r="A1207" s="26" t="s">
        <v>5774</v>
      </c>
      <c r="B1207" s="26" t="s">
        <v>5775</v>
      </c>
      <c r="C1207" s="26" t="s">
        <v>4309</v>
      </c>
      <c r="D1207" s="26" t="s">
        <v>5772</v>
      </c>
      <c r="E1207" s="26" t="s">
        <v>128</v>
      </c>
      <c r="F1207" s="26" t="s">
        <v>205</v>
      </c>
      <c r="G1207" s="26" t="s">
        <v>5758</v>
      </c>
      <c r="H1207" s="26" t="s">
        <v>39</v>
      </c>
      <c r="I1207" s="26" t="s">
        <v>5776</v>
      </c>
      <c r="J1207" s="11" t="str">
        <f>VLOOKUP(K1207,'PN Dictionary'!A:B,2,FALSE)</f>
        <v>Cable Cartridge</v>
      </c>
      <c r="K1207" s="26" t="s">
        <v>6</v>
      </c>
      <c r="L1207" s="50">
        <v>2021026490528</v>
      </c>
      <c r="M1207" s="51">
        <v>1823025357233</v>
      </c>
      <c r="N1207" s="26" t="s">
        <v>53</v>
      </c>
      <c r="O1207" s="26" t="s">
        <v>728</v>
      </c>
      <c r="P1207" s="26">
        <v>1237</v>
      </c>
      <c r="Q1207" s="26" t="s">
        <v>1552</v>
      </c>
    </row>
    <row r="1208" spans="1:17" x14ac:dyDescent="0.3">
      <c r="A1208" s="26" t="s">
        <v>5777</v>
      </c>
      <c r="B1208" s="26" t="s">
        <v>5778</v>
      </c>
      <c r="C1208" s="26" t="s">
        <v>4309</v>
      </c>
      <c r="D1208" s="26" t="s">
        <v>5779</v>
      </c>
      <c r="E1208" s="26" t="s">
        <v>128</v>
      </c>
      <c r="F1208" s="26" t="s">
        <v>205</v>
      </c>
      <c r="G1208" s="26" t="s">
        <v>5758</v>
      </c>
      <c r="H1208" s="26" t="s">
        <v>39</v>
      </c>
      <c r="I1208" s="26" t="s">
        <v>5780</v>
      </c>
      <c r="J1208" s="11" t="str">
        <f>VLOOKUP(K1208,'PN Dictionary'!A:B,2,FALSE)</f>
        <v>Cable Cartridge</v>
      </c>
      <c r="K1208" s="26" t="s">
        <v>6</v>
      </c>
      <c r="L1208" s="50">
        <v>2021026490594</v>
      </c>
      <c r="M1208" s="51">
        <v>2021026490545</v>
      </c>
      <c r="N1208" s="26" t="s">
        <v>53</v>
      </c>
      <c r="O1208" s="26" t="s">
        <v>728</v>
      </c>
      <c r="P1208" s="26">
        <v>2984</v>
      </c>
      <c r="Q1208" s="26" t="s">
        <v>55</v>
      </c>
    </row>
    <row r="1209" spans="1:17" x14ac:dyDescent="0.3">
      <c r="A1209" s="26" t="s">
        <v>5781</v>
      </c>
      <c r="B1209" s="26" t="s">
        <v>5782</v>
      </c>
      <c r="C1209" s="26" t="s">
        <v>4309</v>
      </c>
      <c r="D1209" s="26" t="s">
        <v>5783</v>
      </c>
      <c r="E1209" s="26" t="s">
        <v>128</v>
      </c>
      <c r="F1209" s="26" t="s">
        <v>205</v>
      </c>
      <c r="G1209" s="26" t="s">
        <v>5758</v>
      </c>
      <c r="H1209" s="26" t="s">
        <v>39</v>
      </c>
      <c r="I1209" s="26" t="s">
        <v>5784</v>
      </c>
      <c r="J1209" s="11" t="str">
        <f>VLOOKUP(K1209,'PN Dictionary'!A:B,2,FALSE)</f>
        <v>Cable Cartridge</v>
      </c>
      <c r="K1209" s="26" t="s">
        <v>6</v>
      </c>
      <c r="L1209" s="50">
        <v>2021026490464</v>
      </c>
      <c r="M1209" s="51">
        <v>2021026491028</v>
      </c>
      <c r="N1209" s="26" t="s">
        <v>53</v>
      </c>
      <c r="O1209" s="26" t="s">
        <v>728</v>
      </c>
      <c r="P1209" s="26">
        <v>2984</v>
      </c>
      <c r="Q1209" s="26" t="s">
        <v>55</v>
      </c>
    </row>
    <row r="1210" spans="1:17" x14ac:dyDescent="0.3">
      <c r="A1210" s="26" t="s">
        <v>5785</v>
      </c>
      <c r="B1210" s="26" t="s">
        <v>5786</v>
      </c>
      <c r="C1210" s="26" t="s">
        <v>4309</v>
      </c>
      <c r="D1210" s="26" t="s">
        <v>5787</v>
      </c>
      <c r="E1210" s="26" t="s">
        <v>81</v>
      </c>
      <c r="F1210" s="26" t="s">
        <v>522</v>
      </c>
      <c r="G1210" s="26" t="s">
        <v>5758</v>
      </c>
      <c r="H1210" s="26" t="s">
        <v>39</v>
      </c>
      <c r="I1210" s="26" t="s">
        <v>5788</v>
      </c>
      <c r="J1210" s="11" t="str">
        <f>VLOOKUP(K1210,'PN Dictionary'!A:B,2,FALSE)</f>
        <v>GB300 L10</v>
      </c>
      <c r="K1210" s="26" t="s">
        <v>4318</v>
      </c>
      <c r="L1210" s="26" t="s">
        <v>5134</v>
      </c>
      <c r="M1210" s="50" t="s">
        <v>5789</v>
      </c>
      <c r="N1210" s="51" t="s">
        <v>53</v>
      </c>
      <c r="O1210" s="26" t="s">
        <v>728</v>
      </c>
      <c r="P1210" s="26">
        <v>90131</v>
      </c>
      <c r="Q1210" s="26" t="s">
        <v>55</v>
      </c>
    </row>
    <row r="1211" spans="1:17" x14ac:dyDescent="0.3">
      <c r="A1211" s="26" t="s">
        <v>5790</v>
      </c>
      <c r="B1211" s="26" t="s">
        <v>5791</v>
      </c>
      <c r="C1211" s="26" t="s">
        <v>4309</v>
      </c>
      <c r="D1211" s="26" t="s">
        <v>5772</v>
      </c>
      <c r="E1211" s="26" t="s">
        <v>761</v>
      </c>
      <c r="F1211" s="26" t="s">
        <v>3688</v>
      </c>
      <c r="G1211" s="26" t="s">
        <v>5758</v>
      </c>
      <c r="H1211" s="26" t="s">
        <v>39</v>
      </c>
      <c r="I1211" s="26" t="s">
        <v>1190</v>
      </c>
      <c r="J1211" s="11" t="str">
        <f>VLOOKUP(K1211,'PN Dictionary'!A:B,2,FALSE)</f>
        <v>GB300 L10</v>
      </c>
      <c r="K1211" s="26" t="s">
        <v>4318</v>
      </c>
      <c r="L1211" s="26" t="s">
        <v>4796</v>
      </c>
      <c r="M1211" s="50" t="s">
        <v>5792</v>
      </c>
      <c r="N1211" s="51" t="s">
        <v>53</v>
      </c>
      <c r="O1211" s="26" t="s">
        <v>728</v>
      </c>
      <c r="P1211" s="26">
        <v>90185</v>
      </c>
      <c r="Q1211" s="26" t="s">
        <v>55</v>
      </c>
    </row>
    <row r="1212" spans="1:17" x14ac:dyDescent="0.3">
      <c r="A1212" s="26" t="s">
        <v>5793</v>
      </c>
      <c r="B1212" s="26" t="s">
        <v>5794</v>
      </c>
      <c r="C1212" s="26" t="s">
        <v>4309</v>
      </c>
      <c r="D1212" s="26" t="s">
        <v>5772</v>
      </c>
      <c r="E1212" s="26" t="s">
        <v>761</v>
      </c>
      <c r="F1212" s="26" t="s">
        <v>3688</v>
      </c>
      <c r="G1212" s="26" t="s">
        <v>5758</v>
      </c>
      <c r="H1212" s="26" t="s">
        <v>39</v>
      </c>
      <c r="I1212" s="26" t="s">
        <v>1190</v>
      </c>
      <c r="J1212" s="11" t="str">
        <f>VLOOKUP(K1212,'PN Dictionary'!A:B,2,FALSE)</f>
        <v>GB300 L10</v>
      </c>
      <c r="K1212" s="26" t="s">
        <v>4318</v>
      </c>
      <c r="L1212" s="26" t="s">
        <v>4769</v>
      </c>
      <c r="M1212" s="50" t="s">
        <v>5795</v>
      </c>
      <c r="N1212" s="51" t="s">
        <v>53</v>
      </c>
      <c r="O1212" s="26" t="s">
        <v>728</v>
      </c>
      <c r="P1212" s="26">
        <v>90185</v>
      </c>
      <c r="Q1212" s="26" t="s">
        <v>55</v>
      </c>
    </row>
    <row r="1213" spans="1:17" x14ac:dyDescent="0.3">
      <c r="A1213" s="26" t="s">
        <v>5796</v>
      </c>
      <c r="B1213" s="26" t="s">
        <v>5797</v>
      </c>
      <c r="C1213" s="26" t="s">
        <v>4309</v>
      </c>
      <c r="D1213" s="26" t="s">
        <v>5763</v>
      </c>
      <c r="E1213" s="26" t="s">
        <v>633</v>
      </c>
      <c r="F1213" s="26" t="s">
        <v>1796</v>
      </c>
      <c r="G1213" s="26" t="s">
        <v>5758</v>
      </c>
      <c r="H1213" s="26" t="s">
        <v>39</v>
      </c>
      <c r="I1213" s="26" t="s">
        <v>1796</v>
      </c>
      <c r="J1213" s="11" t="str">
        <f>VLOOKUP(K1213,'PN Dictionary'!A:B,2,FALSE)</f>
        <v>GB300 L10</v>
      </c>
      <c r="K1213" s="26" t="s">
        <v>4318</v>
      </c>
      <c r="L1213" s="26" t="s">
        <v>5798</v>
      </c>
      <c r="M1213" s="50" t="s">
        <v>5799</v>
      </c>
      <c r="N1213" s="51" t="s">
        <v>53</v>
      </c>
      <c r="O1213" s="26" t="s">
        <v>728</v>
      </c>
      <c r="P1213" s="26">
        <v>90185</v>
      </c>
      <c r="Q1213" s="26" t="s">
        <v>55</v>
      </c>
    </row>
    <row r="1214" spans="1:17" x14ac:dyDescent="0.3">
      <c r="A1214" s="26" t="s">
        <v>5800</v>
      </c>
      <c r="B1214" s="26" t="s">
        <v>5801</v>
      </c>
      <c r="C1214" s="26" t="s">
        <v>4309</v>
      </c>
      <c r="D1214" s="26" t="s">
        <v>5723</v>
      </c>
      <c r="E1214" s="26" t="s">
        <v>411</v>
      </c>
      <c r="F1214" s="26" t="s">
        <v>597</v>
      </c>
      <c r="G1214" s="26" t="s">
        <v>5758</v>
      </c>
      <c r="H1214" s="26" t="s">
        <v>39</v>
      </c>
      <c r="I1214" s="26" t="s">
        <v>5802</v>
      </c>
      <c r="J1214" s="11" t="str">
        <f>VLOOKUP(K1214,'PN Dictionary'!A:B,2,FALSE)</f>
        <v>NVSwitch</v>
      </c>
      <c r="K1214" s="26" t="s">
        <v>7</v>
      </c>
      <c r="L1214" s="26" t="s">
        <v>5803</v>
      </c>
      <c r="M1214" s="50" t="s">
        <v>5804</v>
      </c>
      <c r="N1214" s="51" t="s">
        <v>53</v>
      </c>
      <c r="O1214" s="26" t="s">
        <v>728</v>
      </c>
      <c r="P1214" s="26">
        <v>90160</v>
      </c>
      <c r="Q1214" s="26" t="s">
        <v>55</v>
      </c>
    </row>
    <row r="1215" spans="1:17" x14ac:dyDescent="0.3">
      <c r="A1215" s="26" t="s">
        <v>5805</v>
      </c>
      <c r="B1215" s="26" t="s">
        <v>5806</v>
      </c>
      <c r="C1215" s="26" t="s">
        <v>4309</v>
      </c>
      <c r="D1215" s="26" t="s">
        <v>5807</v>
      </c>
      <c r="E1215" s="26" t="s">
        <v>761</v>
      </c>
      <c r="F1215" s="26" t="s">
        <v>3688</v>
      </c>
      <c r="G1215" s="26" t="s">
        <v>5758</v>
      </c>
      <c r="H1215" s="26" t="s">
        <v>39</v>
      </c>
      <c r="I1215" s="26" t="s">
        <v>1163</v>
      </c>
      <c r="J1215" s="11" t="str">
        <f>VLOOKUP(K1215,'PN Dictionary'!A:B,2,FALSE)</f>
        <v>GB300 L10</v>
      </c>
      <c r="K1215" s="26" t="s">
        <v>4318</v>
      </c>
      <c r="L1215" s="26" t="s">
        <v>5808</v>
      </c>
      <c r="M1215" s="50" t="s">
        <v>5809</v>
      </c>
      <c r="N1215" s="51" t="s">
        <v>53</v>
      </c>
      <c r="O1215" s="26" t="s">
        <v>728</v>
      </c>
      <c r="P1215" s="26">
        <v>90160</v>
      </c>
      <c r="Q1215" s="26" t="s">
        <v>55</v>
      </c>
    </row>
    <row r="1216" spans="1:17" x14ac:dyDescent="0.3">
      <c r="A1216" s="26" t="s">
        <v>5810</v>
      </c>
      <c r="B1216" s="26" t="s">
        <v>5811</v>
      </c>
      <c r="C1216" s="26" t="s">
        <v>4309</v>
      </c>
      <c r="D1216" s="26" t="s">
        <v>5812</v>
      </c>
      <c r="E1216" s="26" t="s">
        <v>761</v>
      </c>
      <c r="F1216" s="26" t="s">
        <v>3688</v>
      </c>
      <c r="G1216" s="26" t="s">
        <v>5758</v>
      </c>
      <c r="H1216" s="26" t="s">
        <v>39</v>
      </c>
      <c r="I1216" s="26" t="s">
        <v>1163</v>
      </c>
      <c r="J1216" s="11" t="str">
        <f>VLOOKUP(K1216,'PN Dictionary'!A:B,2,FALSE)</f>
        <v>GB300 L10</v>
      </c>
      <c r="K1216" s="26" t="s">
        <v>4318</v>
      </c>
      <c r="L1216" s="26" t="s">
        <v>5813</v>
      </c>
      <c r="M1216" s="50" t="s">
        <v>5814</v>
      </c>
      <c r="N1216" s="51" t="s">
        <v>53</v>
      </c>
      <c r="O1216" s="26" t="s">
        <v>728</v>
      </c>
      <c r="P1216" s="26">
        <v>90160</v>
      </c>
      <c r="Q1216" s="26" t="s">
        <v>55</v>
      </c>
    </row>
    <row r="1217" spans="1:17" x14ac:dyDescent="0.3">
      <c r="A1217" s="26" t="s">
        <v>5815</v>
      </c>
      <c r="B1217" s="26" t="s">
        <v>5816</v>
      </c>
      <c r="C1217" s="26" t="s">
        <v>4309</v>
      </c>
      <c r="D1217" s="26" t="s">
        <v>5687</v>
      </c>
      <c r="E1217" s="26" t="s">
        <v>411</v>
      </c>
      <c r="F1217" s="26" t="s">
        <v>597</v>
      </c>
      <c r="G1217" s="26" t="s">
        <v>5817</v>
      </c>
      <c r="H1217" s="26" t="s">
        <v>39</v>
      </c>
      <c r="I1217" s="26" t="s">
        <v>3550</v>
      </c>
      <c r="J1217" s="11" t="str">
        <f>VLOOKUP(K1217,'PN Dictionary'!A:B,2,FALSE)</f>
        <v>NVSwitch</v>
      </c>
      <c r="K1217" s="26" t="s">
        <v>7</v>
      </c>
      <c r="L1217" s="26" t="s">
        <v>5818</v>
      </c>
      <c r="M1217" s="50" t="s">
        <v>5819</v>
      </c>
      <c r="N1217" s="51" t="s">
        <v>53</v>
      </c>
      <c r="O1217" s="26" t="s">
        <v>728</v>
      </c>
      <c r="P1217" s="26">
        <v>90160</v>
      </c>
      <c r="Q1217" s="26" t="s">
        <v>55</v>
      </c>
    </row>
    <row r="1218" spans="1:17" x14ac:dyDescent="0.3">
      <c r="A1218" s="26" t="s">
        <v>5820</v>
      </c>
      <c r="B1218" s="26" t="s">
        <v>5821</v>
      </c>
      <c r="C1218" s="26" t="s">
        <v>4309</v>
      </c>
      <c r="D1218" s="26" t="s">
        <v>5822</v>
      </c>
      <c r="E1218" s="26" t="s">
        <v>761</v>
      </c>
      <c r="F1218" s="26" t="s">
        <v>3688</v>
      </c>
      <c r="G1218" s="26" t="s">
        <v>5817</v>
      </c>
      <c r="H1218" s="26" t="s">
        <v>39</v>
      </c>
      <c r="I1218" s="26" t="s">
        <v>1163</v>
      </c>
      <c r="J1218" s="11" t="str">
        <f>VLOOKUP(K1218,'PN Dictionary'!A:B,2,FALSE)</f>
        <v>GB300 L10</v>
      </c>
      <c r="K1218" s="26" t="s">
        <v>4318</v>
      </c>
      <c r="L1218" s="26" t="s">
        <v>5823</v>
      </c>
      <c r="M1218" s="50" t="s">
        <v>5824</v>
      </c>
      <c r="N1218" s="51" t="s">
        <v>53</v>
      </c>
      <c r="O1218" s="26" t="s">
        <v>728</v>
      </c>
      <c r="P1218" s="26">
        <v>90160</v>
      </c>
      <c r="Q1218" s="26" t="s">
        <v>55</v>
      </c>
    </row>
    <row r="1219" spans="1:17" x14ac:dyDescent="0.3">
      <c r="A1219" s="26" t="s">
        <v>5825</v>
      </c>
      <c r="B1219" s="26" t="s">
        <v>5826</v>
      </c>
      <c r="C1219" s="26" t="s">
        <v>4309</v>
      </c>
      <c r="D1219" s="26" t="s">
        <v>5738</v>
      </c>
      <c r="E1219" s="26" t="s">
        <v>761</v>
      </c>
      <c r="F1219" s="26" t="s">
        <v>3688</v>
      </c>
      <c r="G1219" s="26" t="s">
        <v>5817</v>
      </c>
      <c r="H1219" s="26" t="s">
        <v>39</v>
      </c>
      <c r="I1219" s="26" t="s">
        <v>1163</v>
      </c>
      <c r="J1219" s="11" t="str">
        <f>VLOOKUP(K1219,'PN Dictionary'!A:B,2,FALSE)</f>
        <v>GB300 L10</v>
      </c>
      <c r="K1219" s="26" t="s">
        <v>4318</v>
      </c>
      <c r="L1219" s="26" t="s">
        <v>5827</v>
      </c>
      <c r="M1219" s="50" t="s">
        <v>5828</v>
      </c>
      <c r="N1219" s="51" t="s">
        <v>53</v>
      </c>
      <c r="O1219" s="26" t="s">
        <v>728</v>
      </c>
      <c r="P1219" s="26">
        <v>90160</v>
      </c>
      <c r="Q1219" s="26" t="s">
        <v>55</v>
      </c>
    </row>
    <row r="1220" spans="1:17" x14ac:dyDescent="0.3">
      <c r="A1220" s="26" t="s">
        <v>5829</v>
      </c>
      <c r="B1220" s="26" t="s">
        <v>5830</v>
      </c>
      <c r="C1220" s="26" t="s">
        <v>4309</v>
      </c>
      <c r="D1220" s="26" t="s">
        <v>5668</v>
      </c>
      <c r="E1220" s="26" t="s">
        <v>761</v>
      </c>
      <c r="F1220" s="26" t="s">
        <v>3688</v>
      </c>
      <c r="G1220" s="26" t="s">
        <v>5817</v>
      </c>
      <c r="H1220" s="26" t="s">
        <v>39</v>
      </c>
      <c r="I1220" s="26" t="s">
        <v>1163</v>
      </c>
      <c r="J1220" s="11" t="str">
        <f>VLOOKUP(K1220,'PN Dictionary'!A:B,2,FALSE)</f>
        <v>GB300 L10</v>
      </c>
      <c r="K1220" s="26" t="s">
        <v>4318</v>
      </c>
      <c r="L1220" s="26" t="s">
        <v>5831</v>
      </c>
      <c r="M1220" s="50" t="s">
        <v>5832</v>
      </c>
      <c r="N1220" s="51" t="s">
        <v>53</v>
      </c>
      <c r="O1220" s="26" t="s">
        <v>728</v>
      </c>
      <c r="P1220" s="26">
        <v>90160</v>
      </c>
      <c r="Q1220" s="26" t="s">
        <v>55</v>
      </c>
    </row>
    <row r="1221" spans="1:17" x14ac:dyDescent="0.3">
      <c r="A1221" s="26" t="s">
        <v>5833</v>
      </c>
      <c r="B1221" s="26" t="s">
        <v>5834</v>
      </c>
      <c r="C1221" s="26" t="s">
        <v>4309</v>
      </c>
      <c r="D1221" s="26" t="s">
        <v>5807</v>
      </c>
      <c r="E1221" s="26" t="s">
        <v>761</v>
      </c>
      <c r="F1221" s="26" t="s">
        <v>3688</v>
      </c>
      <c r="G1221" s="26" t="s">
        <v>5817</v>
      </c>
      <c r="H1221" s="26" t="s">
        <v>39</v>
      </c>
      <c r="I1221" s="26" t="s">
        <v>1163</v>
      </c>
      <c r="J1221" s="11" t="str">
        <f>VLOOKUP(K1221,'PN Dictionary'!A:B,2,FALSE)</f>
        <v>GB300 L10</v>
      </c>
      <c r="K1221" s="26" t="s">
        <v>4318</v>
      </c>
      <c r="L1221" s="26" t="s">
        <v>5835</v>
      </c>
      <c r="M1221" s="50" t="s">
        <v>5612</v>
      </c>
      <c r="N1221" s="51" t="s">
        <v>53</v>
      </c>
      <c r="O1221" s="26" t="s">
        <v>728</v>
      </c>
      <c r="P1221" s="26">
        <v>90160</v>
      </c>
      <c r="Q1221" s="26" t="s">
        <v>55</v>
      </c>
    </row>
    <row r="1222" spans="1:17" x14ac:dyDescent="0.3">
      <c r="A1222" s="26" t="s">
        <v>5836</v>
      </c>
      <c r="B1222" s="26" t="s">
        <v>5837</v>
      </c>
      <c r="C1222" s="26" t="s">
        <v>4309</v>
      </c>
      <c r="D1222" s="26" t="s">
        <v>5838</v>
      </c>
      <c r="E1222" s="26" t="s">
        <v>4587</v>
      </c>
      <c r="F1222" s="26" t="s">
        <v>4588</v>
      </c>
      <c r="G1222" s="26" t="s">
        <v>5817</v>
      </c>
      <c r="H1222" s="26" t="s">
        <v>39</v>
      </c>
      <c r="I1222" s="26" t="s">
        <v>93</v>
      </c>
      <c r="J1222" s="11" t="str">
        <f>VLOOKUP(K1222,'PN Dictionary'!A:B,2,FALSE)</f>
        <v>GB300 L10</v>
      </c>
      <c r="K1222" s="26" t="s">
        <v>4318</v>
      </c>
      <c r="L1222" s="26" t="s">
        <v>5839</v>
      </c>
      <c r="M1222" s="50" t="s">
        <v>5840</v>
      </c>
      <c r="N1222" s="51" t="s">
        <v>53</v>
      </c>
      <c r="O1222" s="26" t="s">
        <v>728</v>
      </c>
      <c r="P1222" s="26">
        <v>3908</v>
      </c>
      <c r="Q1222" s="26" t="s">
        <v>55</v>
      </c>
    </row>
    <row r="1223" spans="1:17" x14ac:dyDescent="0.3">
      <c r="A1223" s="26" t="s">
        <v>5841</v>
      </c>
      <c r="B1223" s="26" t="s">
        <v>5842</v>
      </c>
      <c r="C1223" s="26" t="s">
        <v>4309</v>
      </c>
      <c r="D1223" s="26" t="s">
        <v>5843</v>
      </c>
      <c r="E1223" s="26" t="s">
        <v>4538</v>
      </c>
      <c r="F1223" s="26" t="s">
        <v>4539</v>
      </c>
      <c r="G1223" s="26" t="s">
        <v>5817</v>
      </c>
      <c r="H1223" s="26" t="s">
        <v>39</v>
      </c>
      <c r="I1223" s="26" t="s">
        <v>5844</v>
      </c>
      <c r="J1223" s="11" t="str">
        <f>VLOOKUP(K1223,'PN Dictionary'!A:B,2,FALSE)</f>
        <v>GB300 L10</v>
      </c>
      <c r="K1223" s="26" t="s">
        <v>4318</v>
      </c>
      <c r="L1223" s="26" t="s">
        <v>5845</v>
      </c>
      <c r="M1223" s="50" t="s">
        <v>5846</v>
      </c>
      <c r="N1223" s="51" t="s">
        <v>53</v>
      </c>
      <c r="O1223" s="26" t="s">
        <v>728</v>
      </c>
      <c r="P1223" s="26">
        <v>90160</v>
      </c>
      <c r="Q1223" s="26" t="s">
        <v>55</v>
      </c>
    </row>
    <row r="1224" spans="1:17" x14ac:dyDescent="0.3">
      <c r="A1224" s="26" t="s">
        <v>5847</v>
      </c>
      <c r="B1224" s="26" t="s">
        <v>5848</v>
      </c>
      <c r="C1224" s="26" t="s">
        <v>4309</v>
      </c>
      <c r="D1224" s="26" t="s">
        <v>5849</v>
      </c>
      <c r="E1224" s="26" t="s">
        <v>128</v>
      </c>
      <c r="F1224" s="26" t="s">
        <v>205</v>
      </c>
      <c r="G1224" s="26" t="s">
        <v>5817</v>
      </c>
      <c r="H1224" s="26" t="s">
        <v>39</v>
      </c>
      <c r="I1224" s="26" t="s">
        <v>5850</v>
      </c>
      <c r="J1224" s="11" t="str">
        <f>VLOOKUP(K1224,'PN Dictionary'!A:B,2,FALSE)</f>
        <v>Cable Cartridge</v>
      </c>
      <c r="K1224" s="26" t="s">
        <v>6</v>
      </c>
      <c r="L1224" s="26">
        <v>2020726350571</v>
      </c>
      <c r="M1224" s="50">
        <v>2021026491020</v>
      </c>
      <c r="N1224" s="51" t="s">
        <v>53</v>
      </c>
      <c r="O1224" s="26" t="s">
        <v>728</v>
      </c>
      <c r="P1224" s="26">
        <v>2984</v>
      </c>
      <c r="Q1224" s="26" t="s">
        <v>55</v>
      </c>
    </row>
    <row r="1225" spans="1:17" x14ac:dyDescent="0.3">
      <c r="A1225" s="26" t="s">
        <v>5856</v>
      </c>
      <c r="B1225" s="26" t="s">
        <v>5857</v>
      </c>
      <c r="C1225" s="26" t="s">
        <v>4309</v>
      </c>
      <c r="D1225" s="26" t="s">
        <v>5783</v>
      </c>
      <c r="E1225" s="26" t="s">
        <v>128</v>
      </c>
      <c r="F1225" s="26" t="s">
        <v>205</v>
      </c>
      <c r="G1225" s="26" t="s">
        <v>5817</v>
      </c>
      <c r="H1225" s="26" t="s">
        <v>39</v>
      </c>
      <c r="I1225" s="26" t="s">
        <v>4887</v>
      </c>
      <c r="J1225" s="11" t="str">
        <f>VLOOKUP(K1225,'PN Dictionary'!A:B,2,FALSE)</f>
        <v>NVSwitch</v>
      </c>
      <c r="K1225" s="11" t="s">
        <v>7</v>
      </c>
      <c r="L1225" s="26" t="s">
        <v>5858</v>
      </c>
      <c r="M1225" s="26" t="s">
        <v>5859</v>
      </c>
      <c r="N1225" s="50" t="s">
        <v>53</v>
      </c>
      <c r="O1225" s="51" t="s">
        <v>728</v>
      </c>
      <c r="P1225" s="26">
        <v>2984</v>
      </c>
      <c r="Q1225" s="26" t="s">
        <v>55</v>
      </c>
    </row>
    <row r="1226" spans="1:17" x14ac:dyDescent="0.3">
      <c r="A1226" s="26" t="s">
        <v>5851</v>
      </c>
      <c r="B1226" s="26" t="s">
        <v>5852</v>
      </c>
      <c r="C1226" s="26" t="s">
        <v>4309</v>
      </c>
      <c r="D1226" s="26" t="s">
        <v>5853</v>
      </c>
      <c r="E1226" s="26" t="s">
        <v>3881</v>
      </c>
      <c r="F1226" s="26" t="s">
        <v>3882</v>
      </c>
      <c r="G1226" s="26" t="s">
        <v>5817</v>
      </c>
      <c r="H1226" s="26" t="s">
        <v>39</v>
      </c>
      <c r="I1226" s="26" t="s">
        <v>3882</v>
      </c>
      <c r="J1226" s="11" t="str">
        <f>VLOOKUP(K1226,'PN Dictionary'!A:B,2,FALSE)</f>
        <v>GB300 L10</v>
      </c>
      <c r="K1226" s="26" t="s">
        <v>4318</v>
      </c>
      <c r="L1226" s="26" t="s">
        <v>5854</v>
      </c>
      <c r="M1226" s="50" t="s">
        <v>5855</v>
      </c>
      <c r="N1226" s="51" t="s">
        <v>53</v>
      </c>
      <c r="O1226" s="26" t="s">
        <v>728</v>
      </c>
      <c r="P1226" s="26">
        <v>3908</v>
      </c>
      <c r="Q1226" s="26" t="s">
        <v>55</v>
      </c>
    </row>
    <row r="1227" spans="1:17" hidden="1" x14ac:dyDescent="0.3">
      <c r="A1227" s="26" t="s">
        <v>5984</v>
      </c>
      <c r="B1227" s="26" t="s">
        <v>5985</v>
      </c>
      <c r="C1227" s="26" t="s">
        <v>5638</v>
      </c>
      <c r="D1227" s="26" t="s">
        <v>5986</v>
      </c>
      <c r="E1227" s="26" t="s">
        <v>3122</v>
      </c>
      <c r="F1227" s="26" t="s">
        <v>3694</v>
      </c>
      <c r="G1227" s="26" t="s">
        <v>5817</v>
      </c>
      <c r="H1227" s="26" t="s">
        <v>39</v>
      </c>
      <c r="I1227" s="26" t="s">
        <v>3694</v>
      </c>
      <c r="J1227" s="11" t="str">
        <f>VLOOKUP(K1227,'PN Dictionary'!A:B,2,FALSE)</f>
        <v>Cable Cartridge</v>
      </c>
      <c r="K1227" s="26" t="s">
        <v>6</v>
      </c>
      <c r="L1227" s="26">
        <v>2020726351387</v>
      </c>
      <c r="M1227" s="50">
        <v>1823225350165</v>
      </c>
      <c r="N1227" s="51" t="s">
        <v>53</v>
      </c>
      <c r="O1227" s="26" t="s">
        <v>728</v>
      </c>
      <c r="P1227" s="26">
        <v>90131</v>
      </c>
      <c r="Q1227" s="26" t="s">
        <v>55</v>
      </c>
    </row>
    <row r="1228" spans="1:17" x14ac:dyDescent="0.3">
      <c r="A1228" s="26" t="s">
        <v>5860</v>
      </c>
      <c r="B1228" s="26" t="s">
        <v>5861</v>
      </c>
      <c r="C1228" s="26" t="s">
        <v>4309</v>
      </c>
      <c r="D1228" s="26" t="s">
        <v>5862</v>
      </c>
      <c r="E1228" s="26" t="s">
        <v>761</v>
      </c>
      <c r="F1228" s="26" t="s">
        <v>3688</v>
      </c>
      <c r="G1228" s="26" t="s">
        <v>5817</v>
      </c>
      <c r="H1228" s="26" t="s">
        <v>39</v>
      </c>
      <c r="I1228" s="26" t="s">
        <v>3688</v>
      </c>
      <c r="J1228" s="11" t="str">
        <f>VLOOKUP(K1228,'PN Dictionary'!A:B,2,FALSE)</f>
        <v>GB300 L10</v>
      </c>
      <c r="K1228" s="26" t="s">
        <v>4318</v>
      </c>
      <c r="L1228" s="26" t="s">
        <v>4943</v>
      </c>
      <c r="M1228" s="50" t="s">
        <v>5863</v>
      </c>
      <c r="N1228" s="51" t="s">
        <v>53</v>
      </c>
      <c r="O1228" s="26" t="s">
        <v>728</v>
      </c>
      <c r="P1228" s="26">
        <v>90185</v>
      </c>
      <c r="Q1228" s="26" t="s">
        <v>55</v>
      </c>
    </row>
    <row r="1229" spans="1:17" x14ac:dyDescent="0.3">
      <c r="A1229" s="26" t="s">
        <v>5864</v>
      </c>
      <c r="B1229" s="26" t="s">
        <v>5865</v>
      </c>
      <c r="C1229" s="26" t="s">
        <v>4309</v>
      </c>
      <c r="D1229" s="26" t="s">
        <v>5866</v>
      </c>
      <c r="E1229" s="26" t="s">
        <v>3881</v>
      </c>
      <c r="F1229" s="26" t="s">
        <v>3882</v>
      </c>
      <c r="G1229" s="26" t="s">
        <v>5817</v>
      </c>
      <c r="H1229" s="26" t="s">
        <v>39</v>
      </c>
      <c r="I1229" s="26" t="s">
        <v>5867</v>
      </c>
      <c r="J1229" s="11" t="str">
        <f>VLOOKUP(K1229,'PN Dictionary'!A:B,2,FALSE)</f>
        <v>GB300 L10</v>
      </c>
      <c r="K1229" s="26" t="s">
        <v>4318</v>
      </c>
      <c r="L1229" s="26" t="s">
        <v>5868</v>
      </c>
      <c r="M1229" s="50" t="s">
        <v>5869</v>
      </c>
      <c r="N1229" s="51" t="s">
        <v>53</v>
      </c>
      <c r="O1229" s="26" t="s">
        <v>728</v>
      </c>
      <c r="P1229" s="26">
        <v>90185</v>
      </c>
      <c r="Q1229" s="26" t="s">
        <v>55</v>
      </c>
    </row>
    <row r="1230" spans="1:17" x14ac:dyDescent="0.3">
      <c r="A1230" s="26" t="s">
        <v>5870</v>
      </c>
      <c r="B1230" s="26" t="s">
        <v>5871</v>
      </c>
      <c r="C1230" s="26" t="s">
        <v>4309</v>
      </c>
      <c r="D1230" s="26" t="s">
        <v>5872</v>
      </c>
      <c r="E1230" s="26" t="s">
        <v>230</v>
      </c>
      <c r="F1230" s="26" t="s">
        <v>238</v>
      </c>
      <c r="G1230" s="26" t="s">
        <v>5873</v>
      </c>
      <c r="H1230" s="26" t="s">
        <v>39</v>
      </c>
      <c r="I1230" s="26" t="s">
        <v>5874</v>
      </c>
      <c r="J1230" s="11" t="str">
        <f>VLOOKUP(K1230,'PN Dictionary'!A:B,2,FALSE)</f>
        <v>NVSwitch</v>
      </c>
      <c r="K1230" s="26" t="s">
        <v>7</v>
      </c>
      <c r="L1230" s="26" t="s">
        <v>5875</v>
      </c>
      <c r="M1230" s="50" t="s">
        <v>5876</v>
      </c>
      <c r="N1230" s="51" t="s">
        <v>53</v>
      </c>
      <c r="O1230" s="26" t="s">
        <v>728</v>
      </c>
      <c r="P1230" s="26">
        <v>90036</v>
      </c>
      <c r="Q1230" s="26" t="s">
        <v>55</v>
      </c>
    </row>
    <row r="1231" spans="1:17" x14ac:dyDescent="0.3">
      <c r="A1231" s="26" t="s">
        <v>5877</v>
      </c>
      <c r="B1231" s="26" t="s">
        <v>5878</v>
      </c>
      <c r="C1231" s="26" t="s">
        <v>4309</v>
      </c>
      <c r="D1231" s="26" t="s">
        <v>5879</v>
      </c>
      <c r="E1231" s="26" t="s">
        <v>3881</v>
      </c>
      <c r="F1231" s="26" t="s">
        <v>3882</v>
      </c>
      <c r="G1231" s="26" t="s">
        <v>5873</v>
      </c>
      <c r="H1231" s="26" t="s">
        <v>39</v>
      </c>
      <c r="I1231" s="26" t="s">
        <v>5880</v>
      </c>
      <c r="J1231" s="11" t="str">
        <f>VLOOKUP(K1231,'PN Dictionary'!A:B,2,FALSE)</f>
        <v>GB300 L10</v>
      </c>
      <c r="K1231" s="26" t="s">
        <v>4318</v>
      </c>
      <c r="L1231" s="26" t="s">
        <v>5881</v>
      </c>
      <c r="M1231" s="50" t="s">
        <v>5882</v>
      </c>
      <c r="N1231" s="51" t="s">
        <v>53</v>
      </c>
      <c r="O1231" s="26" t="s">
        <v>728</v>
      </c>
      <c r="P1231" s="26">
        <v>90036</v>
      </c>
      <c r="Q1231" s="26" t="s">
        <v>55</v>
      </c>
    </row>
    <row r="1232" spans="1:17" hidden="1" x14ac:dyDescent="0.3">
      <c r="A1232" s="26" t="s">
        <v>5987</v>
      </c>
      <c r="B1232" s="26" t="s">
        <v>5988</v>
      </c>
      <c r="C1232" s="26" t="s">
        <v>5638</v>
      </c>
      <c r="D1232" s="26" t="s">
        <v>5986</v>
      </c>
      <c r="E1232" s="26" t="s">
        <v>4899</v>
      </c>
      <c r="F1232" s="26" t="s">
        <v>4900</v>
      </c>
      <c r="G1232" s="26" t="s">
        <v>5873</v>
      </c>
      <c r="H1232" s="26" t="s">
        <v>39</v>
      </c>
      <c r="I1232" s="26" t="s">
        <v>4900</v>
      </c>
      <c r="J1232" s="11" t="str">
        <f>VLOOKUP(K1232,'PN Dictionary'!A:B,2,FALSE)</f>
        <v>GB300 L10</v>
      </c>
      <c r="K1232" s="26" t="s">
        <v>5640</v>
      </c>
      <c r="L1232" s="26" t="s">
        <v>5989</v>
      </c>
      <c r="M1232" s="50" t="s">
        <v>5904</v>
      </c>
      <c r="N1232" s="51" t="s">
        <v>53</v>
      </c>
      <c r="O1232" s="26" t="s">
        <v>728</v>
      </c>
      <c r="P1232" s="26">
        <v>3908</v>
      </c>
      <c r="Q1232" s="26" t="s">
        <v>55</v>
      </c>
    </row>
    <row r="1233" spans="1:17" x14ac:dyDescent="0.3">
      <c r="A1233" s="26" t="s">
        <v>5883</v>
      </c>
      <c r="B1233" s="26" t="s">
        <v>5884</v>
      </c>
      <c r="C1233" s="26" t="s">
        <v>4309</v>
      </c>
      <c r="D1233" s="26" t="s">
        <v>5743</v>
      </c>
      <c r="E1233" s="26" t="s">
        <v>4899</v>
      </c>
      <c r="F1233" s="26" t="s">
        <v>4900</v>
      </c>
      <c r="G1233" s="26" t="s">
        <v>5873</v>
      </c>
      <c r="H1233" s="26" t="s">
        <v>39</v>
      </c>
      <c r="I1233" s="26" t="s">
        <v>5885</v>
      </c>
      <c r="J1233" s="11" t="str">
        <f>VLOOKUP(K1233,'PN Dictionary'!A:B,2,FALSE)</f>
        <v>GB300 L10</v>
      </c>
      <c r="K1233" s="26" t="s">
        <v>4318</v>
      </c>
      <c r="L1233" s="26" t="s">
        <v>5886</v>
      </c>
      <c r="M1233" s="50" t="s">
        <v>5887</v>
      </c>
      <c r="N1233" s="51" t="s">
        <v>53</v>
      </c>
      <c r="O1233" s="26" t="s">
        <v>728</v>
      </c>
      <c r="P1233" s="26">
        <v>90185</v>
      </c>
      <c r="Q1233" s="26" t="s">
        <v>55</v>
      </c>
    </row>
    <row r="1234" spans="1:17" x14ac:dyDescent="0.3">
      <c r="A1234" s="26" t="s">
        <v>5888</v>
      </c>
      <c r="B1234" s="26" t="s">
        <v>5889</v>
      </c>
      <c r="C1234" s="26" t="s">
        <v>4309</v>
      </c>
      <c r="D1234" s="26" t="s">
        <v>5862</v>
      </c>
      <c r="E1234" s="26" t="s">
        <v>761</v>
      </c>
      <c r="F1234" s="26" t="s">
        <v>3688</v>
      </c>
      <c r="G1234" s="26" t="s">
        <v>5873</v>
      </c>
      <c r="H1234" s="26" t="s">
        <v>39</v>
      </c>
      <c r="I1234" s="26" t="s">
        <v>3688</v>
      </c>
      <c r="J1234" s="11" t="str">
        <f>VLOOKUP(K1234,'PN Dictionary'!A:B,2,FALSE)</f>
        <v>GB300 L10</v>
      </c>
      <c r="K1234" s="26" t="s">
        <v>4318</v>
      </c>
      <c r="L1234" s="26" t="s">
        <v>5890</v>
      </c>
      <c r="M1234" s="50" t="s">
        <v>5891</v>
      </c>
      <c r="N1234" s="51" t="s">
        <v>53</v>
      </c>
      <c r="O1234" s="26" t="s">
        <v>728</v>
      </c>
      <c r="P1234" s="26">
        <v>90185</v>
      </c>
      <c r="Q1234" s="26" t="s">
        <v>55</v>
      </c>
    </row>
    <row r="1235" spans="1:17" x14ac:dyDescent="0.3">
      <c r="A1235" s="26" t="s">
        <v>5892</v>
      </c>
      <c r="B1235" s="26" t="s">
        <v>5893</v>
      </c>
      <c r="C1235" s="26" t="s">
        <v>4309</v>
      </c>
      <c r="D1235" s="26" t="s">
        <v>5787</v>
      </c>
      <c r="E1235" s="26" t="s">
        <v>4899</v>
      </c>
      <c r="F1235" s="26" t="s">
        <v>4900</v>
      </c>
      <c r="G1235" s="26" t="s">
        <v>5873</v>
      </c>
      <c r="H1235" s="26" t="s">
        <v>39</v>
      </c>
      <c r="I1235" s="26" t="s">
        <v>4900</v>
      </c>
      <c r="J1235" s="11" t="str">
        <f>VLOOKUP(K1235,'PN Dictionary'!A:B,2,FALSE)</f>
        <v>GB300 L10</v>
      </c>
      <c r="K1235" s="26" t="s">
        <v>4318</v>
      </c>
      <c r="L1235" s="26" t="s">
        <v>5789</v>
      </c>
      <c r="M1235" s="50" t="s">
        <v>5894</v>
      </c>
      <c r="N1235" s="51" t="s">
        <v>53</v>
      </c>
      <c r="O1235" s="26" t="s">
        <v>728</v>
      </c>
      <c r="P1235" s="26">
        <v>90185</v>
      </c>
      <c r="Q1235" s="26" t="s">
        <v>55</v>
      </c>
    </row>
    <row r="1236" spans="1:17" x14ac:dyDescent="0.3">
      <c r="A1236" s="26" t="s">
        <v>5895</v>
      </c>
      <c r="B1236" s="26" t="s">
        <v>5896</v>
      </c>
      <c r="C1236" s="26" t="s">
        <v>4309</v>
      </c>
      <c r="D1236" s="26" t="s">
        <v>5897</v>
      </c>
      <c r="E1236" s="26" t="s">
        <v>761</v>
      </c>
      <c r="F1236" s="26" t="s">
        <v>3688</v>
      </c>
      <c r="G1236" s="26" t="s">
        <v>5873</v>
      </c>
      <c r="H1236" s="26" t="s">
        <v>39</v>
      </c>
      <c r="I1236" s="26" t="s">
        <v>3688</v>
      </c>
      <c r="J1236" s="11" t="str">
        <f>VLOOKUP(K1236,'PN Dictionary'!A:B,2,FALSE)</f>
        <v>GB300 L10</v>
      </c>
      <c r="K1236" s="26" t="s">
        <v>4318</v>
      </c>
      <c r="L1236" s="26" t="s">
        <v>5898</v>
      </c>
      <c r="M1236" s="50" t="s">
        <v>5899</v>
      </c>
      <c r="N1236" s="51" t="s">
        <v>53</v>
      </c>
      <c r="O1236" s="26" t="s">
        <v>728</v>
      </c>
      <c r="P1236" s="26">
        <v>90185</v>
      </c>
      <c r="Q1236" s="26" t="s">
        <v>55</v>
      </c>
    </row>
    <row r="1237" spans="1:17" x14ac:dyDescent="0.3">
      <c r="A1237" s="26" t="s">
        <v>5900</v>
      </c>
      <c r="B1237" s="26" t="s">
        <v>5901</v>
      </c>
      <c r="C1237" s="26" t="s">
        <v>4309</v>
      </c>
      <c r="D1237" s="26" t="s">
        <v>5902</v>
      </c>
      <c r="E1237" s="26" t="s">
        <v>761</v>
      </c>
      <c r="F1237" s="26" t="s">
        <v>3688</v>
      </c>
      <c r="G1237" s="26" t="s">
        <v>5873</v>
      </c>
      <c r="H1237" s="26" t="s">
        <v>39</v>
      </c>
      <c r="I1237" s="26" t="s">
        <v>3688</v>
      </c>
      <c r="J1237" s="11" t="str">
        <f>VLOOKUP(K1237,'PN Dictionary'!A:B,2,FALSE)</f>
        <v>GB300 L10</v>
      </c>
      <c r="K1237" s="26" t="s">
        <v>4318</v>
      </c>
      <c r="L1237" s="26" t="s">
        <v>5903</v>
      </c>
      <c r="M1237" s="50" t="s">
        <v>5904</v>
      </c>
      <c r="N1237" s="51" t="s">
        <v>53</v>
      </c>
      <c r="O1237" s="26" t="s">
        <v>728</v>
      </c>
      <c r="P1237" s="26">
        <v>90185</v>
      </c>
      <c r="Q1237" s="26" t="s">
        <v>55</v>
      </c>
    </row>
    <row r="1238" spans="1:17" x14ac:dyDescent="0.3">
      <c r="A1238" s="26" t="s">
        <v>5905</v>
      </c>
      <c r="B1238" s="26" t="s">
        <v>5906</v>
      </c>
      <c r="C1238" s="26" t="s">
        <v>4309</v>
      </c>
      <c r="D1238" s="26" t="s">
        <v>5907</v>
      </c>
      <c r="E1238" s="26" t="s">
        <v>81</v>
      </c>
      <c r="F1238" s="26" t="s">
        <v>522</v>
      </c>
      <c r="G1238" s="26" t="s">
        <v>5873</v>
      </c>
      <c r="H1238" s="26" t="s">
        <v>39</v>
      </c>
      <c r="I1238" s="26" t="s">
        <v>522</v>
      </c>
      <c r="J1238" s="11" t="str">
        <f>VLOOKUP(K1238,'PN Dictionary'!A:B,2,FALSE)</f>
        <v>GB300 L10</v>
      </c>
      <c r="K1238" s="26" t="s">
        <v>4318</v>
      </c>
      <c r="L1238" s="26" t="s">
        <v>5908</v>
      </c>
      <c r="M1238" s="50" t="s">
        <v>5909</v>
      </c>
      <c r="N1238" s="51" t="s">
        <v>53</v>
      </c>
      <c r="O1238" s="26" t="s">
        <v>728</v>
      </c>
      <c r="P1238" s="26">
        <v>90185</v>
      </c>
      <c r="Q1238" s="26" t="s">
        <v>55</v>
      </c>
    </row>
    <row r="1239" spans="1:17" x14ac:dyDescent="0.3">
      <c r="A1239" s="26" t="s">
        <v>5910</v>
      </c>
      <c r="B1239" s="26" t="s">
        <v>5911</v>
      </c>
      <c r="C1239" s="26" t="s">
        <v>4309</v>
      </c>
      <c r="D1239" s="26" t="s">
        <v>5912</v>
      </c>
      <c r="E1239" s="26" t="s">
        <v>128</v>
      </c>
      <c r="F1239" s="26" t="s">
        <v>205</v>
      </c>
      <c r="G1239" s="26" t="s">
        <v>5873</v>
      </c>
      <c r="H1239" s="26" t="s">
        <v>39</v>
      </c>
      <c r="I1239" s="26" t="s">
        <v>5913</v>
      </c>
      <c r="J1239" s="11" t="str">
        <f>VLOOKUP(K1239,'PN Dictionary'!A:B,2,FALSE)</f>
        <v>Cable Cartridge</v>
      </c>
      <c r="K1239" s="26" t="s">
        <v>6</v>
      </c>
      <c r="L1239" s="26">
        <v>1823525350191</v>
      </c>
      <c r="M1239" s="50">
        <v>2021026490669</v>
      </c>
      <c r="N1239" s="51" t="s">
        <v>53</v>
      </c>
      <c r="O1239" s="26" t="s">
        <v>728</v>
      </c>
      <c r="P1239" s="26">
        <v>90160</v>
      </c>
      <c r="Q1239" s="26" t="s">
        <v>55</v>
      </c>
    </row>
    <row r="1240" spans="1:17" x14ac:dyDescent="0.3">
      <c r="A1240" s="26" t="s">
        <v>5914</v>
      </c>
      <c r="B1240" s="26" t="s">
        <v>5915</v>
      </c>
      <c r="C1240" s="26" t="s">
        <v>4309</v>
      </c>
      <c r="D1240" s="26" t="s">
        <v>5916</v>
      </c>
      <c r="E1240" s="26" t="s">
        <v>761</v>
      </c>
      <c r="F1240" s="26" t="s">
        <v>3688</v>
      </c>
      <c r="G1240" s="26" t="s">
        <v>5873</v>
      </c>
      <c r="H1240" s="26" t="s">
        <v>39</v>
      </c>
      <c r="I1240" s="26" t="s">
        <v>1163</v>
      </c>
      <c r="J1240" s="11" t="str">
        <f>VLOOKUP(K1240,'PN Dictionary'!A:B,2,FALSE)</f>
        <v>GB300 L10</v>
      </c>
      <c r="K1240" s="26" t="s">
        <v>4318</v>
      </c>
      <c r="L1240" s="26" t="s">
        <v>5254</v>
      </c>
      <c r="M1240" s="50" t="s">
        <v>5917</v>
      </c>
      <c r="N1240" s="51" t="s">
        <v>53</v>
      </c>
      <c r="O1240" s="26" t="s">
        <v>728</v>
      </c>
      <c r="P1240" s="26">
        <v>90160</v>
      </c>
      <c r="Q1240" s="26" t="s">
        <v>55</v>
      </c>
    </row>
    <row r="1241" spans="1:17" x14ac:dyDescent="0.3">
      <c r="A1241" s="26" t="s">
        <v>5918</v>
      </c>
      <c r="B1241" s="26" t="s">
        <v>5919</v>
      </c>
      <c r="C1241" s="26" t="s">
        <v>4309</v>
      </c>
      <c r="D1241" s="26" t="s">
        <v>5920</v>
      </c>
      <c r="E1241" s="26" t="s">
        <v>761</v>
      </c>
      <c r="F1241" s="26" t="s">
        <v>3688</v>
      </c>
      <c r="G1241" s="26" t="s">
        <v>5873</v>
      </c>
      <c r="H1241" s="26" t="s">
        <v>39</v>
      </c>
      <c r="I1241" s="26" t="s">
        <v>1163</v>
      </c>
      <c r="J1241" s="11" t="str">
        <f>VLOOKUP(K1241,'PN Dictionary'!A:B,2,FALSE)</f>
        <v>GB300 L10</v>
      </c>
      <c r="K1241" s="26" t="s">
        <v>4318</v>
      </c>
      <c r="L1241" s="26" t="s">
        <v>4695</v>
      </c>
      <c r="M1241" s="50" t="s">
        <v>5921</v>
      </c>
      <c r="N1241" s="51" t="s">
        <v>53</v>
      </c>
      <c r="O1241" s="26" t="s">
        <v>728</v>
      </c>
      <c r="P1241" s="26">
        <v>90160</v>
      </c>
      <c r="Q1241" s="26" t="s">
        <v>55</v>
      </c>
    </row>
    <row r="1242" spans="1:17" x14ac:dyDescent="0.3">
      <c r="A1242" s="26" t="s">
        <v>5922</v>
      </c>
      <c r="B1242" s="26" t="s">
        <v>5923</v>
      </c>
      <c r="C1242" s="26" t="s">
        <v>4309</v>
      </c>
      <c r="D1242" s="26" t="s">
        <v>5907</v>
      </c>
      <c r="E1242" s="26" t="s">
        <v>81</v>
      </c>
      <c r="F1242" s="26" t="s">
        <v>522</v>
      </c>
      <c r="G1242" s="26" t="s">
        <v>5873</v>
      </c>
      <c r="H1242" s="26" t="s">
        <v>39</v>
      </c>
      <c r="I1242" s="26" t="s">
        <v>5924</v>
      </c>
      <c r="J1242" s="11" t="str">
        <f>VLOOKUP(K1242,'PN Dictionary'!A:B,2,FALSE)</f>
        <v>GB300 L10</v>
      </c>
      <c r="K1242" s="26" t="s">
        <v>4318</v>
      </c>
      <c r="L1242" s="26" t="s">
        <v>5925</v>
      </c>
      <c r="M1242" s="50" t="s">
        <v>5926</v>
      </c>
      <c r="N1242" s="51" t="s">
        <v>53</v>
      </c>
      <c r="O1242" s="26" t="s">
        <v>728</v>
      </c>
      <c r="P1242" s="26">
        <v>90185</v>
      </c>
      <c r="Q1242" s="26" t="s">
        <v>55</v>
      </c>
    </row>
    <row r="1243" spans="1:17" x14ac:dyDescent="0.3">
      <c r="A1243" s="26" t="s">
        <v>5927</v>
      </c>
      <c r="B1243" s="26" t="s">
        <v>5928</v>
      </c>
      <c r="C1243" s="26" t="s">
        <v>4309</v>
      </c>
      <c r="D1243" s="26" t="s">
        <v>5916</v>
      </c>
      <c r="E1243" s="26" t="s">
        <v>761</v>
      </c>
      <c r="F1243" s="26" t="s">
        <v>3688</v>
      </c>
      <c r="G1243" s="26" t="s">
        <v>5873</v>
      </c>
      <c r="H1243" s="26" t="s">
        <v>39</v>
      </c>
      <c r="I1243" s="26" t="s">
        <v>1163</v>
      </c>
      <c r="J1243" s="11" t="str">
        <f>VLOOKUP(K1243,'PN Dictionary'!A:B,2,FALSE)</f>
        <v>GB300 L10</v>
      </c>
      <c r="K1243" s="26" t="s">
        <v>4318</v>
      </c>
      <c r="L1243" s="26" t="s">
        <v>5929</v>
      </c>
      <c r="M1243" s="50" t="s">
        <v>5930</v>
      </c>
      <c r="N1243" s="51" t="s">
        <v>53</v>
      </c>
      <c r="O1243" s="26" t="s">
        <v>728</v>
      </c>
      <c r="P1243" s="26">
        <v>90160</v>
      </c>
      <c r="Q1243" s="26" t="s">
        <v>55</v>
      </c>
    </row>
    <row r="1244" spans="1:17" x14ac:dyDescent="0.3">
      <c r="A1244" s="26" t="s">
        <v>5931</v>
      </c>
      <c r="B1244" s="26" t="s">
        <v>5932</v>
      </c>
      <c r="C1244" s="26" t="s">
        <v>4309</v>
      </c>
      <c r="D1244" s="26" t="s">
        <v>5787</v>
      </c>
      <c r="E1244" s="26" t="s">
        <v>81</v>
      </c>
      <c r="F1244" s="26" t="s">
        <v>522</v>
      </c>
      <c r="G1244" s="26" t="s">
        <v>5873</v>
      </c>
      <c r="H1244" s="26" t="s">
        <v>39</v>
      </c>
      <c r="I1244" s="26" t="s">
        <v>522</v>
      </c>
      <c r="J1244" s="11" t="str">
        <f>VLOOKUP(K1244,'PN Dictionary'!A:B,2,FALSE)</f>
        <v>GB300 L10</v>
      </c>
      <c r="K1244" s="26" t="s">
        <v>4318</v>
      </c>
      <c r="L1244" s="26" t="s">
        <v>5933</v>
      </c>
      <c r="M1244" s="50" t="s">
        <v>5934</v>
      </c>
      <c r="N1244" s="51" t="s">
        <v>53</v>
      </c>
      <c r="O1244" s="26" t="s">
        <v>728</v>
      </c>
      <c r="P1244" s="26">
        <v>90185</v>
      </c>
      <c r="Q1244" s="26" t="s">
        <v>55</v>
      </c>
    </row>
    <row r="1245" spans="1:17" x14ac:dyDescent="0.3">
      <c r="A1245" s="26" t="s">
        <v>5935</v>
      </c>
      <c r="B1245" s="26" t="s">
        <v>5936</v>
      </c>
      <c r="C1245" s="26" t="s">
        <v>4309</v>
      </c>
      <c r="D1245" s="26" t="s">
        <v>5937</v>
      </c>
      <c r="E1245" s="26" t="s">
        <v>128</v>
      </c>
      <c r="F1245" s="26" t="s">
        <v>205</v>
      </c>
      <c r="G1245" s="26" t="s">
        <v>5873</v>
      </c>
      <c r="H1245" s="26" t="s">
        <v>39</v>
      </c>
      <c r="I1245" s="26" t="s">
        <v>5938</v>
      </c>
      <c r="J1245" s="11" t="str">
        <f>VLOOKUP(K1245,'PN Dictionary'!A:B,2,FALSE)</f>
        <v>Cable Cartridge</v>
      </c>
      <c r="K1245" s="26" t="s">
        <v>6</v>
      </c>
      <c r="L1245" s="26">
        <v>1823025355743</v>
      </c>
      <c r="M1245" s="50">
        <v>2020726351387</v>
      </c>
      <c r="N1245" s="51" t="s">
        <v>53</v>
      </c>
      <c r="O1245" s="26" t="s">
        <v>728</v>
      </c>
      <c r="P1245" s="26">
        <v>90185</v>
      </c>
      <c r="Q1245" s="26" t="s">
        <v>55</v>
      </c>
    </row>
    <row r="1246" spans="1:17" x14ac:dyDescent="0.3">
      <c r="A1246" s="26" t="s">
        <v>5939</v>
      </c>
      <c r="B1246" s="26" t="s">
        <v>5940</v>
      </c>
      <c r="C1246" s="26" t="s">
        <v>4309</v>
      </c>
      <c r="D1246" s="26" t="s">
        <v>5862</v>
      </c>
      <c r="E1246" s="26" t="s">
        <v>5941</v>
      </c>
      <c r="F1246" s="26" t="s">
        <v>5942</v>
      </c>
      <c r="G1246" s="26" t="s">
        <v>5943</v>
      </c>
      <c r="H1246" s="26" t="s">
        <v>39</v>
      </c>
      <c r="I1246" s="26" t="s">
        <v>5944</v>
      </c>
      <c r="J1246" s="11" t="str">
        <f>VLOOKUP(K1246,'PN Dictionary'!A:B,2,FALSE)</f>
        <v>GB300 L10</v>
      </c>
      <c r="K1246" s="26" t="s">
        <v>4318</v>
      </c>
      <c r="L1246" s="26" t="s">
        <v>5945</v>
      </c>
      <c r="M1246" s="50" t="s">
        <v>5946</v>
      </c>
      <c r="N1246" s="51" t="s">
        <v>53</v>
      </c>
      <c r="O1246" s="26" t="s">
        <v>728</v>
      </c>
      <c r="P1246" s="26">
        <v>1237</v>
      </c>
      <c r="Q1246" s="26" t="s">
        <v>55</v>
      </c>
    </row>
    <row r="1247" spans="1:17" x14ac:dyDescent="0.3">
      <c r="A1247" s="26" t="s">
        <v>5947</v>
      </c>
      <c r="B1247" s="26" t="s">
        <v>5948</v>
      </c>
      <c r="C1247" s="26" t="s">
        <v>4309</v>
      </c>
      <c r="D1247" s="26" t="s">
        <v>5907</v>
      </c>
      <c r="E1247" s="26" t="s">
        <v>4538</v>
      </c>
      <c r="F1247" s="26" t="s">
        <v>4539</v>
      </c>
      <c r="G1247" s="26" t="s">
        <v>5943</v>
      </c>
      <c r="H1247" s="26" t="s">
        <v>39</v>
      </c>
      <c r="I1247" s="26" t="s">
        <v>5949</v>
      </c>
      <c r="J1247" s="11" t="str">
        <f>VLOOKUP(K1247,'PN Dictionary'!A:B,2,FALSE)</f>
        <v>GB300 L10</v>
      </c>
      <c r="K1247" s="26" t="s">
        <v>4318</v>
      </c>
      <c r="L1247" s="26" t="s">
        <v>5926</v>
      </c>
      <c r="M1247" s="50" t="s">
        <v>5950</v>
      </c>
      <c r="N1247" s="51" t="s">
        <v>53</v>
      </c>
      <c r="O1247" s="26" t="s">
        <v>728</v>
      </c>
      <c r="P1247" s="26">
        <v>718</v>
      </c>
      <c r="Q1247" s="26" t="s">
        <v>55</v>
      </c>
    </row>
    <row r="1248" spans="1:17" x14ac:dyDescent="0.3">
      <c r="A1248" s="26" t="s">
        <v>5951</v>
      </c>
      <c r="B1248" s="26" t="s">
        <v>5952</v>
      </c>
      <c r="C1248" s="26" t="s">
        <v>4309</v>
      </c>
      <c r="D1248" s="26" t="s">
        <v>5787</v>
      </c>
      <c r="E1248" s="26" t="s">
        <v>4094</v>
      </c>
      <c r="F1248" s="26" t="s">
        <v>4095</v>
      </c>
      <c r="G1248" s="26" t="s">
        <v>5943</v>
      </c>
      <c r="H1248" s="26" t="s">
        <v>39</v>
      </c>
      <c r="I1248" s="26" t="s">
        <v>4095</v>
      </c>
      <c r="J1248" s="11" t="str">
        <f>VLOOKUP(K1248,'PN Dictionary'!A:B,2,FALSE)</f>
        <v>GB300 L10</v>
      </c>
      <c r="K1248" s="26" t="s">
        <v>4318</v>
      </c>
      <c r="L1248" s="26" t="s">
        <v>4720</v>
      </c>
      <c r="M1248" s="50" t="s">
        <v>5953</v>
      </c>
      <c r="N1248" s="51" t="s">
        <v>53</v>
      </c>
      <c r="O1248" s="26" t="s">
        <v>728</v>
      </c>
      <c r="P1248" s="26">
        <v>90185</v>
      </c>
      <c r="Q1248" s="26" t="s">
        <v>55</v>
      </c>
    </row>
    <row r="1249" spans="1:17" x14ac:dyDescent="0.3">
      <c r="A1249" s="26" t="s">
        <v>5954</v>
      </c>
      <c r="B1249" s="26" t="s">
        <v>5955</v>
      </c>
      <c r="C1249" s="26" t="s">
        <v>4309</v>
      </c>
      <c r="D1249" s="26" t="s">
        <v>5787</v>
      </c>
      <c r="E1249" s="26" t="s">
        <v>761</v>
      </c>
      <c r="F1249" s="26" t="s">
        <v>3688</v>
      </c>
      <c r="G1249" s="26" t="s">
        <v>5943</v>
      </c>
      <c r="H1249" s="26" t="s">
        <v>39</v>
      </c>
      <c r="I1249" s="26" t="s">
        <v>3688</v>
      </c>
      <c r="J1249" s="11" t="str">
        <f>VLOOKUP(K1249,'PN Dictionary'!A:B,2,FALSE)</f>
        <v>GB300 L10</v>
      </c>
      <c r="K1249" s="26" t="s">
        <v>4318</v>
      </c>
      <c r="L1249" s="26" t="s">
        <v>5956</v>
      </c>
      <c r="M1249" s="50" t="s">
        <v>5957</v>
      </c>
      <c r="N1249" s="51" t="s">
        <v>53</v>
      </c>
      <c r="O1249" s="26" t="s">
        <v>728</v>
      </c>
      <c r="P1249" s="26">
        <v>90185</v>
      </c>
      <c r="Q1249" s="26" t="s">
        <v>55</v>
      </c>
    </row>
    <row r="1250" spans="1:17" x14ac:dyDescent="0.3">
      <c r="A1250" s="26" t="s">
        <v>5958</v>
      </c>
      <c r="B1250" s="26" t="s">
        <v>5959</v>
      </c>
      <c r="C1250" s="26" t="s">
        <v>4309</v>
      </c>
      <c r="D1250" s="26" t="s">
        <v>5907</v>
      </c>
      <c r="E1250" s="26" t="s">
        <v>4899</v>
      </c>
      <c r="F1250" s="26" t="s">
        <v>4900</v>
      </c>
      <c r="G1250" s="26" t="s">
        <v>5943</v>
      </c>
      <c r="H1250" s="26" t="s">
        <v>39</v>
      </c>
      <c r="I1250" s="26" t="s">
        <v>4900</v>
      </c>
      <c r="J1250" s="11" t="str">
        <f>VLOOKUP(K1250,'PN Dictionary'!A:B,2,FALSE)</f>
        <v>GB300 L10</v>
      </c>
      <c r="K1250" s="26" t="s">
        <v>4318</v>
      </c>
      <c r="L1250" s="26" t="s">
        <v>5950</v>
      </c>
      <c r="M1250" s="50" t="s">
        <v>5960</v>
      </c>
      <c r="N1250" s="51" t="s">
        <v>53</v>
      </c>
      <c r="O1250" s="26" t="s">
        <v>728</v>
      </c>
      <c r="P1250" s="26">
        <v>90185</v>
      </c>
      <c r="Q1250" s="26" t="s">
        <v>55</v>
      </c>
    </row>
    <row r="1251" spans="1:17" x14ac:dyDescent="0.3">
      <c r="A1251" s="26" t="s">
        <v>5961</v>
      </c>
      <c r="B1251" s="26" t="s">
        <v>5962</v>
      </c>
      <c r="C1251" s="26" t="s">
        <v>4309</v>
      </c>
      <c r="D1251" s="26" t="s">
        <v>5963</v>
      </c>
      <c r="E1251" s="26" t="s">
        <v>242</v>
      </c>
      <c r="F1251" s="26" t="s">
        <v>604</v>
      </c>
      <c r="G1251" s="26" t="s">
        <v>5943</v>
      </c>
      <c r="H1251" s="26" t="s">
        <v>39</v>
      </c>
      <c r="I1251" s="26" t="s">
        <v>5964</v>
      </c>
      <c r="J1251" s="11" t="str">
        <f>VLOOKUP(K1251,'PN Dictionary'!A:B,2,FALSE)</f>
        <v>Power shelf control module</v>
      </c>
      <c r="K1251" s="26" t="s">
        <v>4746</v>
      </c>
      <c r="L1251" s="26" t="s">
        <v>5965</v>
      </c>
      <c r="M1251" s="50" t="s">
        <v>5966</v>
      </c>
      <c r="N1251" s="51" t="s">
        <v>53</v>
      </c>
      <c r="O1251" s="26" t="s">
        <v>728</v>
      </c>
      <c r="P1251" s="26">
        <v>90066</v>
      </c>
      <c r="Q1251" s="26" t="s">
        <v>55</v>
      </c>
    </row>
    <row r="1252" spans="1:17" x14ac:dyDescent="0.3">
      <c r="A1252" s="26" t="s">
        <v>5967</v>
      </c>
      <c r="B1252" s="26" t="s">
        <v>5968</v>
      </c>
      <c r="C1252" s="26" t="s">
        <v>4309</v>
      </c>
      <c r="D1252" s="26" t="s">
        <v>5969</v>
      </c>
      <c r="E1252" s="26" t="s">
        <v>761</v>
      </c>
      <c r="F1252" s="26" t="s">
        <v>3688</v>
      </c>
      <c r="G1252" s="26" t="s">
        <v>5943</v>
      </c>
      <c r="H1252" s="26" t="s">
        <v>39</v>
      </c>
      <c r="I1252" s="26" t="s">
        <v>1163</v>
      </c>
      <c r="J1252" s="11" t="str">
        <f>VLOOKUP(K1252,'PN Dictionary'!A:B,2,FALSE)</f>
        <v>GB300 L10</v>
      </c>
      <c r="K1252" s="26" t="s">
        <v>4318</v>
      </c>
      <c r="L1252" s="26" t="s">
        <v>5970</v>
      </c>
      <c r="M1252" s="50" t="s">
        <v>5971</v>
      </c>
      <c r="N1252" s="51" t="s">
        <v>53</v>
      </c>
      <c r="O1252" s="26" t="s">
        <v>728</v>
      </c>
      <c r="P1252" s="26">
        <v>90160</v>
      </c>
      <c r="Q1252" s="26" t="s">
        <v>55</v>
      </c>
    </row>
    <row r="1253" spans="1:17" x14ac:dyDescent="0.3">
      <c r="A1253" s="26" t="s">
        <v>5972</v>
      </c>
      <c r="B1253" s="26" t="s">
        <v>5973</v>
      </c>
      <c r="C1253" s="26" t="s">
        <v>4309</v>
      </c>
      <c r="D1253" s="26" t="s">
        <v>5974</v>
      </c>
      <c r="E1253" s="26" t="s">
        <v>761</v>
      </c>
      <c r="F1253" s="26" t="s">
        <v>3688</v>
      </c>
      <c r="G1253" s="26" t="s">
        <v>5943</v>
      </c>
      <c r="H1253" s="26" t="s">
        <v>39</v>
      </c>
      <c r="I1253" s="26" t="s">
        <v>1163</v>
      </c>
      <c r="J1253" s="11" t="str">
        <f>VLOOKUP(K1253,'PN Dictionary'!A:B,2,FALSE)</f>
        <v>GB300 L10</v>
      </c>
      <c r="K1253" s="26" t="s">
        <v>4318</v>
      </c>
      <c r="L1253" s="26" t="s">
        <v>5975</v>
      </c>
      <c r="M1253" s="50" t="s">
        <v>5976</v>
      </c>
      <c r="N1253" s="51" t="s">
        <v>53</v>
      </c>
      <c r="O1253" s="26" t="s">
        <v>728</v>
      </c>
      <c r="P1253" s="26">
        <v>90160</v>
      </c>
      <c r="Q1253" s="26" t="s">
        <v>55</v>
      </c>
    </row>
    <row r="1254" spans="1:17" x14ac:dyDescent="0.3">
      <c r="A1254" s="26" t="s">
        <v>5977</v>
      </c>
      <c r="B1254" s="26" t="s">
        <v>5978</v>
      </c>
      <c r="C1254" s="26" t="s">
        <v>4309</v>
      </c>
      <c r="D1254" s="26" t="s">
        <v>5783</v>
      </c>
      <c r="E1254" s="26" t="s">
        <v>761</v>
      </c>
      <c r="F1254" s="26" t="s">
        <v>3688</v>
      </c>
      <c r="G1254" s="26" t="s">
        <v>5943</v>
      </c>
      <c r="H1254" s="26" t="s">
        <v>39</v>
      </c>
      <c r="I1254" s="26" t="s">
        <v>1163</v>
      </c>
      <c r="J1254" s="11" t="str">
        <f>VLOOKUP(K1254,'PN Dictionary'!A:B,2,FALSE)</f>
        <v>GB300 L10</v>
      </c>
      <c r="K1254" s="26" t="s">
        <v>4318</v>
      </c>
      <c r="L1254" s="26" t="s">
        <v>5236</v>
      </c>
      <c r="M1254" s="50" t="s">
        <v>5979</v>
      </c>
      <c r="N1254" s="51" t="s">
        <v>53</v>
      </c>
      <c r="O1254" s="26" t="s">
        <v>728</v>
      </c>
      <c r="P1254" s="26">
        <v>90160</v>
      </c>
      <c r="Q1254" s="26" t="s">
        <v>55</v>
      </c>
    </row>
    <row r="1255" spans="1:17" x14ac:dyDescent="0.3">
      <c r="A1255" s="26" t="s">
        <v>5980</v>
      </c>
      <c r="B1255" s="26" t="s">
        <v>5981</v>
      </c>
      <c r="C1255" s="26" t="s">
        <v>4309</v>
      </c>
      <c r="D1255" s="26" t="s">
        <v>5849</v>
      </c>
      <c r="E1255" s="26" t="s">
        <v>761</v>
      </c>
      <c r="F1255" s="26" t="s">
        <v>3688</v>
      </c>
      <c r="G1255" s="26" t="s">
        <v>5943</v>
      </c>
      <c r="H1255" s="26" t="s">
        <v>39</v>
      </c>
      <c r="I1255" s="26" t="s">
        <v>1163</v>
      </c>
      <c r="J1255" s="11" t="str">
        <f>VLOOKUP(K1255,'PN Dictionary'!A:B,2,FALSE)</f>
        <v>GB300 L10</v>
      </c>
      <c r="K1255" s="26" t="s">
        <v>4318</v>
      </c>
      <c r="L1255" s="26" t="s">
        <v>5982</v>
      </c>
      <c r="M1255" s="50" t="s">
        <v>5983</v>
      </c>
      <c r="N1255" s="51" t="s">
        <v>53</v>
      </c>
      <c r="O1255" s="26" t="s">
        <v>728</v>
      </c>
      <c r="P1255" s="26">
        <v>90160</v>
      </c>
      <c r="Q1255" s="26" t="s">
        <v>55</v>
      </c>
    </row>
    <row r="1256" spans="1:17" x14ac:dyDescent="0.3">
      <c r="A1256" s="26" t="s">
        <v>5990</v>
      </c>
      <c r="B1256" s="26" t="s">
        <v>5991</v>
      </c>
      <c r="C1256" s="26" t="s">
        <v>4309</v>
      </c>
      <c r="D1256" s="26" t="s">
        <v>5743</v>
      </c>
      <c r="E1256" s="26" t="s">
        <v>761</v>
      </c>
      <c r="F1256" s="26" t="s">
        <v>3688</v>
      </c>
      <c r="G1256" s="26" t="s">
        <v>5992</v>
      </c>
      <c r="H1256" s="26" t="s">
        <v>39</v>
      </c>
      <c r="I1256" s="26" t="s">
        <v>3688</v>
      </c>
      <c r="J1256" s="11" t="str">
        <f>VLOOKUP(K1256,'PN Dictionary'!A:B,2,FALSE)</f>
        <v>GB300 L10</v>
      </c>
      <c r="K1256" s="26" t="s">
        <v>4318</v>
      </c>
      <c r="L1256" s="26" t="s">
        <v>5993</v>
      </c>
      <c r="M1256" s="50" t="s">
        <v>5994</v>
      </c>
      <c r="N1256" s="51" t="s">
        <v>53</v>
      </c>
      <c r="O1256" s="26" t="s">
        <v>728</v>
      </c>
      <c r="P1256" s="26">
        <v>90185</v>
      </c>
      <c r="Q1256" s="26" t="s">
        <v>55</v>
      </c>
    </row>
    <row r="1257" spans="1:17" x14ac:dyDescent="0.3">
      <c r="A1257" s="26" t="s">
        <v>5995</v>
      </c>
      <c r="B1257" s="26" t="s">
        <v>5996</v>
      </c>
      <c r="C1257" s="26" t="s">
        <v>4309</v>
      </c>
      <c r="D1257" s="26" t="s">
        <v>5997</v>
      </c>
      <c r="E1257" s="26" t="s">
        <v>230</v>
      </c>
      <c r="F1257" s="26" t="s">
        <v>238</v>
      </c>
      <c r="G1257" s="26" t="s">
        <v>5992</v>
      </c>
      <c r="H1257" s="26" t="s">
        <v>39</v>
      </c>
      <c r="I1257" s="26" t="s">
        <v>5998</v>
      </c>
      <c r="J1257" s="11" t="str">
        <f>VLOOKUP(K1257,'PN Dictionary'!A:B,2,FALSE)</f>
        <v>NVSwitch</v>
      </c>
      <c r="K1257" s="26" t="s">
        <v>7</v>
      </c>
      <c r="L1257" s="26" t="s">
        <v>5999</v>
      </c>
      <c r="M1257" s="50" t="s">
        <v>6000</v>
      </c>
      <c r="N1257" s="51" t="s">
        <v>53</v>
      </c>
      <c r="O1257" s="26" t="s">
        <v>728</v>
      </c>
      <c r="P1257" s="26">
        <v>718</v>
      </c>
      <c r="Q1257" s="26" t="s">
        <v>55</v>
      </c>
    </row>
    <row r="1258" spans="1:17" x14ac:dyDescent="0.3">
      <c r="A1258" s="26" t="s">
        <v>6001</v>
      </c>
      <c r="B1258" s="26" t="s">
        <v>5996</v>
      </c>
      <c r="C1258" s="26" t="s">
        <v>4309</v>
      </c>
      <c r="D1258" s="26" t="s">
        <v>5997</v>
      </c>
      <c r="E1258" s="26" t="s">
        <v>230</v>
      </c>
      <c r="F1258" s="26" t="s">
        <v>238</v>
      </c>
      <c r="G1258" s="26" t="s">
        <v>5992</v>
      </c>
      <c r="H1258" s="26" t="s">
        <v>39</v>
      </c>
      <c r="I1258" s="26" t="s">
        <v>5998</v>
      </c>
      <c r="J1258" s="11" t="str">
        <f>VLOOKUP(K1258,'PN Dictionary'!A:B,2,FALSE)</f>
        <v>NVSwitch</v>
      </c>
      <c r="K1258" s="26" t="s">
        <v>7</v>
      </c>
      <c r="L1258" s="26" t="s">
        <v>6002</v>
      </c>
      <c r="M1258" s="50" t="s">
        <v>6003</v>
      </c>
      <c r="N1258" s="51" t="s">
        <v>53</v>
      </c>
      <c r="O1258" s="26" t="s">
        <v>728</v>
      </c>
      <c r="P1258" s="26">
        <v>718</v>
      </c>
      <c r="Q1258" s="26" t="s">
        <v>55</v>
      </c>
    </row>
    <row r="1259" spans="1:17" x14ac:dyDescent="0.3">
      <c r="A1259" s="26" t="s">
        <v>6004</v>
      </c>
      <c r="B1259" s="26" t="s">
        <v>6005</v>
      </c>
      <c r="C1259" s="26" t="s">
        <v>4309</v>
      </c>
      <c r="D1259" s="26" t="s">
        <v>6006</v>
      </c>
      <c r="E1259" s="26" t="s">
        <v>230</v>
      </c>
      <c r="F1259" s="26" t="s">
        <v>238</v>
      </c>
      <c r="G1259" s="26" t="s">
        <v>5992</v>
      </c>
      <c r="H1259" s="26" t="s">
        <v>39</v>
      </c>
      <c r="I1259" s="26" t="s">
        <v>6007</v>
      </c>
      <c r="J1259" s="11" t="str">
        <f>VLOOKUP(K1259,'PN Dictionary'!A:B,2,FALSE)</f>
        <v>NVSwitch</v>
      </c>
      <c r="K1259" s="26" t="s">
        <v>7</v>
      </c>
      <c r="L1259" s="26" t="s">
        <v>6008</v>
      </c>
      <c r="M1259" s="50" t="s">
        <v>6009</v>
      </c>
      <c r="N1259" s="51" t="s">
        <v>53</v>
      </c>
      <c r="O1259" s="26" t="s">
        <v>728</v>
      </c>
      <c r="P1259" s="26">
        <v>90185</v>
      </c>
      <c r="Q1259" s="26" t="s">
        <v>55</v>
      </c>
    </row>
    <row r="1260" spans="1:17" x14ac:dyDescent="0.3">
      <c r="A1260" s="26" t="s">
        <v>6010</v>
      </c>
      <c r="B1260" s="26" t="s">
        <v>6011</v>
      </c>
      <c r="C1260" s="26" t="s">
        <v>4309</v>
      </c>
      <c r="D1260" s="26" t="s">
        <v>6012</v>
      </c>
      <c r="E1260" s="26" t="s">
        <v>128</v>
      </c>
      <c r="F1260" s="26" t="s">
        <v>205</v>
      </c>
      <c r="G1260" s="26" t="s">
        <v>5992</v>
      </c>
      <c r="H1260" s="26" t="s">
        <v>39</v>
      </c>
      <c r="I1260" s="26" t="s">
        <v>6013</v>
      </c>
      <c r="J1260" s="11" t="str">
        <f>VLOOKUP(K1260,'PN Dictionary'!A:B,2,FALSE)</f>
        <v>Cable Cartridge</v>
      </c>
      <c r="K1260" s="26" t="s">
        <v>6</v>
      </c>
      <c r="L1260" s="26">
        <v>2021026491257</v>
      </c>
      <c r="M1260" s="50">
        <v>2021026490502</v>
      </c>
      <c r="N1260" s="51" t="s">
        <v>53</v>
      </c>
      <c r="O1260" s="26" t="s">
        <v>728</v>
      </c>
      <c r="P1260" s="26">
        <v>90185</v>
      </c>
      <c r="Q1260" s="26" t="s">
        <v>55</v>
      </c>
    </row>
    <row r="1261" spans="1:17" x14ac:dyDescent="0.3">
      <c r="A1261" s="26" t="s">
        <v>6014</v>
      </c>
      <c r="B1261" s="26" t="s">
        <v>6015</v>
      </c>
      <c r="C1261" s="26" t="s">
        <v>4309</v>
      </c>
      <c r="D1261" s="26" t="s">
        <v>6016</v>
      </c>
      <c r="E1261" s="26" t="s">
        <v>128</v>
      </c>
      <c r="F1261" s="26" t="s">
        <v>205</v>
      </c>
      <c r="G1261" s="26" t="s">
        <v>5992</v>
      </c>
      <c r="H1261" s="26" t="s">
        <v>39</v>
      </c>
      <c r="I1261" s="26" t="s">
        <v>6017</v>
      </c>
      <c r="J1261" s="11" t="str">
        <f>VLOOKUP(K1261,'PN Dictionary'!A:B,2,FALSE)</f>
        <v>Cable Cartridge</v>
      </c>
      <c r="K1261" s="26" t="s">
        <v>6</v>
      </c>
      <c r="L1261" s="26">
        <v>2021026491312</v>
      </c>
      <c r="M1261" s="50">
        <v>1823525350470</v>
      </c>
      <c r="N1261" s="51" t="s">
        <v>53</v>
      </c>
      <c r="O1261" s="26" t="s">
        <v>728</v>
      </c>
      <c r="P1261" s="26">
        <v>90185</v>
      </c>
      <c r="Q1261" s="26" t="s">
        <v>55</v>
      </c>
    </row>
    <row r="1262" spans="1:17" x14ac:dyDescent="0.3">
      <c r="A1262" s="26" t="s">
        <v>6018</v>
      </c>
      <c r="B1262" s="26" t="s">
        <v>6019</v>
      </c>
      <c r="C1262" s="26" t="s">
        <v>4309</v>
      </c>
      <c r="D1262" s="26" t="s">
        <v>5743</v>
      </c>
      <c r="E1262" s="26" t="s">
        <v>761</v>
      </c>
      <c r="F1262" s="26" t="s">
        <v>3688</v>
      </c>
      <c r="G1262" s="26" t="s">
        <v>6020</v>
      </c>
      <c r="H1262" s="26" t="s">
        <v>39</v>
      </c>
      <c r="I1262" s="26" t="s">
        <v>3688</v>
      </c>
      <c r="J1262" s="11" t="str">
        <f>VLOOKUP(K1262,'PN Dictionary'!A:B,2,FALSE)</f>
        <v>GB300 L10</v>
      </c>
      <c r="K1262" s="26" t="s">
        <v>4318</v>
      </c>
      <c r="L1262" s="26" t="s">
        <v>6021</v>
      </c>
      <c r="M1262" s="50" t="s">
        <v>5945</v>
      </c>
      <c r="N1262" s="51" t="s">
        <v>53</v>
      </c>
      <c r="O1262" s="26" t="s">
        <v>728</v>
      </c>
      <c r="P1262" s="26">
        <v>90185</v>
      </c>
      <c r="Q1262" s="26" t="s">
        <v>55</v>
      </c>
    </row>
    <row r="1263" spans="1:17" x14ac:dyDescent="0.3">
      <c r="A1263" s="26" t="s">
        <v>6022</v>
      </c>
      <c r="B1263" s="26" t="s">
        <v>6023</v>
      </c>
      <c r="C1263" s="26" t="s">
        <v>4309</v>
      </c>
      <c r="D1263" s="26" t="s">
        <v>6024</v>
      </c>
      <c r="E1263" s="26" t="s">
        <v>4538</v>
      </c>
      <c r="F1263" s="26" t="s">
        <v>4539</v>
      </c>
      <c r="G1263" s="26" t="s">
        <v>6020</v>
      </c>
      <c r="H1263" s="26" t="s">
        <v>39</v>
      </c>
      <c r="I1263" s="26" t="s">
        <v>4539</v>
      </c>
      <c r="J1263" s="11" t="str">
        <f>VLOOKUP(K1263,'PN Dictionary'!A:B,2,FALSE)</f>
        <v>GB300 L10</v>
      </c>
      <c r="K1263" s="26" t="s">
        <v>4318</v>
      </c>
      <c r="L1263" s="26" t="s">
        <v>6025</v>
      </c>
      <c r="M1263" s="50" t="s">
        <v>5898</v>
      </c>
      <c r="N1263" s="51" t="s">
        <v>53</v>
      </c>
      <c r="O1263" s="26" t="s">
        <v>728</v>
      </c>
      <c r="P1263" s="26">
        <v>90185</v>
      </c>
      <c r="Q1263" s="26" t="s">
        <v>55</v>
      </c>
    </row>
    <row r="1264" spans="1:17" x14ac:dyDescent="0.3">
      <c r="A1264" s="26" t="s">
        <v>6026</v>
      </c>
      <c r="B1264" s="26" t="s">
        <v>6027</v>
      </c>
      <c r="C1264" s="26" t="s">
        <v>4309</v>
      </c>
      <c r="D1264" s="26" t="s">
        <v>6028</v>
      </c>
      <c r="E1264" s="26" t="s">
        <v>761</v>
      </c>
      <c r="F1264" s="26" t="s">
        <v>3688</v>
      </c>
      <c r="G1264" s="26" t="s">
        <v>6020</v>
      </c>
      <c r="H1264" s="26" t="s">
        <v>39</v>
      </c>
      <c r="I1264" s="26" t="s">
        <v>3688</v>
      </c>
      <c r="J1264" s="11" t="str">
        <f>VLOOKUP(K1264,'PN Dictionary'!A:B,2,FALSE)</f>
        <v>GB300 L10</v>
      </c>
      <c r="K1264" s="26" t="s">
        <v>4318</v>
      </c>
      <c r="L1264" s="26" t="s">
        <v>6029</v>
      </c>
      <c r="M1264" s="50" t="s">
        <v>5070</v>
      </c>
      <c r="N1264" s="51" t="s">
        <v>53</v>
      </c>
      <c r="O1264" s="26" t="s">
        <v>728</v>
      </c>
      <c r="P1264" s="26">
        <v>90185</v>
      </c>
      <c r="Q1264" s="26" t="s">
        <v>55</v>
      </c>
    </row>
    <row r="1265" spans="1:17" x14ac:dyDescent="0.3">
      <c r="A1265" s="26" t="s">
        <v>6030</v>
      </c>
      <c r="B1265" s="26" t="s">
        <v>6031</v>
      </c>
      <c r="C1265" s="26" t="s">
        <v>4309</v>
      </c>
      <c r="D1265" s="26" t="s">
        <v>6032</v>
      </c>
      <c r="E1265" s="26" t="s">
        <v>3122</v>
      </c>
      <c r="F1265" s="26" t="s">
        <v>3694</v>
      </c>
      <c r="G1265" s="26" t="s">
        <v>6020</v>
      </c>
      <c r="H1265" s="26" t="s">
        <v>39</v>
      </c>
      <c r="I1265" s="26" t="s">
        <v>6033</v>
      </c>
      <c r="J1265" s="11" t="str">
        <f>VLOOKUP(K1265,'PN Dictionary'!A:B,2,FALSE)</f>
        <v>Cable Cartridge</v>
      </c>
      <c r="K1265" s="26" t="s">
        <v>6</v>
      </c>
      <c r="L1265" s="26">
        <v>2021026491189</v>
      </c>
      <c r="M1265" s="50">
        <v>1820926356680</v>
      </c>
      <c r="N1265" s="51" t="s">
        <v>53</v>
      </c>
      <c r="O1265" s="26" t="s">
        <v>728</v>
      </c>
      <c r="P1265" s="26">
        <v>90160</v>
      </c>
      <c r="Q1265" s="26" t="s">
        <v>55</v>
      </c>
    </row>
    <row r="1266" spans="1:17" x14ac:dyDescent="0.3">
      <c r="A1266" s="26" t="s">
        <v>6034</v>
      </c>
      <c r="B1266" s="26" t="s">
        <v>6035</v>
      </c>
      <c r="C1266" s="26" t="s">
        <v>4309</v>
      </c>
      <c r="D1266" s="26" t="s">
        <v>6028</v>
      </c>
      <c r="E1266" s="26" t="s">
        <v>230</v>
      </c>
      <c r="F1266" s="26" t="s">
        <v>238</v>
      </c>
      <c r="G1266" s="26" t="s">
        <v>6020</v>
      </c>
      <c r="H1266" s="26" t="s">
        <v>39</v>
      </c>
      <c r="I1266" s="26" t="s">
        <v>6036</v>
      </c>
      <c r="J1266" s="11" t="str">
        <f>VLOOKUP(K1266,'PN Dictionary'!A:B,2,FALSE)</f>
        <v>NVSwitch</v>
      </c>
      <c r="K1266" s="26" t="s">
        <v>7</v>
      </c>
      <c r="L1266" s="26" t="s">
        <v>6037</v>
      </c>
      <c r="M1266" s="50" t="s">
        <v>6038</v>
      </c>
      <c r="N1266" s="51" t="s">
        <v>53</v>
      </c>
      <c r="O1266" s="26" t="s">
        <v>728</v>
      </c>
      <c r="P1266" s="26">
        <v>90185</v>
      </c>
      <c r="Q1266" s="26" t="s">
        <v>55</v>
      </c>
    </row>
    <row r="1267" spans="1:17" x14ac:dyDescent="0.3">
      <c r="A1267" s="26" t="s">
        <v>6039</v>
      </c>
      <c r="B1267" s="26" t="s">
        <v>6040</v>
      </c>
      <c r="C1267" s="26" t="s">
        <v>4309</v>
      </c>
      <c r="D1267" s="26" t="s">
        <v>5787</v>
      </c>
      <c r="E1267" s="26" t="s">
        <v>5184</v>
      </c>
      <c r="F1267" s="26" t="s">
        <v>5185</v>
      </c>
      <c r="G1267" s="26" t="s">
        <v>6020</v>
      </c>
      <c r="H1267" s="26" t="s">
        <v>39</v>
      </c>
      <c r="I1267" s="26" t="s">
        <v>5185</v>
      </c>
      <c r="J1267" s="11" t="str">
        <f>VLOOKUP(K1267,'PN Dictionary'!A:B,2,FALSE)</f>
        <v>GB300 L10</v>
      </c>
      <c r="K1267" s="26" t="s">
        <v>4318</v>
      </c>
      <c r="L1267" s="26" t="s">
        <v>6041</v>
      </c>
      <c r="M1267" s="50" t="s">
        <v>6042</v>
      </c>
      <c r="N1267" s="51" t="s">
        <v>53</v>
      </c>
      <c r="O1267" s="26" t="s">
        <v>728</v>
      </c>
      <c r="P1267" s="26">
        <v>90185</v>
      </c>
      <c r="Q1267" s="26" t="s">
        <v>55</v>
      </c>
    </row>
    <row r="1268" spans="1:17" x14ac:dyDescent="0.3">
      <c r="A1268" s="26" t="s">
        <v>6043</v>
      </c>
      <c r="B1268" s="26" t="s">
        <v>6044</v>
      </c>
      <c r="C1268" s="26" t="s">
        <v>4309</v>
      </c>
      <c r="D1268" s="26" t="s">
        <v>6045</v>
      </c>
      <c r="E1268" s="26" t="s">
        <v>230</v>
      </c>
      <c r="F1268" s="26" t="s">
        <v>238</v>
      </c>
      <c r="G1268" s="26" t="s">
        <v>6020</v>
      </c>
      <c r="H1268" s="26" t="s">
        <v>39</v>
      </c>
      <c r="I1268" s="26" t="s">
        <v>6046</v>
      </c>
      <c r="J1268" s="11" t="str">
        <f>VLOOKUP(K1268,'PN Dictionary'!A:B,2,FALSE)</f>
        <v>NVSwitch</v>
      </c>
      <c r="K1268" s="26" t="s">
        <v>7</v>
      </c>
      <c r="L1268" s="26" t="s">
        <v>6047</v>
      </c>
      <c r="M1268" s="50" t="s">
        <v>6048</v>
      </c>
      <c r="N1268" s="51" t="s">
        <v>53</v>
      </c>
      <c r="O1268" s="26" t="s">
        <v>728</v>
      </c>
      <c r="P1268" s="26">
        <v>2984</v>
      </c>
      <c r="Q1268" s="26" t="s">
        <v>55</v>
      </c>
    </row>
    <row r="1269" spans="1:17" x14ac:dyDescent="0.3">
      <c r="A1269" s="26" t="s">
        <v>6049</v>
      </c>
      <c r="B1269" s="26" t="s">
        <v>6050</v>
      </c>
      <c r="C1269" s="26" t="s">
        <v>4309</v>
      </c>
      <c r="D1269" s="26" t="s">
        <v>6051</v>
      </c>
      <c r="E1269" s="26" t="s">
        <v>761</v>
      </c>
      <c r="F1269" s="26" t="s">
        <v>3688</v>
      </c>
      <c r="G1269" s="26" t="s">
        <v>6020</v>
      </c>
      <c r="H1269" s="26" t="s">
        <v>39</v>
      </c>
      <c r="I1269" s="26" t="s">
        <v>1163</v>
      </c>
      <c r="J1269" s="11" t="str">
        <f>VLOOKUP(K1269,'PN Dictionary'!A:B,2,FALSE)</f>
        <v>GB300 L10</v>
      </c>
      <c r="K1269" s="26" t="s">
        <v>4318</v>
      </c>
      <c r="L1269" s="26" t="s">
        <v>6052</v>
      </c>
      <c r="M1269" s="50" t="s">
        <v>6053</v>
      </c>
      <c r="N1269" s="51" t="s">
        <v>53</v>
      </c>
      <c r="O1269" s="26" t="s">
        <v>728</v>
      </c>
      <c r="P1269" s="26">
        <v>90160</v>
      </c>
      <c r="Q1269" s="26" t="s">
        <v>55</v>
      </c>
    </row>
    <row r="1270" spans="1:17" x14ac:dyDescent="0.3">
      <c r="A1270" s="26" t="s">
        <v>6054</v>
      </c>
      <c r="B1270" s="26" t="s">
        <v>6055</v>
      </c>
      <c r="C1270" s="26" t="s">
        <v>4309</v>
      </c>
      <c r="D1270" s="26" t="s">
        <v>6051</v>
      </c>
      <c r="E1270" s="26" t="s">
        <v>761</v>
      </c>
      <c r="F1270" s="26" t="s">
        <v>3688</v>
      </c>
      <c r="G1270" s="26" t="s">
        <v>6020</v>
      </c>
      <c r="H1270" s="26" t="s">
        <v>39</v>
      </c>
      <c r="I1270" s="26" t="s">
        <v>1163</v>
      </c>
      <c r="J1270" s="11" t="str">
        <f>VLOOKUP(K1270,'PN Dictionary'!A:B,2,FALSE)</f>
        <v>GB300 L10</v>
      </c>
      <c r="K1270" s="26" t="s">
        <v>4318</v>
      </c>
      <c r="L1270" s="26" t="s">
        <v>6056</v>
      </c>
      <c r="M1270" s="50" t="s">
        <v>6057</v>
      </c>
      <c r="N1270" s="51" t="s">
        <v>53</v>
      </c>
      <c r="O1270" s="26" t="s">
        <v>728</v>
      </c>
      <c r="P1270" s="26">
        <v>90160</v>
      </c>
      <c r="Q1270" s="26" t="s">
        <v>55</v>
      </c>
    </row>
    <row r="1271" spans="1:17" x14ac:dyDescent="0.3">
      <c r="A1271" s="26" t="s">
        <v>6058</v>
      </c>
      <c r="B1271" s="26" t="s">
        <v>6059</v>
      </c>
      <c r="C1271" s="26" t="s">
        <v>4309</v>
      </c>
      <c r="D1271" s="26" t="s">
        <v>6060</v>
      </c>
      <c r="E1271" s="26" t="s">
        <v>3122</v>
      </c>
      <c r="F1271" s="26" t="s">
        <v>3694</v>
      </c>
      <c r="G1271" s="26" t="s">
        <v>6020</v>
      </c>
      <c r="H1271" s="26" t="s">
        <v>39</v>
      </c>
      <c r="I1271" s="26" t="s">
        <v>6061</v>
      </c>
      <c r="J1271" s="11" t="str">
        <f>VLOOKUP(K1271,'PN Dictionary'!A:B,2,FALSE)</f>
        <v>Cable Cartridge</v>
      </c>
      <c r="K1271" s="26" t="s">
        <v>6</v>
      </c>
      <c r="L1271" s="26">
        <v>1821026355226</v>
      </c>
      <c r="M1271" s="50">
        <v>1820926356291</v>
      </c>
      <c r="N1271" s="51" t="s">
        <v>53</v>
      </c>
      <c r="O1271" s="26" t="s">
        <v>728</v>
      </c>
      <c r="P1271" s="26">
        <v>90160</v>
      </c>
      <c r="Q1271" s="26" t="s">
        <v>55</v>
      </c>
    </row>
    <row r="1272" spans="1:17" x14ac:dyDescent="0.3">
      <c r="A1272" s="26" t="s">
        <v>6062</v>
      </c>
      <c r="B1272" s="26" t="s">
        <v>6063</v>
      </c>
      <c r="C1272" s="26" t="s">
        <v>4309</v>
      </c>
      <c r="D1272" s="26" t="s">
        <v>6064</v>
      </c>
      <c r="E1272" s="26" t="s">
        <v>761</v>
      </c>
      <c r="F1272" s="26" t="s">
        <v>3688</v>
      </c>
      <c r="G1272" s="26" t="s">
        <v>6020</v>
      </c>
      <c r="H1272" s="26" t="s">
        <v>39</v>
      </c>
      <c r="I1272" s="26" t="s">
        <v>1163</v>
      </c>
      <c r="J1272" s="11" t="str">
        <f>VLOOKUP(K1272,'PN Dictionary'!A:B,2,FALSE)</f>
        <v>GB300 L10</v>
      </c>
      <c r="K1272" s="26" t="s">
        <v>4318</v>
      </c>
      <c r="L1272" s="26" t="s">
        <v>6065</v>
      </c>
      <c r="M1272" s="50" t="s">
        <v>6066</v>
      </c>
      <c r="N1272" s="51" t="s">
        <v>53</v>
      </c>
      <c r="O1272" s="26" t="s">
        <v>728</v>
      </c>
      <c r="P1272" s="26">
        <v>90160</v>
      </c>
      <c r="Q1272" s="26" t="s">
        <v>55</v>
      </c>
    </row>
    <row r="1273" spans="1:17" x14ac:dyDescent="0.3">
      <c r="A1273" s="26" t="s">
        <v>6067</v>
      </c>
      <c r="B1273" s="26" t="s">
        <v>6068</v>
      </c>
      <c r="C1273" s="26" t="s">
        <v>4309</v>
      </c>
      <c r="D1273" s="26" t="s">
        <v>6069</v>
      </c>
      <c r="E1273" s="26" t="s">
        <v>761</v>
      </c>
      <c r="F1273" s="26" t="s">
        <v>3688</v>
      </c>
      <c r="G1273" s="26" t="s">
        <v>6020</v>
      </c>
      <c r="H1273" s="26" t="s">
        <v>39</v>
      </c>
      <c r="I1273" s="26" t="s">
        <v>1163</v>
      </c>
      <c r="J1273" s="11" t="str">
        <f>VLOOKUP(K1273,'PN Dictionary'!A:B,2,FALSE)</f>
        <v>GB300 L10</v>
      </c>
      <c r="K1273" s="26" t="s">
        <v>4318</v>
      </c>
      <c r="L1273" s="26" t="s">
        <v>6070</v>
      </c>
      <c r="M1273" s="50" t="s">
        <v>6071</v>
      </c>
      <c r="N1273" s="51" t="s">
        <v>53</v>
      </c>
      <c r="O1273" s="26" t="s">
        <v>728</v>
      </c>
      <c r="P1273" s="26">
        <v>90160</v>
      </c>
      <c r="Q1273" s="26" t="s">
        <v>55</v>
      </c>
    </row>
    <row r="1274" spans="1:17" x14ac:dyDescent="0.3">
      <c r="A1274" s="26" t="s">
        <v>6072</v>
      </c>
      <c r="B1274" s="26" t="s">
        <v>6073</v>
      </c>
      <c r="C1274" s="26" t="s">
        <v>4309</v>
      </c>
      <c r="D1274" s="26" t="s">
        <v>6024</v>
      </c>
      <c r="E1274" s="26" t="s">
        <v>81</v>
      </c>
      <c r="F1274" s="26" t="s">
        <v>522</v>
      </c>
      <c r="G1274" s="26" t="s">
        <v>6020</v>
      </c>
      <c r="H1274" s="26" t="s">
        <v>39</v>
      </c>
      <c r="I1274" s="26" t="s">
        <v>522</v>
      </c>
      <c r="J1274" s="11" t="str">
        <f>VLOOKUP(K1274,'PN Dictionary'!A:B,2,FALSE)</f>
        <v>GB300 L10</v>
      </c>
      <c r="K1274" s="26" t="s">
        <v>4318</v>
      </c>
      <c r="L1274" s="26" t="s">
        <v>4808</v>
      </c>
      <c r="M1274" s="50" t="s">
        <v>5070</v>
      </c>
      <c r="N1274" s="51" t="s">
        <v>53</v>
      </c>
      <c r="O1274" s="26" t="s">
        <v>728</v>
      </c>
      <c r="P1274" s="26">
        <v>90185</v>
      </c>
      <c r="Q1274" s="26" t="s">
        <v>55</v>
      </c>
    </row>
    <row r="1275" spans="1:17" x14ac:dyDescent="0.3">
      <c r="A1275" s="26" t="s">
        <v>6074</v>
      </c>
      <c r="B1275" s="26" t="s">
        <v>6075</v>
      </c>
      <c r="C1275" s="26" t="s">
        <v>4309</v>
      </c>
      <c r="D1275" s="26" t="s">
        <v>6076</v>
      </c>
      <c r="E1275" s="26" t="s">
        <v>4899</v>
      </c>
      <c r="F1275" s="26" t="s">
        <v>4900</v>
      </c>
      <c r="G1275" s="26" t="s">
        <v>6020</v>
      </c>
      <c r="H1275" s="26" t="s">
        <v>39</v>
      </c>
      <c r="I1275" s="26" t="s">
        <v>4900</v>
      </c>
      <c r="J1275" s="11" t="str">
        <f>VLOOKUP(K1275,'PN Dictionary'!A:B,2,FALSE)</f>
        <v>GB300 L10</v>
      </c>
      <c r="K1275" s="26" t="s">
        <v>4318</v>
      </c>
      <c r="L1275" s="26" t="s">
        <v>6077</v>
      </c>
      <c r="M1275" s="50" t="s">
        <v>6078</v>
      </c>
      <c r="N1275" s="51" t="s">
        <v>53</v>
      </c>
      <c r="O1275" s="26" t="s">
        <v>728</v>
      </c>
      <c r="P1275" s="26">
        <v>90185</v>
      </c>
      <c r="Q1275" s="26" t="s">
        <v>55</v>
      </c>
    </row>
    <row r="1276" spans="1:17" x14ac:dyDescent="0.3">
      <c r="A1276" s="26" t="s">
        <v>6079</v>
      </c>
      <c r="B1276" s="26" t="s">
        <v>6080</v>
      </c>
      <c r="C1276" s="26" t="s">
        <v>4309</v>
      </c>
      <c r="D1276" s="26" t="s">
        <v>6081</v>
      </c>
      <c r="E1276" s="26" t="s">
        <v>4899</v>
      </c>
      <c r="F1276" s="26" t="s">
        <v>4900</v>
      </c>
      <c r="G1276" s="26" t="s">
        <v>6020</v>
      </c>
      <c r="H1276" s="26" t="s">
        <v>39</v>
      </c>
      <c r="I1276" s="26" t="s">
        <v>4900</v>
      </c>
      <c r="J1276" s="11" t="str">
        <f>VLOOKUP(K1276,'PN Dictionary'!A:B,2,FALSE)</f>
        <v>GB300 L10</v>
      </c>
      <c r="K1276" s="26" t="s">
        <v>4318</v>
      </c>
      <c r="L1276" s="26" t="s">
        <v>6082</v>
      </c>
      <c r="M1276" s="50" t="s">
        <v>6083</v>
      </c>
      <c r="N1276" s="51" t="s">
        <v>53</v>
      </c>
      <c r="O1276" s="26" t="s">
        <v>728</v>
      </c>
      <c r="P1276" s="26">
        <v>90185</v>
      </c>
      <c r="Q1276" s="26" t="s">
        <v>55</v>
      </c>
    </row>
    <row r="1277" spans="1:17" x14ac:dyDescent="0.3">
      <c r="A1277" s="26" t="s">
        <v>6084</v>
      </c>
      <c r="B1277" s="26" t="s">
        <v>6085</v>
      </c>
      <c r="C1277" s="26" t="s">
        <v>4309</v>
      </c>
      <c r="D1277" s="26" t="s">
        <v>6024</v>
      </c>
      <c r="E1277" s="26" t="s">
        <v>761</v>
      </c>
      <c r="F1277" s="26" t="s">
        <v>3688</v>
      </c>
      <c r="G1277" s="26" t="s">
        <v>6020</v>
      </c>
      <c r="H1277" s="26" t="s">
        <v>39</v>
      </c>
      <c r="I1277" s="26" t="s">
        <v>3688</v>
      </c>
      <c r="J1277" s="11" t="str">
        <f>VLOOKUP(K1277,'PN Dictionary'!A:B,2,FALSE)</f>
        <v>GB300 L10</v>
      </c>
      <c r="K1277" s="26" t="s">
        <v>4318</v>
      </c>
      <c r="L1277" s="26" t="s">
        <v>5587</v>
      </c>
      <c r="M1277" s="50" t="s">
        <v>6086</v>
      </c>
      <c r="N1277" s="51" t="s">
        <v>53</v>
      </c>
      <c r="O1277" s="26" t="s">
        <v>728</v>
      </c>
      <c r="P1277" s="26">
        <v>90185</v>
      </c>
      <c r="Q1277" s="26" t="s">
        <v>55</v>
      </c>
    </row>
    <row r="1278" spans="1:17" x14ac:dyDescent="0.3">
      <c r="A1278" s="26" t="s">
        <v>6087</v>
      </c>
      <c r="B1278" s="26" t="s">
        <v>6088</v>
      </c>
      <c r="C1278" s="26" t="s">
        <v>4309</v>
      </c>
      <c r="D1278" s="26" t="s">
        <v>6081</v>
      </c>
      <c r="E1278" s="26" t="s">
        <v>4031</v>
      </c>
      <c r="F1278" s="26" t="s">
        <v>4032</v>
      </c>
      <c r="G1278" s="26" t="s">
        <v>6020</v>
      </c>
      <c r="H1278" s="26" t="s">
        <v>39</v>
      </c>
      <c r="I1278" s="26" t="s">
        <v>4032</v>
      </c>
      <c r="J1278" s="11" t="str">
        <f>VLOOKUP(K1278,'PN Dictionary'!A:B,2,FALSE)</f>
        <v>GB300 L10</v>
      </c>
      <c r="K1278" s="26" t="s">
        <v>4318</v>
      </c>
      <c r="L1278" s="26" t="s">
        <v>6089</v>
      </c>
      <c r="M1278" s="50" t="s">
        <v>6090</v>
      </c>
      <c r="N1278" s="51" t="s">
        <v>53</v>
      </c>
      <c r="O1278" s="26" t="s">
        <v>728</v>
      </c>
      <c r="P1278" s="26">
        <v>90185</v>
      </c>
      <c r="Q1278" s="26" t="s">
        <v>55</v>
      </c>
    </row>
    <row r="1279" spans="1:17" x14ac:dyDescent="0.3">
      <c r="A1279" s="26" t="s">
        <v>6091</v>
      </c>
      <c r="B1279" s="26" t="s">
        <v>6092</v>
      </c>
      <c r="C1279" s="26" t="s">
        <v>4309</v>
      </c>
      <c r="D1279" s="26" t="s">
        <v>6093</v>
      </c>
      <c r="E1279" s="26" t="s">
        <v>761</v>
      </c>
      <c r="F1279" s="26" t="s">
        <v>3688</v>
      </c>
      <c r="G1279" s="26" t="s">
        <v>6094</v>
      </c>
      <c r="H1279" s="26" t="s">
        <v>39</v>
      </c>
      <c r="I1279" s="26" t="s">
        <v>3688</v>
      </c>
      <c r="J1279" s="11" t="str">
        <f>VLOOKUP(K1279,'PN Dictionary'!A:B,2,FALSE)</f>
        <v>GB300 L10</v>
      </c>
      <c r="K1279" s="26" t="s">
        <v>4318</v>
      </c>
      <c r="L1279" s="26" t="s">
        <v>6095</v>
      </c>
      <c r="M1279" s="50" t="s">
        <v>6096</v>
      </c>
      <c r="N1279" s="51" t="s">
        <v>53</v>
      </c>
      <c r="O1279" s="26" t="s">
        <v>728</v>
      </c>
      <c r="P1279" s="26">
        <v>90185</v>
      </c>
      <c r="Q1279" s="26" t="s">
        <v>55</v>
      </c>
    </row>
    <row r="1280" spans="1:17" x14ac:dyDescent="0.3">
      <c r="A1280" s="26" t="s">
        <v>6097</v>
      </c>
      <c r="B1280" s="26" t="s">
        <v>6098</v>
      </c>
      <c r="C1280" s="26" t="s">
        <v>4309</v>
      </c>
      <c r="D1280" s="26" t="s">
        <v>5687</v>
      </c>
      <c r="E1280" s="26" t="s">
        <v>230</v>
      </c>
      <c r="F1280" s="26" t="s">
        <v>238</v>
      </c>
      <c r="G1280" s="26" t="s">
        <v>6094</v>
      </c>
      <c r="H1280" s="26" t="s">
        <v>39</v>
      </c>
      <c r="I1280" s="26" t="s">
        <v>6099</v>
      </c>
      <c r="J1280" s="11" t="str">
        <f>VLOOKUP(K1280,'PN Dictionary'!A:B,2,FALSE)</f>
        <v>NVSwitch</v>
      </c>
      <c r="K1280" s="26" t="s">
        <v>7</v>
      </c>
      <c r="L1280" s="26" t="s">
        <v>6100</v>
      </c>
      <c r="M1280" s="50" t="s">
        <v>6101</v>
      </c>
      <c r="N1280" s="51" t="s">
        <v>53</v>
      </c>
      <c r="O1280" s="26" t="s">
        <v>728</v>
      </c>
      <c r="P1280" s="26">
        <v>4369</v>
      </c>
      <c r="Q1280" s="26" t="s">
        <v>55</v>
      </c>
    </row>
    <row r="1281" spans="1:18" x14ac:dyDescent="0.3">
      <c r="A1281" s="26" t="s">
        <v>6102</v>
      </c>
      <c r="B1281" s="26" t="s">
        <v>6103</v>
      </c>
      <c r="C1281" s="26" t="s">
        <v>4309</v>
      </c>
      <c r="D1281" s="26" t="s">
        <v>6051</v>
      </c>
      <c r="E1281" s="26" t="s">
        <v>128</v>
      </c>
      <c r="F1281" s="26" t="s">
        <v>205</v>
      </c>
      <c r="G1281" s="26" t="s">
        <v>6094</v>
      </c>
      <c r="H1281" s="26" t="s">
        <v>39</v>
      </c>
      <c r="I1281" s="26" t="s">
        <v>6104</v>
      </c>
      <c r="J1281" s="11" t="str">
        <f>VLOOKUP(K1281,'PN Dictionary'!A:B,2,FALSE)</f>
        <v>Cable Cartridge</v>
      </c>
      <c r="K1281" s="26" t="s">
        <v>6</v>
      </c>
      <c r="L1281" s="26">
        <v>2020526490562</v>
      </c>
      <c r="M1281" s="50">
        <v>1821026355063</v>
      </c>
      <c r="N1281" s="51" t="s">
        <v>53</v>
      </c>
      <c r="O1281" s="26" t="s">
        <v>728</v>
      </c>
      <c r="P1281" s="26">
        <v>4369</v>
      </c>
      <c r="Q1281" s="26" t="s">
        <v>55</v>
      </c>
    </row>
    <row r="1282" spans="1:18" x14ac:dyDescent="0.3">
      <c r="A1282" s="26" t="s">
        <v>6105</v>
      </c>
      <c r="B1282" s="26" t="s">
        <v>6106</v>
      </c>
      <c r="C1282" s="26" t="s">
        <v>4309</v>
      </c>
      <c r="D1282" s="26" t="s">
        <v>6012</v>
      </c>
      <c r="E1282" s="26" t="s">
        <v>230</v>
      </c>
      <c r="F1282" s="26" t="s">
        <v>238</v>
      </c>
      <c r="G1282" s="26" t="s">
        <v>6094</v>
      </c>
      <c r="H1282" s="26" t="s">
        <v>39</v>
      </c>
      <c r="I1282" s="26" t="s">
        <v>6107</v>
      </c>
      <c r="J1282" s="11" t="str">
        <f>VLOOKUP(K1282,'PN Dictionary'!A:B,2,FALSE)</f>
        <v>NVSwitch</v>
      </c>
      <c r="K1282" s="26" t="s">
        <v>7</v>
      </c>
      <c r="L1282" s="26" t="s">
        <v>6108</v>
      </c>
      <c r="M1282" s="50" t="s">
        <v>6109</v>
      </c>
      <c r="N1282" s="51" t="s">
        <v>53</v>
      </c>
      <c r="O1282" s="26" t="s">
        <v>728</v>
      </c>
      <c r="P1282" s="26">
        <v>90185</v>
      </c>
      <c r="Q1282" s="26" t="s">
        <v>55</v>
      </c>
    </row>
    <row r="1283" spans="1:18" x14ac:dyDescent="0.3">
      <c r="A1283" s="26" t="s">
        <v>6110</v>
      </c>
      <c r="B1283" s="26" t="s">
        <v>6111</v>
      </c>
      <c r="C1283" s="26" t="s">
        <v>4309</v>
      </c>
      <c r="D1283" s="26" t="s">
        <v>6112</v>
      </c>
      <c r="E1283" s="26" t="s">
        <v>230</v>
      </c>
      <c r="F1283" s="26" t="s">
        <v>238</v>
      </c>
      <c r="G1283" s="26" t="s">
        <v>6094</v>
      </c>
      <c r="H1283" s="26" t="s">
        <v>39</v>
      </c>
      <c r="I1283" s="26" t="s">
        <v>6113</v>
      </c>
      <c r="J1283" s="11" t="str">
        <f>VLOOKUP(K1283,'PN Dictionary'!A:B,2,FALSE)</f>
        <v>NVSwitch</v>
      </c>
      <c r="K1283" s="26" t="s">
        <v>7</v>
      </c>
      <c r="L1283" s="26" t="s">
        <v>6114</v>
      </c>
      <c r="M1283" s="50" t="s">
        <v>6115</v>
      </c>
      <c r="N1283" s="51" t="s">
        <v>53</v>
      </c>
      <c r="O1283" s="26" t="s">
        <v>728</v>
      </c>
      <c r="P1283" s="26">
        <v>90185</v>
      </c>
      <c r="Q1283" s="26" t="s">
        <v>55</v>
      </c>
      <c r="R1283" s="26">
        <v>401000076191</v>
      </c>
    </row>
    <row r="1284" spans="1:18" x14ac:dyDescent="0.3">
      <c r="A1284" s="26" t="s">
        <v>6116</v>
      </c>
      <c r="B1284" s="26" t="s">
        <v>6117</v>
      </c>
      <c r="C1284" s="26" t="s">
        <v>4309</v>
      </c>
      <c r="D1284" s="26" t="s">
        <v>6118</v>
      </c>
      <c r="E1284" s="26" t="s">
        <v>4899</v>
      </c>
      <c r="F1284" s="26" t="s">
        <v>4900</v>
      </c>
      <c r="G1284" s="26" t="s">
        <v>6094</v>
      </c>
      <c r="H1284" s="26" t="s">
        <v>39</v>
      </c>
      <c r="I1284" s="26" t="s">
        <v>4900</v>
      </c>
      <c r="J1284" s="11" t="str">
        <f>VLOOKUP(K1284,'PN Dictionary'!A:B,2,FALSE)</f>
        <v>GB300 L10</v>
      </c>
      <c r="K1284" s="26" t="s">
        <v>4318</v>
      </c>
      <c r="L1284" s="26" t="s">
        <v>6119</v>
      </c>
      <c r="M1284" s="50" t="s">
        <v>6120</v>
      </c>
      <c r="N1284" s="51" t="s">
        <v>53</v>
      </c>
      <c r="O1284" s="26" t="s">
        <v>728</v>
      </c>
      <c r="P1284" s="26">
        <v>90185</v>
      </c>
      <c r="Q1284" s="26" t="s">
        <v>55</v>
      </c>
      <c r="R1284" s="26">
        <v>401000076192</v>
      </c>
    </row>
    <row r="1285" spans="1:18" x14ac:dyDescent="0.3">
      <c r="A1285" s="26" t="s">
        <v>6121</v>
      </c>
      <c r="B1285" s="26" t="s">
        <v>6122</v>
      </c>
      <c r="C1285" s="26" t="s">
        <v>4309</v>
      </c>
      <c r="D1285" s="26" t="s">
        <v>6081</v>
      </c>
      <c r="E1285" s="26" t="s">
        <v>4899</v>
      </c>
      <c r="F1285" s="26" t="s">
        <v>4900</v>
      </c>
      <c r="G1285" s="26" t="s">
        <v>6094</v>
      </c>
      <c r="H1285" s="26" t="s">
        <v>39</v>
      </c>
      <c r="I1285" s="26" t="s">
        <v>4900</v>
      </c>
      <c r="J1285" s="11" t="str">
        <f>VLOOKUP(K1285,'PN Dictionary'!A:B,2,FALSE)</f>
        <v>GB300 L10</v>
      </c>
      <c r="K1285" s="26" t="s">
        <v>4318</v>
      </c>
      <c r="L1285" s="26" t="s">
        <v>6123</v>
      </c>
      <c r="M1285" s="50" t="s">
        <v>6124</v>
      </c>
      <c r="N1285" s="51" t="s">
        <v>53</v>
      </c>
      <c r="O1285" s="26" t="s">
        <v>728</v>
      </c>
      <c r="P1285" s="26">
        <v>90185</v>
      </c>
      <c r="Q1285" s="26" t="s">
        <v>55</v>
      </c>
      <c r="R1285" s="26">
        <v>401000076119</v>
      </c>
    </row>
    <row r="1286" spans="1:18" x14ac:dyDescent="0.3">
      <c r="A1286" s="26" t="s">
        <v>6125</v>
      </c>
      <c r="B1286" s="26" t="s">
        <v>6126</v>
      </c>
      <c r="C1286" s="26" t="s">
        <v>4309</v>
      </c>
      <c r="D1286" s="26" t="s">
        <v>6127</v>
      </c>
      <c r="E1286" s="26" t="s">
        <v>633</v>
      </c>
      <c r="F1286" s="26" t="s">
        <v>1796</v>
      </c>
      <c r="G1286" s="26" t="s">
        <v>6094</v>
      </c>
      <c r="H1286" s="26" t="s">
        <v>39</v>
      </c>
      <c r="I1286" s="26" t="s">
        <v>1796</v>
      </c>
      <c r="J1286" s="11" t="str">
        <f>VLOOKUP(K1286,'PN Dictionary'!A:B,2,FALSE)</f>
        <v>GB300 L10</v>
      </c>
      <c r="K1286" s="26" t="s">
        <v>4318</v>
      </c>
      <c r="L1286" s="26" t="s">
        <v>6128</v>
      </c>
      <c r="M1286" s="50" t="s">
        <v>6129</v>
      </c>
      <c r="N1286" s="51" t="s">
        <v>53</v>
      </c>
      <c r="O1286" s="26" t="s">
        <v>728</v>
      </c>
      <c r="P1286" s="26">
        <v>90185</v>
      </c>
      <c r="Q1286" s="26" t="s">
        <v>55</v>
      </c>
      <c r="R1286" s="26">
        <v>401000076192</v>
      </c>
    </row>
    <row r="1287" spans="1:18" x14ac:dyDescent="0.3">
      <c r="A1287" s="26" t="s">
        <v>6130</v>
      </c>
      <c r="B1287" s="26" t="s">
        <v>6131</v>
      </c>
      <c r="C1287" s="26" t="s">
        <v>4309</v>
      </c>
      <c r="D1287" s="26" t="s">
        <v>6118</v>
      </c>
      <c r="E1287" s="26" t="s">
        <v>81</v>
      </c>
      <c r="F1287" s="26" t="s">
        <v>522</v>
      </c>
      <c r="G1287" s="26" t="s">
        <v>6094</v>
      </c>
      <c r="H1287" s="26" t="s">
        <v>39</v>
      </c>
      <c r="I1287" s="26" t="s">
        <v>522</v>
      </c>
      <c r="J1287" s="11" t="str">
        <f>VLOOKUP(K1287,'PN Dictionary'!A:B,2,FALSE)</f>
        <v>GB300 L10</v>
      </c>
      <c r="K1287" s="26" t="s">
        <v>4318</v>
      </c>
      <c r="L1287" s="26" t="s">
        <v>6132</v>
      </c>
      <c r="M1287" s="50" t="s">
        <v>6133</v>
      </c>
      <c r="N1287" s="51" t="s">
        <v>53</v>
      </c>
      <c r="O1287" s="26" t="s">
        <v>728</v>
      </c>
      <c r="P1287" s="26">
        <v>90185</v>
      </c>
      <c r="Q1287" s="26" t="s">
        <v>55</v>
      </c>
      <c r="R1287" s="26">
        <v>401000076192</v>
      </c>
    </row>
    <row r="1288" spans="1:18" x14ac:dyDescent="0.3">
      <c r="A1288" s="26" t="s">
        <v>6134</v>
      </c>
      <c r="B1288" s="26" t="s">
        <v>6135</v>
      </c>
      <c r="C1288" s="26" t="s">
        <v>4309</v>
      </c>
      <c r="D1288" s="26" t="s">
        <v>6136</v>
      </c>
      <c r="E1288" s="26" t="s">
        <v>4031</v>
      </c>
      <c r="F1288" s="26" t="s">
        <v>4032</v>
      </c>
      <c r="G1288" s="26" t="s">
        <v>6094</v>
      </c>
      <c r="H1288" s="26" t="s">
        <v>39</v>
      </c>
      <c r="I1288" s="26" t="s">
        <v>4032</v>
      </c>
      <c r="J1288" s="11" t="str">
        <f>VLOOKUP(K1288,'PN Dictionary'!A:B,2,FALSE)</f>
        <v>GB300 L10</v>
      </c>
      <c r="K1288" s="26" t="s">
        <v>4318</v>
      </c>
      <c r="L1288" s="26" t="s">
        <v>6137</v>
      </c>
      <c r="M1288" s="50" t="s">
        <v>6138</v>
      </c>
      <c r="N1288" s="51" t="s">
        <v>53</v>
      </c>
      <c r="O1288" s="26" t="s">
        <v>728</v>
      </c>
      <c r="P1288" s="26">
        <v>90185</v>
      </c>
      <c r="Q1288" s="26" t="s">
        <v>55</v>
      </c>
      <c r="R1288" s="26">
        <v>401000076191</v>
      </c>
    </row>
    <row r="1289" spans="1:18" x14ac:dyDescent="0.3">
      <c r="A1289" s="26" t="s">
        <v>6139</v>
      </c>
      <c r="B1289" s="26" t="s">
        <v>6140</v>
      </c>
      <c r="C1289" s="26" t="s">
        <v>4309</v>
      </c>
      <c r="D1289" s="26" t="s">
        <v>6141</v>
      </c>
      <c r="E1289" s="26" t="s">
        <v>4899</v>
      </c>
      <c r="F1289" s="26" t="s">
        <v>4900</v>
      </c>
      <c r="G1289" s="26" t="s">
        <v>6094</v>
      </c>
      <c r="H1289" s="26" t="s">
        <v>39</v>
      </c>
      <c r="I1289" s="26" t="s">
        <v>5885</v>
      </c>
      <c r="J1289" s="11" t="str">
        <f>VLOOKUP(K1289,'PN Dictionary'!A:B,2,FALSE)</f>
        <v>GB300 L10</v>
      </c>
      <c r="K1289" s="26" t="s">
        <v>4318</v>
      </c>
      <c r="L1289" s="26" t="s">
        <v>6142</v>
      </c>
      <c r="M1289" s="50" t="s">
        <v>6142</v>
      </c>
      <c r="N1289" s="51" t="s">
        <v>53</v>
      </c>
      <c r="O1289" s="26" t="s">
        <v>728</v>
      </c>
      <c r="P1289" s="26">
        <v>90185</v>
      </c>
      <c r="Q1289" s="26" t="s">
        <v>1552</v>
      </c>
      <c r="R1289" s="26">
        <v>401000076191</v>
      </c>
    </row>
    <row r="1290" spans="1:18" x14ac:dyDescent="0.3">
      <c r="A1290" s="26" t="s">
        <v>6143</v>
      </c>
      <c r="B1290" s="26" t="s">
        <v>6144</v>
      </c>
      <c r="C1290" s="26" t="s">
        <v>4309</v>
      </c>
      <c r="D1290" s="26" t="s">
        <v>6145</v>
      </c>
      <c r="E1290" s="26" t="s">
        <v>4899</v>
      </c>
      <c r="F1290" s="26" t="s">
        <v>4900</v>
      </c>
      <c r="G1290" s="26" t="s">
        <v>6094</v>
      </c>
      <c r="H1290" s="26" t="s">
        <v>39</v>
      </c>
      <c r="I1290" s="26" t="s">
        <v>5885</v>
      </c>
      <c r="J1290" s="11" t="str">
        <f>VLOOKUP(K1290,'PN Dictionary'!A:B,2,FALSE)</f>
        <v>GB300 L10</v>
      </c>
      <c r="K1290" s="26" t="s">
        <v>4318</v>
      </c>
      <c r="L1290" s="26" t="s">
        <v>6146</v>
      </c>
      <c r="M1290" s="50" t="s">
        <v>6147</v>
      </c>
      <c r="N1290" s="51" t="s">
        <v>53</v>
      </c>
      <c r="O1290" s="26" t="s">
        <v>728</v>
      </c>
      <c r="P1290" s="26">
        <v>90185</v>
      </c>
      <c r="Q1290" s="26" t="s">
        <v>55</v>
      </c>
      <c r="R1290" s="26">
        <v>401000076192</v>
      </c>
    </row>
    <row r="1291" spans="1:18" x14ac:dyDescent="0.3">
      <c r="A1291" s="26" t="s">
        <v>6148</v>
      </c>
      <c r="B1291" s="26" t="s">
        <v>6149</v>
      </c>
      <c r="C1291" s="26" t="s">
        <v>4309</v>
      </c>
      <c r="D1291" s="26" t="s">
        <v>6112</v>
      </c>
      <c r="E1291" s="26" t="s">
        <v>761</v>
      </c>
      <c r="F1291" s="26" t="s">
        <v>3688</v>
      </c>
      <c r="G1291" s="26" t="s">
        <v>6094</v>
      </c>
      <c r="H1291" s="26" t="s">
        <v>39</v>
      </c>
      <c r="I1291" s="26" t="s">
        <v>3688</v>
      </c>
      <c r="J1291" s="11" t="str">
        <f>VLOOKUP(K1291,'PN Dictionary'!A:B,2,FALSE)</f>
        <v>GB300 L10</v>
      </c>
      <c r="K1291" s="26" t="s">
        <v>4318</v>
      </c>
      <c r="L1291" s="26" t="s">
        <v>6150</v>
      </c>
      <c r="M1291" s="50" t="s">
        <v>6151</v>
      </c>
      <c r="N1291" s="51" t="s">
        <v>53</v>
      </c>
      <c r="O1291" s="26" t="s">
        <v>728</v>
      </c>
      <c r="P1291" s="26">
        <v>90185</v>
      </c>
      <c r="Q1291" s="26" t="s">
        <v>55</v>
      </c>
      <c r="R1291" s="26">
        <v>401000076191</v>
      </c>
    </row>
    <row r="1292" spans="1:18" x14ac:dyDescent="0.3">
      <c r="A1292" s="26" t="s">
        <v>6152</v>
      </c>
      <c r="B1292" s="26" t="s">
        <v>6153</v>
      </c>
      <c r="C1292" s="26" t="s">
        <v>4309</v>
      </c>
      <c r="D1292" s="26" t="s">
        <v>6154</v>
      </c>
      <c r="E1292" s="26" t="s">
        <v>3881</v>
      </c>
      <c r="F1292" s="26" t="s">
        <v>3882</v>
      </c>
      <c r="G1292" s="26" t="s">
        <v>6155</v>
      </c>
      <c r="H1292" s="26" t="s">
        <v>39</v>
      </c>
      <c r="I1292" s="26" t="s">
        <v>6156</v>
      </c>
      <c r="J1292" s="11" t="str">
        <f>VLOOKUP(K1292,'PN Dictionary'!A:B,2,FALSE)</f>
        <v>GB300 L10</v>
      </c>
      <c r="K1292" s="26" t="s">
        <v>4318</v>
      </c>
      <c r="L1292" s="26" t="s">
        <v>5536</v>
      </c>
      <c r="M1292" s="50" t="s">
        <v>6157</v>
      </c>
      <c r="N1292" s="51" t="s">
        <v>53</v>
      </c>
      <c r="O1292" s="26" t="s">
        <v>728</v>
      </c>
      <c r="P1292" s="26">
        <v>90178</v>
      </c>
      <c r="Q1292" s="26" t="s">
        <v>55</v>
      </c>
      <c r="R1292" s="26">
        <v>401000076239</v>
      </c>
    </row>
    <row r="1293" spans="1:18" x14ac:dyDescent="0.3">
      <c r="A1293" s="26" t="s">
        <v>6158</v>
      </c>
      <c r="B1293" s="26" t="s">
        <v>6159</v>
      </c>
      <c r="C1293" s="26" t="s">
        <v>4309</v>
      </c>
      <c r="D1293" s="26" t="s">
        <v>6154</v>
      </c>
      <c r="E1293" s="26" t="s">
        <v>633</v>
      </c>
      <c r="F1293" s="26" t="s">
        <v>1796</v>
      </c>
      <c r="G1293" s="26" t="s">
        <v>6155</v>
      </c>
      <c r="H1293" s="26" t="s">
        <v>39</v>
      </c>
      <c r="I1293" s="26" t="s">
        <v>6160</v>
      </c>
      <c r="J1293" s="11" t="str">
        <f>VLOOKUP(K1293,'PN Dictionary'!A:B,2,FALSE)</f>
        <v>GB300 L10</v>
      </c>
      <c r="K1293" s="26" t="s">
        <v>4318</v>
      </c>
      <c r="L1293" s="26" t="s">
        <v>6161</v>
      </c>
      <c r="M1293" s="50" t="s">
        <v>6162</v>
      </c>
      <c r="N1293" s="51" t="s">
        <v>53</v>
      </c>
      <c r="O1293" s="26" t="s">
        <v>728</v>
      </c>
      <c r="P1293" s="26">
        <v>90178</v>
      </c>
      <c r="Q1293" s="26" t="s">
        <v>55</v>
      </c>
      <c r="R1293" s="26">
        <v>401000076239</v>
      </c>
    </row>
    <row r="1294" spans="1:18" x14ac:dyDescent="0.3">
      <c r="A1294" s="26" t="s">
        <v>6163</v>
      </c>
      <c r="B1294" s="26" t="s">
        <v>6164</v>
      </c>
      <c r="C1294" s="26" t="s">
        <v>4309</v>
      </c>
      <c r="D1294" s="26" t="s">
        <v>6165</v>
      </c>
      <c r="E1294" s="26" t="s">
        <v>128</v>
      </c>
      <c r="F1294" s="26" t="s">
        <v>205</v>
      </c>
      <c r="G1294" s="26" t="s">
        <v>6155</v>
      </c>
      <c r="H1294" s="26" t="s">
        <v>39</v>
      </c>
      <c r="I1294" s="26" t="s">
        <v>6166</v>
      </c>
      <c r="J1294" s="11" t="str">
        <f>VLOOKUP(K1294,'PN Dictionary'!A:B,2,FALSE)</f>
        <v>Cable Cartridge</v>
      </c>
      <c r="K1294" s="26" t="s">
        <v>6</v>
      </c>
      <c r="L1294" s="26">
        <v>1821026355138</v>
      </c>
      <c r="M1294" s="50">
        <v>1821026354966</v>
      </c>
      <c r="N1294" s="51" t="s">
        <v>53</v>
      </c>
      <c r="O1294" s="26" t="s">
        <v>728</v>
      </c>
      <c r="P1294" s="26">
        <v>4369</v>
      </c>
      <c r="Q1294" s="26" t="s">
        <v>55</v>
      </c>
      <c r="R1294" s="26">
        <v>401000076191</v>
      </c>
    </row>
    <row r="1295" spans="1:18" x14ac:dyDescent="0.3">
      <c r="A1295" s="26" t="s">
        <v>6167</v>
      </c>
      <c r="B1295" s="26" t="s">
        <v>6168</v>
      </c>
      <c r="C1295" s="26" t="s">
        <v>4309</v>
      </c>
      <c r="D1295" s="26" t="s">
        <v>6169</v>
      </c>
      <c r="E1295" s="26" t="s">
        <v>3703</v>
      </c>
      <c r="F1295" s="26" t="s">
        <v>3704</v>
      </c>
      <c r="G1295" s="26" t="s">
        <v>6155</v>
      </c>
      <c r="H1295" s="26" t="s">
        <v>39</v>
      </c>
      <c r="I1295" s="26" t="s">
        <v>6170</v>
      </c>
      <c r="J1295" s="11" t="str">
        <f>VLOOKUP(K1295,'PN Dictionary'!A:B,2,FALSE)</f>
        <v>power shelf left input</v>
      </c>
      <c r="K1295" s="26" t="s">
        <v>3529</v>
      </c>
      <c r="L1295" s="26" t="s">
        <v>6171</v>
      </c>
      <c r="M1295" s="50" t="s">
        <v>6172</v>
      </c>
      <c r="N1295" s="51" t="s">
        <v>53</v>
      </c>
      <c r="O1295" s="26" t="s">
        <v>728</v>
      </c>
      <c r="P1295" s="26">
        <v>640</v>
      </c>
      <c r="Q1295" s="26" t="s">
        <v>55</v>
      </c>
      <c r="R1295" s="26">
        <v>401000076192</v>
      </c>
    </row>
    <row r="1296" spans="1:18" x14ac:dyDescent="0.3">
      <c r="A1296" s="26" t="s">
        <v>6173</v>
      </c>
      <c r="B1296" s="26" t="s">
        <v>6174</v>
      </c>
      <c r="C1296" s="26" t="s">
        <v>4309</v>
      </c>
      <c r="D1296" s="26" t="s">
        <v>6175</v>
      </c>
      <c r="E1296" s="26" t="s">
        <v>6176</v>
      </c>
      <c r="F1296" s="26" t="s">
        <v>6177</v>
      </c>
      <c r="G1296" s="26" t="s">
        <v>6155</v>
      </c>
      <c r="H1296" s="26" t="s">
        <v>39</v>
      </c>
      <c r="I1296" s="26" t="s">
        <v>6178</v>
      </c>
      <c r="J1296" s="11" t="str">
        <f>VLOOKUP(K1296,'PN Dictionary'!A:B,2,FALSE)</f>
        <v>GB300 L10</v>
      </c>
      <c r="K1296" s="26" t="s">
        <v>4318</v>
      </c>
      <c r="L1296" s="26" t="s">
        <v>6179</v>
      </c>
      <c r="M1296" s="50" t="s">
        <v>6180</v>
      </c>
      <c r="N1296" s="51" t="s">
        <v>53</v>
      </c>
      <c r="O1296" s="26" t="s">
        <v>728</v>
      </c>
      <c r="P1296" s="26">
        <v>90131</v>
      </c>
      <c r="Q1296" s="26" t="s">
        <v>55</v>
      </c>
      <c r="R1296" s="26">
        <v>401000076192</v>
      </c>
    </row>
    <row r="1297" spans="1:18" x14ac:dyDescent="0.3">
      <c r="A1297" s="26" t="s">
        <v>6181</v>
      </c>
      <c r="B1297" s="26" t="s">
        <v>6182</v>
      </c>
      <c r="C1297" s="26" t="s">
        <v>4309</v>
      </c>
      <c r="D1297" s="26" t="s">
        <v>6154</v>
      </c>
      <c r="E1297" s="26" t="s">
        <v>761</v>
      </c>
      <c r="F1297" s="26" t="s">
        <v>3688</v>
      </c>
      <c r="G1297" s="26" t="s">
        <v>6155</v>
      </c>
      <c r="H1297" s="26" t="s">
        <v>39</v>
      </c>
      <c r="I1297" s="26" t="s">
        <v>1163</v>
      </c>
      <c r="J1297" s="11" t="str">
        <f>VLOOKUP(K1297,'PN Dictionary'!A:B,2,FALSE)</f>
        <v>GB300 L10</v>
      </c>
      <c r="K1297" s="26" t="s">
        <v>4318</v>
      </c>
      <c r="L1297" s="26" t="s">
        <v>6183</v>
      </c>
      <c r="M1297" s="50" t="s">
        <v>6184</v>
      </c>
      <c r="N1297" s="51" t="s">
        <v>53</v>
      </c>
      <c r="O1297" s="26" t="s">
        <v>728</v>
      </c>
      <c r="P1297" s="26">
        <v>90160</v>
      </c>
      <c r="Q1297" s="26" t="s">
        <v>55</v>
      </c>
      <c r="R1297" s="26">
        <v>401000076239</v>
      </c>
    </row>
    <row r="1298" spans="1:18" x14ac:dyDescent="0.3">
      <c r="A1298" s="26" t="s">
        <v>6185</v>
      </c>
      <c r="B1298" s="26" t="s">
        <v>6186</v>
      </c>
      <c r="C1298" s="26" t="s">
        <v>4309</v>
      </c>
      <c r="D1298" s="26" t="s">
        <v>6187</v>
      </c>
      <c r="E1298" s="26" t="s">
        <v>761</v>
      </c>
      <c r="F1298" s="26" t="s">
        <v>3688</v>
      </c>
      <c r="G1298" s="26" t="s">
        <v>6155</v>
      </c>
      <c r="H1298" s="26" t="s">
        <v>39</v>
      </c>
      <c r="I1298" s="26" t="s">
        <v>1163</v>
      </c>
      <c r="J1298" s="11" t="str">
        <f>VLOOKUP(K1298,'PN Dictionary'!A:B,2,FALSE)</f>
        <v>GB300 L10</v>
      </c>
      <c r="K1298" s="26" t="s">
        <v>4318</v>
      </c>
      <c r="L1298" s="26" t="s">
        <v>6188</v>
      </c>
      <c r="M1298" s="50" t="s">
        <v>6189</v>
      </c>
      <c r="N1298" s="51" t="s">
        <v>53</v>
      </c>
      <c r="O1298" s="26" t="s">
        <v>728</v>
      </c>
      <c r="P1298" s="26">
        <v>90160</v>
      </c>
      <c r="Q1298" s="26" t="s">
        <v>55</v>
      </c>
      <c r="R1298" s="26">
        <v>401000076239</v>
      </c>
    </row>
    <row r="1299" spans="1:18" x14ac:dyDescent="0.3">
      <c r="A1299" s="26" t="s">
        <v>6190</v>
      </c>
      <c r="B1299" s="26" t="s">
        <v>6191</v>
      </c>
      <c r="C1299" s="26" t="s">
        <v>4309</v>
      </c>
      <c r="D1299" s="26" t="s">
        <v>6192</v>
      </c>
      <c r="E1299" s="26" t="s">
        <v>761</v>
      </c>
      <c r="F1299" s="26" t="s">
        <v>3688</v>
      </c>
      <c r="G1299" s="26" t="s">
        <v>6155</v>
      </c>
      <c r="H1299" s="26" t="s">
        <v>39</v>
      </c>
      <c r="I1299" s="26" t="s">
        <v>1163</v>
      </c>
      <c r="J1299" s="11" t="str">
        <f>VLOOKUP(K1299,'PN Dictionary'!A:B,2,FALSE)</f>
        <v>GB300 L10</v>
      </c>
      <c r="K1299" s="26" t="s">
        <v>4318</v>
      </c>
      <c r="L1299" s="26" t="s">
        <v>6193</v>
      </c>
      <c r="M1299" s="50" t="s">
        <v>6194</v>
      </c>
      <c r="N1299" s="51" t="s">
        <v>53</v>
      </c>
      <c r="O1299" s="26" t="s">
        <v>728</v>
      </c>
      <c r="P1299" s="26">
        <v>90160</v>
      </c>
      <c r="Q1299" s="26" t="s">
        <v>55</v>
      </c>
      <c r="R1299" s="26">
        <v>401000076118</v>
      </c>
    </row>
    <row r="1300" spans="1:18" x14ac:dyDescent="0.3">
      <c r="A1300" s="26" t="s">
        <v>6195</v>
      </c>
      <c r="B1300" s="26" t="s">
        <v>6196</v>
      </c>
      <c r="C1300" s="26" t="s">
        <v>4309</v>
      </c>
      <c r="D1300" s="26" t="s">
        <v>6197</v>
      </c>
      <c r="E1300" s="26" t="s">
        <v>3857</v>
      </c>
      <c r="F1300" s="26" t="s">
        <v>3858</v>
      </c>
      <c r="G1300" s="26" t="s">
        <v>6198</v>
      </c>
      <c r="H1300" s="26" t="s">
        <v>39</v>
      </c>
      <c r="I1300" s="26" t="s">
        <v>6199</v>
      </c>
      <c r="J1300" s="11" t="str">
        <f>VLOOKUP(K1300,'PN Dictionary'!A:B,2,FALSE)</f>
        <v>GB300 L10</v>
      </c>
      <c r="K1300" s="26" t="s">
        <v>4318</v>
      </c>
      <c r="L1300" s="26" t="s">
        <v>6200</v>
      </c>
      <c r="M1300" s="50" t="s">
        <v>6201</v>
      </c>
      <c r="N1300" s="51" t="s">
        <v>53</v>
      </c>
      <c r="O1300" s="26" t="s">
        <v>728</v>
      </c>
      <c r="P1300" s="26">
        <v>90160</v>
      </c>
      <c r="Q1300" s="26" t="s">
        <v>55</v>
      </c>
      <c r="R1300" s="26">
        <v>401000076240</v>
      </c>
    </row>
    <row r="1301" spans="1:18" x14ac:dyDescent="0.3">
      <c r="A1301" s="26" t="s">
        <v>6202</v>
      </c>
      <c r="B1301" s="26" t="s">
        <v>6203</v>
      </c>
      <c r="C1301" s="26" t="s">
        <v>4309</v>
      </c>
      <c r="D1301" s="26" t="s">
        <v>6197</v>
      </c>
      <c r="E1301" s="26" t="s">
        <v>3857</v>
      </c>
      <c r="F1301" s="26" t="s">
        <v>3858</v>
      </c>
      <c r="G1301" s="26" t="s">
        <v>6198</v>
      </c>
      <c r="H1301" s="26" t="s">
        <v>39</v>
      </c>
      <c r="I1301" s="26" t="s">
        <v>6204</v>
      </c>
      <c r="J1301" s="11" t="str">
        <f>VLOOKUP(K1301,'PN Dictionary'!A:B,2,FALSE)</f>
        <v>GB300 L10</v>
      </c>
      <c r="K1301" s="26" t="s">
        <v>4318</v>
      </c>
      <c r="L1301" s="26" t="s">
        <v>6205</v>
      </c>
      <c r="M1301" s="50" t="s">
        <v>6206</v>
      </c>
      <c r="N1301" s="51" t="s">
        <v>53</v>
      </c>
      <c r="O1301" s="26" t="s">
        <v>728</v>
      </c>
      <c r="P1301" s="26">
        <v>90160</v>
      </c>
      <c r="Q1301" s="26" t="s">
        <v>55</v>
      </c>
      <c r="R1301" s="26">
        <v>401000076240</v>
      </c>
    </row>
    <row r="1302" spans="1:18" x14ac:dyDescent="0.3">
      <c r="A1302" s="26" t="s">
        <v>6207</v>
      </c>
      <c r="B1302" s="26" t="s">
        <v>6208</v>
      </c>
      <c r="C1302" s="26" t="s">
        <v>4309</v>
      </c>
      <c r="D1302" s="26" t="s">
        <v>6209</v>
      </c>
      <c r="E1302" s="26" t="s">
        <v>2086</v>
      </c>
      <c r="F1302" s="26" t="s">
        <v>6210</v>
      </c>
      <c r="G1302" s="26" t="s">
        <v>6198</v>
      </c>
      <c r="H1302" s="26" t="s">
        <v>39</v>
      </c>
      <c r="I1302" s="26" t="s">
        <v>6211</v>
      </c>
      <c r="J1302" s="11" t="str">
        <f>VLOOKUP(K1302,'PN Dictionary'!A:B,2,FALSE)</f>
        <v>NVSwitch</v>
      </c>
      <c r="K1302" s="26" t="s">
        <v>7</v>
      </c>
      <c r="L1302" s="26" t="s">
        <v>6212</v>
      </c>
      <c r="M1302" s="50" t="s">
        <v>6213</v>
      </c>
      <c r="N1302" s="51" t="s">
        <v>53</v>
      </c>
      <c r="O1302" s="26" t="s">
        <v>728</v>
      </c>
      <c r="P1302" s="26">
        <v>640</v>
      </c>
      <c r="Q1302" s="26" t="s">
        <v>55</v>
      </c>
      <c r="R1302" s="26">
        <v>401000076240</v>
      </c>
    </row>
    <row r="1303" spans="1:18" x14ac:dyDescent="0.3">
      <c r="A1303" s="26" t="s">
        <v>6214</v>
      </c>
      <c r="B1303" s="26" t="s">
        <v>6215</v>
      </c>
      <c r="C1303" s="26" t="s">
        <v>4309</v>
      </c>
      <c r="D1303" s="26" t="s">
        <v>6216</v>
      </c>
      <c r="E1303" s="26" t="s">
        <v>52</v>
      </c>
      <c r="F1303" s="26" t="s">
        <v>79</v>
      </c>
      <c r="G1303" s="26" t="s">
        <v>6198</v>
      </c>
      <c r="H1303" s="26" t="s">
        <v>39</v>
      </c>
      <c r="I1303" s="26" t="s">
        <v>6217</v>
      </c>
      <c r="J1303" s="11" t="str">
        <f>VLOOKUP(K1303,'PN Dictionary'!A:B,2,FALSE)</f>
        <v>GB300 L10</v>
      </c>
      <c r="K1303" s="26" t="s">
        <v>4318</v>
      </c>
      <c r="L1303" s="26" t="s">
        <v>6218</v>
      </c>
      <c r="M1303" s="50" t="s">
        <v>6077</v>
      </c>
      <c r="N1303" s="51" t="s">
        <v>53</v>
      </c>
      <c r="O1303" s="26" t="s">
        <v>728</v>
      </c>
      <c r="P1303" s="26">
        <v>90066</v>
      </c>
      <c r="Q1303" s="26" t="s">
        <v>55</v>
      </c>
      <c r="R1303" s="26">
        <v>401000076192</v>
      </c>
    </row>
    <row r="1304" spans="1:18" x14ac:dyDescent="0.3">
      <c r="A1304" s="26" t="s">
        <v>6219</v>
      </c>
      <c r="B1304" s="26" t="s">
        <v>6220</v>
      </c>
      <c r="C1304" s="26" t="s">
        <v>4309</v>
      </c>
      <c r="D1304" s="26" t="s">
        <v>6221</v>
      </c>
      <c r="E1304" s="26" t="s">
        <v>6222</v>
      </c>
      <c r="F1304" s="26" t="s">
        <v>6223</v>
      </c>
      <c r="G1304" s="26" t="s">
        <v>6198</v>
      </c>
      <c r="H1304" s="26" t="s">
        <v>39</v>
      </c>
      <c r="I1304" s="26" t="s">
        <v>6224</v>
      </c>
      <c r="J1304" s="11" t="str">
        <f>VLOOKUP(K1304,'PN Dictionary'!A:B,2,FALSE)</f>
        <v>GB300 L10</v>
      </c>
      <c r="K1304" s="26" t="s">
        <v>4318</v>
      </c>
      <c r="L1304" s="26" t="s">
        <v>6225</v>
      </c>
      <c r="M1304" s="50" t="s">
        <v>6226</v>
      </c>
      <c r="N1304" s="51" t="s">
        <v>53</v>
      </c>
      <c r="O1304" s="26" t="s">
        <v>728</v>
      </c>
      <c r="P1304" s="26">
        <v>90185</v>
      </c>
      <c r="Q1304" s="26" t="s">
        <v>55</v>
      </c>
      <c r="R1304" s="26">
        <v>401000076239</v>
      </c>
    </row>
    <row r="1305" spans="1:18" x14ac:dyDescent="0.3">
      <c r="A1305" s="26" t="s">
        <v>6227</v>
      </c>
      <c r="B1305" s="26" t="s">
        <v>6228</v>
      </c>
      <c r="C1305" s="26" t="s">
        <v>4309</v>
      </c>
      <c r="D1305" s="26" t="s">
        <v>6229</v>
      </c>
      <c r="E1305" s="26" t="s">
        <v>761</v>
      </c>
      <c r="F1305" s="26" t="s">
        <v>3688</v>
      </c>
      <c r="G1305" s="26" t="s">
        <v>6198</v>
      </c>
      <c r="H1305" s="26" t="s">
        <v>39</v>
      </c>
      <c r="I1305" s="26" t="s">
        <v>1163</v>
      </c>
      <c r="J1305" s="11" t="str">
        <f>VLOOKUP(K1305,'PN Dictionary'!A:B,2,FALSE)</f>
        <v>GB300 L10</v>
      </c>
      <c r="K1305" s="26" t="s">
        <v>4318</v>
      </c>
      <c r="L1305" s="26" t="s">
        <v>6230</v>
      </c>
      <c r="M1305" s="50" t="s">
        <v>6231</v>
      </c>
      <c r="N1305" s="51" t="s">
        <v>53</v>
      </c>
      <c r="O1305" s="26" t="s">
        <v>728</v>
      </c>
      <c r="P1305" s="26">
        <v>90160</v>
      </c>
      <c r="Q1305" s="26" t="s">
        <v>55</v>
      </c>
      <c r="R1305" s="26">
        <v>401000076240</v>
      </c>
    </row>
    <row r="1306" spans="1:18" x14ac:dyDescent="0.3">
      <c r="A1306" s="26" t="s">
        <v>6232</v>
      </c>
      <c r="B1306" s="26" t="s">
        <v>6233</v>
      </c>
      <c r="C1306" s="26" t="s">
        <v>4309</v>
      </c>
      <c r="D1306" s="26" t="s">
        <v>6216</v>
      </c>
      <c r="E1306" s="26" t="s">
        <v>761</v>
      </c>
      <c r="F1306" s="26" t="s">
        <v>3688</v>
      </c>
      <c r="G1306" s="26" t="s">
        <v>6198</v>
      </c>
      <c r="H1306" s="26" t="s">
        <v>39</v>
      </c>
      <c r="I1306" s="26" t="s">
        <v>1163</v>
      </c>
      <c r="J1306" s="11" t="str">
        <f>VLOOKUP(K1306,'PN Dictionary'!A:B,2,FALSE)</f>
        <v>GB300 L10</v>
      </c>
      <c r="K1306" s="26" t="s">
        <v>4318</v>
      </c>
      <c r="L1306" s="26" t="s">
        <v>6218</v>
      </c>
      <c r="M1306" s="50" t="s">
        <v>6077</v>
      </c>
      <c r="N1306" s="51" t="s">
        <v>53</v>
      </c>
      <c r="O1306" s="26" t="s">
        <v>728</v>
      </c>
      <c r="P1306" s="26">
        <v>90160</v>
      </c>
      <c r="Q1306" s="26" t="s">
        <v>55</v>
      </c>
      <c r="R1306" s="26">
        <v>401000076192</v>
      </c>
    </row>
    <row r="1307" spans="1:18" x14ac:dyDescent="0.3">
      <c r="A1307" s="26" t="s">
        <v>6234</v>
      </c>
      <c r="B1307" s="26" t="s">
        <v>6235</v>
      </c>
      <c r="C1307" s="26" t="s">
        <v>4309</v>
      </c>
      <c r="D1307" s="26" t="s">
        <v>6236</v>
      </c>
      <c r="E1307" s="26" t="s">
        <v>761</v>
      </c>
      <c r="F1307" s="26" t="s">
        <v>3688</v>
      </c>
      <c r="G1307" s="26" t="s">
        <v>6198</v>
      </c>
      <c r="H1307" s="26" t="s">
        <v>39</v>
      </c>
      <c r="I1307" s="26" t="s">
        <v>1163</v>
      </c>
      <c r="J1307" s="11" t="str">
        <f>VLOOKUP(K1307,'PN Dictionary'!A:B,2,FALSE)</f>
        <v>GB300 L10</v>
      </c>
      <c r="K1307" s="26" t="s">
        <v>4318</v>
      </c>
      <c r="L1307" s="26" t="s">
        <v>6237</v>
      </c>
      <c r="M1307" s="50" t="s">
        <v>6238</v>
      </c>
      <c r="N1307" s="51" t="s">
        <v>53</v>
      </c>
      <c r="O1307" s="26" t="s">
        <v>728</v>
      </c>
      <c r="P1307" s="26">
        <v>90160</v>
      </c>
      <c r="Q1307" s="26" t="s">
        <v>55</v>
      </c>
      <c r="R1307" s="26">
        <v>401000076118</v>
      </c>
    </row>
    <row r="1308" spans="1:18" x14ac:dyDescent="0.3">
      <c r="A1308" s="26" t="s">
        <v>6239</v>
      </c>
      <c r="B1308" s="26" t="s">
        <v>6240</v>
      </c>
      <c r="C1308" s="26" t="s">
        <v>4309</v>
      </c>
      <c r="D1308" s="26" t="s">
        <v>6241</v>
      </c>
      <c r="E1308" s="26" t="s">
        <v>761</v>
      </c>
      <c r="F1308" s="26" t="s">
        <v>3688</v>
      </c>
      <c r="G1308" s="26" t="s">
        <v>6198</v>
      </c>
      <c r="H1308" s="26" t="s">
        <v>39</v>
      </c>
      <c r="I1308" s="26" t="s">
        <v>1163</v>
      </c>
      <c r="J1308" s="11" t="str">
        <f>VLOOKUP(K1308,'PN Dictionary'!A:B,2,FALSE)</f>
        <v>GB300 L10</v>
      </c>
      <c r="K1308" s="26" t="s">
        <v>4318</v>
      </c>
      <c r="L1308" s="26" t="s">
        <v>6242</v>
      </c>
      <c r="M1308" s="50" t="s">
        <v>6243</v>
      </c>
      <c r="N1308" s="51" t="s">
        <v>53</v>
      </c>
      <c r="O1308" s="26" t="s">
        <v>728</v>
      </c>
      <c r="P1308" s="26">
        <v>90160</v>
      </c>
      <c r="Q1308" s="26" t="s">
        <v>55</v>
      </c>
      <c r="R1308" s="26">
        <v>401000076119</v>
      </c>
    </row>
    <row r="1309" spans="1:18" x14ac:dyDescent="0.3">
      <c r="A1309" s="26" t="s">
        <v>6244</v>
      </c>
      <c r="B1309" s="26" t="s">
        <v>6245</v>
      </c>
      <c r="C1309" s="26" t="s">
        <v>4309</v>
      </c>
      <c r="D1309" s="26" t="s">
        <v>6246</v>
      </c>
      <c r="E1309" s="26" t="s">
        <v>81</v>
      </c>
      <c r="F1309" s="26" t="s">
        <v>522</v>
      </c>
      <c r="G1309" s="26" t="s">
        <v>6247</v>
      </c>
      <c r="H1309" s="26" t="s">
        <v>39</v>
      </c>
      <c r="I1309" s="26" t="s">
        <v>6248</v>
      </c>
      <c r="J1309" s="11" t="str">
        <f>VLOOKUP(K1309,'PN Dictionary'!A:B,2,FALSE)</f>
        <v>GB300 L10</v>
      </c>
      <c r="K1309" s="26" t="s">
        <v>4318</v>
      </c>
      <c r="L1309" s="26" t="s">
        <v>6249</v>
      </c>
      <c r="M1309" s="50" t="s">
        <v>6250</v>
      </c>
      <c r="N1309" s="51" t="s">
        <v>53</v>
      </c>
      <c r="O1309" s="26" t="s">
        <v>728</v>
      </c>
      <c r="P1309" s="26">
        <v>90160</v>
      </c>
      <c r="Q1309" s="26" t="s">
        <v>55</v>
      </c>
      <c r="R1309" s="26">
        <v>401000076241</v>
      </c>
    </row>
    <row r="1310" spans="1:18" x14ac:dyDescent="0.3">
      <c r="A1310" s="26" t="s">
        <v>6251</v>
      </c>
      <c r="B1310" s="26" t="s">
        <v>6252</v>
      </c>
      <c r="C1310" s="26" t="s">
        <v>4309</v>
      </c>
      <c r="D1310" s="26" t="s">
        <v>6253</v>
      </c>
      <c r="E1310" s="26" t="s">
        <v>3881</v>
      </c>
      <c r="F1310" s="26" t="s">
        <v>3882</v>
      </c>
      <c r="G1310" s="26" t="s">
        <v>6247</v>
      </c>
      <c r="H1310" s="26" t="s">
        <v>39</v>
      </c>
      <c r="I1310" s="26" t="s">
        <v>6254</v>
      </c>
      <c r="J1310" s="11" t="str">
        <f>VLOOKUP(K1310,'PN Dictionary'!A:B,2,FALSE)</f>
        <v>GB300 L10</v>
      </c>
      <c r="K1310" s="26" t="s">
        <v>4318</v>
      </c>
      <c r="L1310" s="26" t="s">
        <v>6255</v>
      </c>
      <c r="M1310" s="50" t="s">
        <v>6256</v>
      </c>
      <c r="N1310" s="51" t="s">
        <v>53</v>
      </c>
      <c r="O1310" s="26" t="s">
        <v>728</v>
      </c>
      <c r="P1310" s="26">
        <v>90160</v>
      </c>
      <c r="Q1310" s="26" t="s">
        <v>55</v>
      </c>
      <c r="R1310" s="26">
        <v>401000076242</v>
      </c>
    </row>
    <row r="1311" spans="1:18" x14ac:dyDescent="0.3">
      <c r="A1311" s="26" t="s">
        <v>6257</v>
      </c>
      <c r="B1311" s="26" t="s">
        <v>6258</v>
      </c>
      <c r="C1311" s="26" t="s">
        <v>4309</v>
      </c>
      <c r="D1311" s="26" t="s">
        <v>6259</v>
      </c>
      <c r="E1311" s="26" t="s">
        <v>3881</v>
      </c>
      <c r="F1311" s="26" t="s">
        <v>3882</v>
      </c>
      <c r="G1311" s="26" t="s">
        <v>6247</v>
      </c>
      <c r="H1311" s="26" t="s">
        <v>39</v>
      </c>
      <c r="I1311" s="26" t="s">
        <v>6260</v>
      </c>
      <c r="J1311" s="11" t="str">
        <f>VLOOKUP(K1311,'PN Dictionary'!A:B,2,FALSE)</f>
        <v>GB300 L10</v>
      </c>
      <c r="K1311" s="26" t="s">
        <v>4318</v>
      </c>
      <c r="L1311" s="26" t="s">
        <v>5835</v>
      </c>
      <c r="M1311" s="50" t="s">
        <v>6261</v>
      </c>
      <c r="N1311" s="51" t="s">
        <v>53</v>
      </c>
      <c r="O1311" s="26" t="s">
        <v>728</v>
      </c>
      <c r="P1311" s="26">
        <v>90160</v>
      </c>
      <c r="Q1311" s="26" t="s">
        <v>55</v>
      </c>
      <c r="R1311" s="26">
        <v>401000076242</v>
      </c>
    </row>
    <row r="1312" spans="1:18" x14ac:dyDescent="0.3">
      <c r="A1312" s="26" t="s">
        <v>6262</v>
      </c>
      <c r="B1312" s="26" t="s">
        <v>6263</v>
      </c>
      <c r="C1312" s="26" t="s">
        <v>4309</v>
      </c>
      <c r="D1312" s="26" t="s">
        <v>6264</v>
      </c>
      <c r="E1312" s="26" t="s">
        <v>6265</v>
      </c>
      <c r="F1312" s="26" t="s">
        <v>6266</v>
      </c>
      <c r="G1312" s="26" t="s">
        <v>6247</v>
      </c>
      <c r="H1312" s="26" t="s">
        <v>39</v>
      </c>
      <c r="I1312" s="26" t="s">
        <v>6267</v>
      </c>
      <c r="J1312" s="11" t="str">
        <f>VLOOKUP(K1312,'PN Dictionary'!A:B,2,FALSE)</f>
        <v>GB300 L10</v>
      </c>
      <c r="K1312" s="26" t="s">
        <v>4318</v>
      </c>
      <c r="L1312" s="26" t="s">
        <v>6268</v>
      </c>
      <c r="M1312" s="50" t="s">
        <v>6269</v>
      </c>
      <c r="N1312" s="51" t="s">
        <v>53</v>
      </c>
      <c r="O1312" s="26" t="s">
        <v>728</v>
      </c>
      <c r="P1312" s="26">
        <v>90160</v>
      </c>
      <c r="Q1312" s="26" t="s">
        <v>55</v>
      </c>
      <c r="R1312" s="26">
        <v>401000076191</v>
      </c>
    </row>
    <row r="1313" spans="1:18" x14ac:dyDescent="0.3">
      <c r="A1313" s="26" t="s">
        <v>6270</v>
      </c>
      <c r="B1313" s="26" t="s">
        <v>6271</v>
      </c>
      <c r="C1313" s="26" t="s">
        <v>4309</v>
      </c>
      <c r="D1313" s="26" t="s">
        <v>6272</v>
      </c>
      <c r="E1313" s="26" t="s">
        <v>230</v>
      </c>
      <c r="F1313" s="26" t="s">
        <v>238</v>
      </c>
      <c r="G1313" s="26" t="s">
        <v>6273</v>
      </c>
      <c r="H1313" s="26" t="s">
        <v>619</v>
      </c>
      <c r="I1313" s="26" t="s">
        <v>6274</v>
      </c>
      <c r="J1313" s="11" t="str">
        <f>VLOOKUP(K1313,'PN Dictionary'!A:B,2,FALSE)</f>
        <v>Cable Cartridge</v>
      </c>
      <c r="K1313" s="26" t="s">
        <v>6</v>
      </c>
      <c r="L1313" s="26">
        <v>1820926356600</v>
      </c>
      <c r="M1313" s="50">
        <v>1821026355240</v>
      </c>
      <c r="N1313" s="51" t="s">
        <v>53</v>
      </c>
      <c r="O1313" s="26" t="s">
        <v>728</v>
      </c>
      <c r="P1313" s="26">
        <v>2984</v>
      </c>
      <c r="Q1313" s="26" t="s">
        <v>55</v>
      </c>
      <c r="R1313" s="26">
        <v>401000076239</v>
      </c>
    </row>
    <row r="1314" spans="1:18" x14ac:dyDescent="0.3">
      <c r="A1314" s="26" t="s">
        <v>6275</v>
      </c>
      <c r="B1314" s="26" t="s">
        <v>6276</v>
      </c>
      <c r="C1314" s="26" t="s">
        <v>4309</v>
      </c>
      <c r="D1314" s="26" t="s">
        <v>6277</v>
      </c>
      <c r="E1314" s="26" t="s">
        <v>6278</v>
      </c>
      <c r="F1314" s="26" t="s">
        <v>6279</v>
      </c>
      <c r="G1314" s="26" t="s">
        <v>6273</v>
      </c>
      <c r="H1314" s="26" t="s">
        <v>39</v>
      </c>
      <c r="I1314" s="26" t="s">
        <v>6279</v>
      </c>
      <c r="J1314" s="11" t="str">
        <f>VLOOKUP(K1314,'PN Dictionary'!A:B,2,FALSE)</f>
        <v>GB300 L10</v>
      </c>
      <c r="K1314" s="26" t="s">
        <v>4318</v>
      </c>
      <c r="L1314" s="26" t="s">
        <v>6280</v>
      </c>
      <c r="M1314" s="50" t="s">
        <v>6281</v>
      </c>
      <c r="N1314" s="51" t="s">
        <v>53</v>
      </c>
      <c r="O1314" s="26" t="s">
        <v>728</v>
      </c>
      <c r="P1314" s="26">
        <v>90185</v>
      </c>
      <c r="Q1314" s="26" t="s">
        <v>55</v>
      </c>
      <c r="R1314" s="26">
        <v>401000076241</v>
      </c>
    </row>
    <row r="1315" spans="1:18" x14ac:dyDescent="0.3">
      <c r="A1315" s="26" t="s">
        <v>6282</v>
      </c>
      <c r="B1315" s="26" t="s">
        <v>6283</v>
      </c>
      <c r="C1315" s="26" t="s">
        <v>4309</v>
      </c>
      <c r="D1315" s="26" t="s">
        <v>6277</v>
      </c>
      <c r="E1315" s="26" t="s">
        <v>6284</v>
      </c>
      <c r="F1315" s="26" t="s">
        <v>6285</v>
      </c>
      <c r="G1315" s="26" t="s">
        <v>6273</v>
      </c>
      <c r="H1315" s="26" t="s">
        <v>39</v>
      </c>
      <c r="I1315" s="26" t="s">
        <v>6285</v>
      </c>
      <c r="J1315" s="11" t="str">
        <f>VLOOKUP(K1315,'PN Dictionary'!A:B,2,FALSE)</f>
        <v>GB300 L10</v>
      </c>
      <c r="K1315" s="26" t="s">
        <v>4318</v>
      </c>
      <c r="L1315" s="26" t="s">
        <v>6286</v>
      </c>
      <c r="M1315" s="50" t="s">
        <v>6287</v>
      </c>
      <c r="N1315" s="51" t="s">
        <v>53</v>
      </c>
      <c r="O1315" s="26" t="s">
        <v>728</v>
      </c>
      <c r="P1315" s="26">
        <v>90185</v>
      </c>
      <c r="Q1315" s="26" t="s">
        <v>55</v>
      </c>
      <c r="R1315" s="26">
        <v>401000076241</v>
      </c>
    </row>
    <row r="1316" spans="1:18" x14ac:dyDescent="0.3">
      <c r="A1316" s="26" t="s">
        <v>6288</v>
      </c>
      <c r="B1316" s="26" t="s">
        <v>6289</v>
      </c>
      <c r="C1316" s="26" t="s">
        <v>4309</v>
      </c>
      <c r="D1316" s="26" t="s">
        <v>6290</v>
      </c>
      <c r="E1316" s="26" t="s">
        <v>761</v>
      </c>
      <c r="F1316" s="26" t="s">
        <v>3688</v>
      </c>
      <c r="G1316" s="26" t="s">
        <v>6273</v>
      </c>
      <c r="H1316" s="26" t="s">
        <v>39</v>
      </c>
      <c r="I1316" s="26" t="s">
        <v>3688</v>
      </c>
      <c r="J1316" s="11" t="str">
        <f>VLOOKUP(K1316,'PN Dictionary'!A:B,2,FALSE)</f>
        <v>GB300 L10</v>
      </c>
      <c r="K1316" s="26" t="s">
        <v>4318</v>
      </c>
      <c r="L1316" s="26" t="s">
        <v>4796</v>
      </c>
      <c r="M1316" s="50" t="s">
        <v>6291</v>
      </c>
      <c r="N1316" s="51" t="s">
        <v>53</v>
      </c>
      <c r="O1316" s="26" t="s">
        <v>728</v>
      </c>
      <c r="P1316" s="26">
        <v>90185</v>
      </c>
      <c r="Q1316" s="26" t="s">
        <v>55</v>
      </c>
      <c r="R1316" s="26">
        <v>401000076242</v>
      </c>
    </row>
    <row r="1317" spans="1:18" x14ac:dyDescent="0.3">
      <c r="A1317" s="26" t="s">
        <v>6292</v>
      </c>
      <c r="B1317" s="26" t="s">
        <v>6293</v>
      </c>
      <c r="C1317" s="26" t="s">
        <v>4309</v>
      </c>
      <c r="D1317" s="26" t="s">
        <v>6294</v>
      </c>
      <c r="E1317" s="26" t="s">
        <v>3881</v>
      </c>
      <c r="F1317" s="26" t="s">
        <v>3882</v>
      </c>
      <c r="G1317" s="26" t="s">
        <v>6273</v>
      </c>
      <c r="H1317" s="26" t="s">
        <v>39</v>
      </c>
      <c r="I1317" s="26" t="s">
        <v>3882</v>
      </c>
      <c r="J1317" s="11" t="str">
        <f>VLOOKUP(K1317,'PN Dictionary'!A:B,2,FALSE)</f>
        <v>GB300 L10</v>
      </c>
      <c r="K1317" s="26" t="s">
        <v>4318</v>
      </c>
      <c r="L1317" s="26" t="s">
        <v>6295</v>
      </c>
      <c r="M1317" s="50" t="s">
        <v>6296</v>
      </c>
      <c r="N1317" s="51" t="s">
        <v>53</v>
      </c>
      <c r="O1317" s="26" t="s">
        <v>728</v>
      </c>
      <c r="P1317" s="26">
        <v>90185</v>
      </c>
      <c r="Q1317" s="26" t="s">
        <v>55</v>
      </c>
      <c r="R1317" s="26">
        <v>401000076281</v>
      </c>
    </row>
    <row r="1318" spans="1:18" x14ac:dyDescent="0.3">
      <c r="A1318" s="26" t="s">
        <v>6297</v>
      </c>
      <c r="B1318" s="26" t="s">
        <v>6298</v>
      </c>
      <c r="C1318" s="26" t="s">
        <v>4309</v>
      </c>
      <c r="D1318" s="26" t="s">
        <v>6209</v>
      </c>
      <c r="E1318" s="26" t="s">
        <v>4899</v>
      </c>
      <c r="F1318" s="26" t="s">
        <v>4900</v>
      </c>
      <c r="G1318" s="26" t="s">
        <v>6273</v>
      </c>
      <c r="H1318" s="26" t="s">
        <v>39</v>
      </c>
      <c r="I1318" s="26" t="s">
        <v>5885</v>
      </c>
      <c r="J1318" s="11" t="str">
        <f>VLOOKUP(K1318,'PN Dictionary'!A:B,2,FALSE)</f>
        <v>GB300 L10</v>
      </c>
      <c r="K1318" s="26" t="s">
        <v>4318</v>
      </c>
      <c r="L1318" s="26" t="s">
        <v>6299</v>
      </c>
      <c r="M1318" s="50" t="s">
        <v>6287</v>
      </c>
      <c r="N1318" s="51" t="s">
        <v>53</v>
      </c>
      <c r="O1318" s="26" t="s">
        <v>728</v>
      </c>
      <c r="P1318" s="26">
        <v>90185</v>
      </c>
      <c r="Q1318" s="26" t="s">
        <v>55</v>
      </c>
      <c r="R1318" s="26">
        <v>401000076240</v>
      </c>
    </row>
    <row r="1319" spans="1:18" x14ac:dyDescent="0.3">
      <c r="A1319" s="26" t="s">
        <v>6300</v>
      </c>
      <c r="B1319" s="26" t="s">
        <v>6301</v>
      </c>
      <c r="C1319" s="26" t="s">
        <v>4309</v>
      </c>
      <c r="D1319" s="26" t="s">
        <v>6209</v>
      </c>
      <c r="E1319" s="26" t="s">
        <v>4899</v>
      </c>
      <c r="F1319" s="26" t="s">
        <v>4900</v>
      </c>
      <c r="G1319" s="26" t="s">
        <v>6273</v>
      </c>
      <c r="H1319" s="26" t="s">
        <v>39</v>
      </c>
      <c r="I1319" s="26" t="s">
        <v>5885</v>
      </c>
      <c r="J1319" s="11" t="str">
        <f>VLOOKUP(K1319,'PN Dictionary'!A:B,2,FALSE)</f>
        <v>GB300 L10</v>
      </c>
      <c r="K1319" s="26" t="s">
        <v>4318</v>
      </c>
      <c r="L1319" s="26" t="s">
        <v>6302</v>
      </c>
      <c r="M1319" s="50" t="s">
        <v>6303</v>
      </c>
      <c r="N1319" s="51" t="s">
        <v>53</v>
      </c>
      <c r="O1319" s="26" t="s">
        <v>728</v>
      </c>
      <c r="P1319" s="26">
        <v>90185</v>
      </c>
      <c r="Q1319" s="26" t="s">
        <v>55</v>
      </c>
      <c r="R1319" s="26">
        <v>401000076240</v>
      </c>
    </row>
    <row r="1320" spans="1:18" x14ac:dyDescent="0.3">
      <c r="A1320" s="26" t="s">
        <v>6304</v>
      </c>
      <c r="B1320" s="26" t="s">
        <v>6305</v>
      </c>
      <c r="C1320" s="26" t="s">
        <v>4309</v>
      </c>
      <c r="D1320" s="26" t="s">
        <v>6306</v>
      </c>
      <c r="E1320" s="26" t="s">
        <v>6278</v>
      </c>
      <c r="F1320" s="26" t="s">
        <v>6279</v>
      </c>
      <c r="G1320" s="26" t="s">
        <v>6273</v>
      </c>
      <c r="H1320" s="26" t="s">
        <v>39</v>
      </c>
      <c r="I1320" s="26" t="s">
        <v>6279</v>
      </c>
      <c r="J1320" s="11" t="str">
        <f>VLOOKUP(K1320,'PN Dictionary'!A:B,2,FALSE)</f>
        <v>GB300 L10</v>
      </c>
      <c r="K1320" s="26" t="s">
        <v>4318</v>
      </c>
      <c r="L1320" s="26" t="s">
        <v>6307</v>
      </c>
      <c r="M1320" s="50" t="s">
        <v>6308</v>
      </c>
      <c r="N1320" s="51" t="s">
        <v>53</v>
      </c>
      <c r="O1320" s="26" t="s">
        <v>728</v>
      </c>
      <c r="P1320" s="26">
        <v>90185</v>
      </c>
      <c r="Q1320" s="26" t="s">
        <v>55</v>
      </c>
      <c r="R1320" s="26">
        <v>401000076241</v>
      </c>
    </row>
    <row r="1321" spans="1:18" x14ac:dyDescent="0.3">
      <c r="A1321" s="26" t="s">
        <v>6309</v>
      </c>
      <c r="B1321" s="26" t="s">
        <v>6310</v>
      </c>
      <c r="C1321" s="26" t="s">
        <v>4309</v>
      </c>
      <c r="D1321" s="26" t="s">
        <v>6290</v>
      </c>
      <c r="E1321" s="26" t="s">
        <v>761</v>
      </c>
      <c r="F1321" s="26" t="s">
        <v>3688</v>
      </c>
      <c r="G1321" s="26" t="s">
        <v>6273</v>
      </c>
      <c r="H1321" s="26" t="s">
        <v>39</v>
      </c>
      <c r="I1321" s="26" t="s">
        <v>3688</v>
      </c>
      <c r="J1321" s="11" t="str">
        <f>VLOOKUP(K1321,'PN Dictionary'!A:B,2,FALSE)</f>
        <v>GB300 L10</v>
      </c>
      <c r="K1321" s="26" t="s">
        <v>4318</v>
      </c>
      <c r="L1321" s="26" t="s">
        <v>6311</v>
      </c>
      <c r="M1321" s="50" t="s">
        <v>6312</v>
      </c>
      <c r="N1321" s="51" t="s">
        <v>53</v>
      </c>
      <c r="O1321" s="26" t="s">
        <v>728</v>
      </c>
      <c r="P1321" s="26">
        <v>90185</v>
      </c>
      <c r="Q1321" s="26" t="s">
        <v>55</v>
      </c>
      <c r="R1321" s="26">
        <v>401000076242</v>
      </c>
    </row>
    <row r="1322" spans="1:18" x14ac:dyDescent="0.3">
      <c r="A1322" s="26" t="s">
        <v>6313</v>
      </c>
      <c r="B1322" s="26" t="s">
        <v>6314</v>
      </c>
      <c r="C1322" s="26" t="s">
        <v>4309</v>
      </c>
      <c r="D1322" s="26" t="s">
        <v>6253</v>
      </c>
      <c r="E1322" s="26" t="s">
        <v>81</v>
      </c>
      <c r="F1322" s="26" t="s">
        <v>522</v>
      </c>
      <c r="G1322" s="26" t="s">
        <v>6273</v>
      </c>
      <c r="H1322" s="26" t="s">
        <v>39</v>
      </c>
      <c r="I1322" s="26" t="s">
        <v>3432</v>
      </c>
      <c r="J1322" s="11" t="str">
        <f>VLOOKUP(K1322,'PN Dictionary'!A:B,2,FALSE)</f>
        <v>GB300 L10</v>
      </c>
      <c r="K1322" s="26" t="s">
        <v>4318</v>
      </c>
      <c r="L1322" s="26" t="s">
        <v>4808</v>
      </c>
      <c r="M1322" s="50" t="s">
        <v>6315</v>
      </c>
      <c r="N1322" s="51" t="s">
        <v>53</v>
      </c>
      <c r="O1322" s="26" t="s">
        <v>728</v>
      </c>
      <c r="P1322" s="26">
        <v>90160</v>
      </c>
      <c r="Q1322" s="26" t="s">
        <v>55</v>
      </c>
      <c r="R1322" s="26">
        <v>401000076242</v>
      </c>
    </row>
    <row r="1323" spans="1:18" x14ac:dyDescent="0.3">
      <c r="A1323" s="26" t="s">
        <v>6316</v>
      </c>
      <c r="B1323" s="26" t="s">
        <v>6317</v>
      </c>
      <c r="C1323" s="26" t="s">
        <v>4309</v>
      </c>
      <c r="D1323" s="26" t="s">
        <v>6290</v>
      </c>
      <c r="E1323" s="26" t="s">
        <v>3881</v>
      </c>
      <c r="F1323" s="26" t="s">
        <v>3882</v>
      </c>
      <c r="G1323" s="26" t="s">
        <v>6273</v>
      </c>
      <c r="H1323" s="26" t="s">
        <v>39</v>
      </c>
      <c r="I1323" s="26" t="s">
        <v>3882</v>
      </c>
      <c r="J1323" s="11" t="str">
        <f>VLOOKUP(K1323,'PN Dictionary'!A:B,2,FALSE)</f>
        <v>GB300 L10</v>
      </c>
      <c r="K1323" s="26" t="s">
        <v>4318</v>
      </c>
      <c r="L1323" s="26" t="s">
        <v>6318</v>
      </c>
      <c r="M1323" s="50" t="s">
        <v>6319</v>
      </c>
      <c r="N1323" s="51" t="s">
        <v>53</v>
      </c>
      <c r="O1323" s="26" t="s">
        <v>728</v>
      </c>
      <c r="P1323" s="26">
        <v>90185</v>
      </c>
      <c r="Q1323" s="26" t="s">
        <v>55</v>
      </c>
      <c r="R1323" s="26">
        <v>401000076242</v>
      </c>
    </row>
    <row r="1324" spans="1:18" x14ac:dyDescent="0.3">
      <c r="A1324" s="26" t="s">
        <v>6320</v>
      </c>
      <c r="B1324" s="26" t="s">
        <v>6321</v>
      </c>
      <c r="C1324" s="26" t="s">
        <v>4309</v>
      </c>
      <c r="D1324" s="26" t="s">
        <v>6306</v>
      </c>
      <c r="E1324" s="26" t="s">
        <v>128</v>
      </c>
      <c r="F1324" s="26" t="s">
        <v>205</v>
      </c>
      <c r="G1324" s="26" t="s">
        <v>6273</v>
      </c>
      <c r="H1324" s="26" t="s">
        <v>39</v>
      </c>
      <c r="I1324" s="26" t="s">
        <v>6322</v>
      </c>
      <c r="J1324" s="11" t="str">
        <f>VLOOKUP(K1324,'PN Dictionary'!A:B,2,FALSE)</f>
        <v>Cable Cartridge</v>
      </c>
      <c r="K1324" s="26" t="s">
        <v>6</v>
      </c>
      <c r="L1324" s="26">
        <v>1820926355133</v>
      </c>
      <c r="M1324" s="50">
        <v>2021026491033</v>
      </c>
      <c r="N1324" s="51" t="s">
        <v>53</v>
      </c>
      <c r="O1324" s="26" t="s">
        <v>728</v>
      </c>
      <c r="P1324" s="26">
        <v>90185</v>
      </c>
      <c r="Q1324" s="26" t="s">
        <v>55</v>
      </c>
      <c r="R1324" s="26">
        <v>401000076241</v>
      </c>
    </row>
    <row r="1325" spans="1:18" x14ac:dyDescent="0.3">
      <c r="A1325" s="26" t="s">
        <v>6323</v>
      </c>
      <c r="B1325" s="26" t="s">
        <v>6324</v>
      </c>
      <c r="C1325" s="26" t="s">
        <v>4309</v>
      </c>
      <c r="D1325" s="26" t="s">
        <v>6325</v>
      </c>
      <c r="E1325" s="26" t="s">
        <v>3881</v>
      </c>
      <c r="F1325" s="26" t="s">
        <v>3882</v>
      </c>
      <c r="G1325" s="26" t="s">
        <v>6326</v>
      </c>
      <c r="H1325" s="26" t="s">
        <v>39</v>
      </c>
      <c r="I1325" s="26" t="s">
        <v>6327</v>
      </c>
      <c r="J1325" s="11" t="str">
        <f>VLOOKUP(K1325,'PN Dictionary'!A:B,2,FALSE)</f>
        <v>GB300 L10</v>
      </c>
      <c r="K1325" s="26" t="s">
        <v>4318</v>
      </c>
      <c r="L1325" s="26" t="s">
        <v>6328</v>
      </c>
      <c r="M1325" s="50" t="s">
        <v>6329</v>
      </c>
      <c r="N1325" s="51" t="s">
        <v>53</v>
      </c>
      <c r="O1325" s="26" t="s">
        <v>728</v>
      </c>
      <c r="P1325" s="26">
        <v>3908</v>
      </c>
      <c r="Q1325" s="26" t="s">
        <v>55</v>
      </c>
      <c r="R1325" s="26">
        <v>401000076281</v>
      </c>
    </row>
    <row r="1326" spans="1:18" x14ac:dyDescent="0.3">
      <c r="A1326" s="26" t="s">
        <v>6330</v>
      </c>
      <c r="B1326" s="26" t="s">
        <v>6331</v>
      </c>
      <c r="C1326" s="26" t="s">
        <v>4309</v>
      </c>
      <c r="D1326" s="26" t="s">
        <v>6325</v>
      </c>
      <c r="E1326" s="26" t="s">
        <v>653</v>
      </c>
      <c r="F1326" s="26" t="s">
        <v>4937</v>
      </c>
      <c r="G1326" s="26" t="s">
        <v>6326</v>
      </c>
      <c r="H1326" s="26" t="s">
        <v>39</v>
      </c>
      <c r="I1326" s="26" t="s">
        <v>6332</v>
      </c>
      <c r="J1326" s="11" t="str">
        <f>VLOOKUP(K1326,'PN Dictionary'!A:B,2,FALSE)</f>
        <v>GB300 L10</v>
      </c>
      <c r="K1326" s="26" t="s">
        <v>4318</v>
      </c>
      <c r="L1326" s="26" t="s">
        <v>5254</v>
      </c>
      <c r="M1326" s="50" t="s">
        <v>6333</v>
      </c>
      <c r="N1326" s="51" t="s">
        <v>53</v>
      </c>
      <c r="O1326" s="26" t="s">
        <v>728</v>
      </c>
      <c r="P1326" s="26">
        <v>90130</v>
      </c>
      <c r="Q1326" s="26" t="s">
        <v>55</v>
      </c>
      <c r="R1326" s="26">
        <v>401000076281</v>
      </c>
    </row>
    <row r="1327" spans="1:18" x14ac:dyDescent="0.3">
      <c r="A1327" s="26" t="s">
        <v>6334</v>
      </c>
      <c r="B1327" s="26" t="s">
        <v>6335</v>
      </c>
      <c r="C1327" s="26" t="s">
        <v>4309</v>
      </c>
      <c r="D1327" s="26" t="s">
        <v>6325</v>
      </c>
      <c r="E1327" s="26" t="s">
        <v>653</v>
      </c>
      <c r="F1327" s="26" t="s">
        <v>4937</v>
      </c>
      <c r="G1327" s="26" t="s">
        <v>6326</v>
      </c>
      <c r="H1327" s="26" t="s">
        <v>536</v>
      </c>
      <c r="I1327" s="26" t="s">
        <v>6336</v>
      </c>
      <c r="J1327" s="11" t="str">
        <f>VLOOKUP(K1327,'PN Dictionary'!A:B,2,FALSE)</f>
        <v>GB300 L10</v>
      </c>
      <c r="K1327" s="26" t="s">
        <v>4318</v>
      </c>
      <c r="L1327" s="26" t="s">
        <v>6337</v>
      </c>
      <c r="M1327" s="50"/>
      <c r="N1327" s="51" t="s">
        <v>53</v>
      </c>
      <c r="O1327" s="26" t="s">
        <v>728</v>
      </c>
      <c r="P1327" s="26">
        <v>90130</v>
      </c>
      <c r="Q1327" s="26" t="s">
        <v>55</v>
      </c>
      <c r="R1327" s="26">
        <v>401000076281</v>
      </c>
    </row>
    <row r="1328" spans="1:18" x14ac:dyDescent="0.3">
      <c r="A1328" s="26" t="s">
        <v>6338</v>
      </c>
      <c r="B1328" s="26" t="s">
        <v>6339</v>
      </c>
      <c r="C1328" s="26" t="s">
        <v>4309</v>
      </c>
      <c r="D1328" s="26" t="s">
        <v>6272</v>
      </c>
      <c r="E1328" s="26" t="s">
        <v>230</v>
      </c>
      <c r="F1328" s="26" t="s">
        <v>238</v>
      </c>
      <c r="G1328" s="26" t="s">
        <v>6326</v>
      </c>
      <c r="H1328" s="26" t="s">
        <v>39</v>
      </c>
      <c r="I1328" s="26" t="s">
        <v>6340</v>
      </c>
      <c r="J1328" s="11" t="str">
        <f>VLOOKUP(K1328,'PN Dictionary'!A:B,2,FALSE)</f>
        <v>NVSwitch</v>
      </c>
      <c r="K1328" s="26" t="s">
        <v>7</v>
      </c>
      <c r="L1328" s="26" t="s">
        <v>6341</v>
      </c>
      <c r="M1328" s="50" t="s">
        <v>6342</v>
      </c>
      <c r="N1328" s="51" t="s">
        <v>53</v>
      </c>
      <c r="O1328" s="26" t="s">
        <v>728</v>
      </c>
      <c r="P1328" s="26">
        <v>2984</v>
      </c>
      <c r="Q1328" s="26" t="s">
        <v>55</v>
      </c>
      <c r="R1328" s="26">
        <v>401000076239</v>
      </c>
    </row>
    <row r="1329" spans="1:18" x14ac:dyDescent="0.3">
      <c r="A1329" s="26" t="s">
        <v>6343</v>
      </c>
      <c r="B1329" s="26" t="s">
        <v>6344</v>
      </c>
      <c r="C1329" s="26" t="s">
        <v>4309</v>
      </c>
      <c r="D1329" s="26" t="s">
        <v>6345</v>
      </c>
      <c r="E1329" s="26" t="s">
        <v>81</v>
      </c>
      <c r="F1329" s="26" t="s">
        <v>522</v>
      </c>
      <c r="G1329" s="26" t="s">
        <v>6326</v>
      </c>
      <c r="H1329" s="26" t="s">
        <v>39</v>
      </c>
      <c r="I1329" s="26" t="s">
        <v>6346</v>
      </c>
      <c r="J1329" s="11" t="str">
        <f>VLOOKUP(K1329,'PN Dictionary'!A:B,2,FALSE)</f>
        <v>GB300 L10</v>
      </c>
      <c r="K1329" s="26" t="s">
        <v>4318</v>
      </c>
      <c r="L1329" s="26" t="s">
        <v>6347</v>
      </c>
      <c r="M1329" s="50" t="s">
        <v>6348</v>
      </c>
      <c r="N1329" s="51" t="s">
        <v>53</v>
      </c>
      <c r="O1329" s="26" t="s">
        <v>728</v>
      </c>
      <c r="P1329" s="26">
        <v>1237</v>
      </c>
      <c r="Q1329" s="26" t="s">
        <v>1552</v>
      </c>
      <c r="R1329" s="26">
        <v>401000076242</v>
      </c>
    </row>
    <row r="1330" spans="1:18" x14ac:dyDescent="0.3">
      <c r="A1330" s="26" t="s">
        <v>6349</v>
      </c>
      <c r="B1330" s="26" t="s">
        <v>6350</v>
      </c>
      <c r="C1330" s="26" t="s">
        <v>4309</v>
      </c>
      <c r="D1330" s="26" t="s">
        <v>6253</v>
      </c>
      <c r="E1330" s="26" t="s">
        <v>3266</v>
      </c>
      <c r="F1330" s="26" t="s">
        <v>3980</v>
      </c>
      <c r="G1330" s="26" t="s">
        <v>6326</v>
      </c>
      <c r="H1330" s="26" t="s">
        <v>39</v>
      </c>
      <c r="I1330" s="26" t="s">
        <v>3980</v>
      </c>
      <c r="J1330" s="11" t="str">
        <f>VLOOKUP(K1330,'PN Dictionary'!A:B,2,FALSE)</f>
        <v>GB300 L10</v>
      </c>
      <c r="K1330" s="26" t="s">
        <v>4318</v>
      </c>
      <c r="L1330" s="26" t="s">
        <v>5236</v>
      </c>
      <c r="M1330" s="50" t="s">
        <v>6351</v>
      </c>
      <c r="N1330" s="51" t="s">
        <v>53</v>
      </c>
      <c r="O1330" s="26" t="s">
        <v>728</v>
      </c>
      <c r="P1330" s="26">
        <v>90185</v>
      </c>
      <c r="Q1330" s="26" t="s">
        <v>55</v>
      </c>
      <c r="R1330" s="26">
        <v>401000076242</v>
      </c>
    </row>
    <row r="1331" spans="1:18" x14ac:dyDescent="0.3">
      <c r="A1331" s="26" t="s">
        <v>6352</v>
      </c>
      <c r="B1331" s="26" t="s">
        <v>6353</v>
      </c>
      <c r="C1331" s="26" t="s">
        <v>4309</v>
      </c>
      <c r="D1331" s="26" t="s">
        <v>6354</v>
      </c>
      <c r="E1331" s="26" t="s">
        <v>4899</v>
      </c>
      <c r="F1331" s="26" t="s">
        <v>4900</v>
      </c>
      <c r="G1331" s="26" t="s">
        <v>6326</v>
      </c>
      <c r="H1331" s="26" t="s">
        <v>39</v>
      </c>
      <c r="I1331" s="26" t="s">
        <v>5885</v>
      </c>
      <c r="J1331" s="11" t="str">
        <f>VLOOKUP(K1331,'PN Dictionary'!A:B,2,FALSE)</f>
        <v>GB300 L10</v>
      </c>
      <c r="K1331" s="26" t="s">
        <v>4318</v>
      </c>
      <c r="L1331" s="26" t="s">
        <v>6355</v>
      </c>
      <c r="M1331" s="50" t="s">
        <v>6356</v>
      </c>
      <c r="N1331" s="51" t="s">
        <v>53</v>
      </c>
      <c r="O1331" s="26" t="s">
        <v>728</v>
      </c>
      <c r="P1331" s="26">
        <v>90185</v>
      </c>
      <c r="Q1331" s="26" t="s">
        <v>55</v>
      </c>
      <c r="R1331" s="26">
        <v>401000076281</v>
      </c>
    </row>
    <row r="1332" spans="1:18" x14ac:dyDescent="0.3">
      <c r="A1332" s="26" t="s">
        <v>6357</v>
      </c>
      <c r="B1332" s="26" t="s">
        <v>6358</v>
      </c>
      <c r="C1332" s="26" t="s">
        <v>4309</v>
      </c>
      <c r="D1332" s="26" t="s">
        <v>6246</v>
      </c>
      <c r="E1332" s="26" t="s">
        <v>633</v>
      </c>
      <c r="F1332" s="26" t="s">
        <v>1796</v>
      </c>
      <c r="G1332" s="26" t="s">
        <v>6326</v>
      </c>
      <c r="H1332" s="26" t="s">
        <v>39</v>
      </c>
      <c r="I1332" s="26" t="s">
        <v>6359</v>
      </c>
      <c r="J1332" s="11" t="str">
        <f>VLOOKUP(K1332,'PN Dictionary'!A:B,2,FALSE)</f>
        <v>GB300 L10</v>
      </c>
      <c r="K1332" s="26" t="s">
        <v>4318</v>
      </c>
      <c r="L1332" s="26" t="s">
        <v>6360</v>
      </c>
      <c r="M1332" s="50" t="s">
        <v>6361</v>
      </c>
      <c r="N1332" s="51" t="s">
        <v>53</v>
      </c>
      <c r="O1332" s="26" t="s">
        <v>728</v>
      </c>
      <c r="P1332" s="26">
        <v>90160</v>
      </c>
      <c r="Q1332" s="26" t="s">
        <v>55</v>
      </c>
      <c r="R1332" s="26">
        <v>401000076241</v>
      </c>
    </row>
    <row r="1333" spans="1:18" x14ac:dyDescent="0.3">
      <c r="A1333" s="26" t="s">
        <v>6362</v>
      </c>
      <c r="B1333" s="26" t="s">
        <v>6363</v>
      </c>
      <c r="C1333" s="26" t="s">
        <v>4309</v>
      </c>
      <c r="D1333" s="26" t="s">
        <v>6246</v>
      </c>
      <c r="E1333" s="26" t="s">
        <v>761</v>
      </c>
      <c r="F1333" s="26" t="s">
        <v>3688</v>
      </c>
      <c r="G1333" s="26" t="s">
        <v>6326</v>
      </c>
      <c r="H1333" s="26" t="s">
        <v>39</v>
      </c>
      <c r="I1333" s="26" t="s">
        <v>1163</v>
      </c>
      <c r="J1333" s="11" t="str">
        <f>VLOOKUP(K1333,'PN Dictionary'!A:B,2,FALSE)</f>
        <v>GB300 L10</v>
      </c>
      <c r="K1333" s="26" t="s">
        <v>4318</v>
      </c>
      <c r="L1333" s="26" t="s">
        <v>6364</v>
      </c>
      <c r="M1333" s="50" t="s">
        <v>6365</v>
      </c>
      <c r="N1333" s="51" t="s">
        <v>53</v>
      </c>
      <c r="O1333" s="26" t="s">
        <v>728</v>
      </c>
      <c r="P1333" s="26">
        <v>90160</v>
      </c>
      <c r="Q1333" s="26" t="s">
        <v>55</v>
      </c>
      <c r="R1333" s="26">
        <v>401000076241</v>
      </c>
    </row>
    <row r="1334" spans="1:18" x14ac:dyDescent="0.3">
      <c r="A1334" s="26" t="s">
        <v>6366</v>
      </c>
      <c r="B1334" s="26" t="s">
        <v>6367</v>
      </c>
      <c r="C1334" s="26" t="s">
        <v>4309</v>
      </c>
      <c r="D1334" s="26" t="s">
        <v>6345</v>
      </c>
      <c r="E1334" s="26" t="s">
        <v>4899</v>
      </c>
      <c r="F1334" s="26" t="s">
        <v>4900</v>
      </c>
      <c r="G1334" s="26" t="s">
        <v>6326</v>
      </c>
      <c r="H1334" s="26" t="s">
        <v>39</v>
      </c>
      <c r="I1334" s="26" t="s">
        <v>5885</v>
      </c>
      <c r="J1334" s="11" t="str">
        <f>VLOOKUP(K1334,'PN Dictionary'!A:B,2,FALSE)</f>
        <v>GB300 L10</v>
      </c>
      <c r="K1334" s="26" t="s">
        <v>4318</v>
      </c>
      <c r="L1334" s="26" t="s">
        <v>6368</v>
      </c>
      <c r="M1334" s="50" t="s">
        <v>6369</v>
      </c>
      <c r="N1334" s="51" t="s">
        <v>53</v>
      </c>
      <c r="O1334" s="26" t="s">
        <v>728</v>
      </c>
      <c r="P1334" s="26">
        <v>90185</v>
      </c>
      <c r="Q1334" s="26" t="s">
        <v>55</v>
      </c>
      <c r="R1334" s="26">
        <v>401000076242</v>
      </c>
    </row>
    <row r="1335" spans="1:18" x14ac:dyDescent="0.3">
      <c r="A1335" s="26" t="s">
        <v>6370</v>
      </c>
      <c r="B1335" s="26" t="s">
        <v>6371</v>
      </c>
      <c r="C1335" s="26" t="s">
        <v>4309</v>
      </c>
      <c r="D1335" s="26" t="s">
        <v>6345</v>
      </c>
      <c r="E1335" s="26" t="s">
        <v>81</v>
      </c>
      <c r="F1335" s="26" t="s">
        <v>522</v>
      </c>
      <c r="G1335" s="26" t="s">
        <v>6326</v>
      </c>
      <c r="H1335" s="26" t="s">
        <v>39</v>
      </c>
      <c r="I1335" s="26" t="s">
        <v>522</v>
      </c>
      <c r="J1335" s="11" t="str">
        <f>VLOOKUP(K1335,'PN Dictionary'!A:B,2,FALSE)</f>
        <v>GB300 L10</v>
      </c>
      <c r="K1335" s="26" t="s">
        <v>4318</v>
      </c>
      <c r="L1335" s="26" t="s">
        <v>6372</v>
      </c>
      <c r="M1335" s="50" t="s">
        <v>6373</v>
      </c>
      <c r="N1335" s="51" t="s">
        <v>53</v>
      </c>
      <c r="O1335" s="26" t="s">
        <v>728</v>
      </c>
      <c r="P1335" s="26">
        <v>90185</v>
      </c>
      <c r="Q1335" s="26" t="s">
        <v>55</v>
      </c>
      <c r="R1335" s="26">
        <v>401000076242</v>
      </c>
    </row>
    <row r="1336" spans="1:18" x14ac:dyDescent="0.3">
      <c r="A1336" s="26" t="s">
        <v>6374</v>
      </c>
      <c r="B1336" s="26" t="s">
        <v>6375</v>
      </c>
      <c r="C1336" s="26" t="s">
        <v>4309</v>
      </c>
      <c r="D1336" s="26" t="s">
        <v>6376</v>
      </c>
      <c r="E1336" s="26" t="s">
        <v>52</v>
      </c>
      <c r="F1336" s="26" t="s">
        <v>79</v>
      </c>
      <c r="G1336" s="26" t="s">
        <v>6377</v>
      </c>
      <c r="H1336" s="26" t="s">
        <v>39</v>
      </c>
      <c r="I1336" s="26" t="s">
        <v>6378</v>
      </c>
      <c r="J1336" s="11" t="str">
        <f>VLOOKUP(K1336,'PN Dictionary'!A:B,2,FALSE)</f>
        <v>GB300 L10</v>
      </c>
      <c r="K1336" s="26" t="s">
        <v>4318</v>
      </c>
      <c r="L1336" s="26" t="s">
        <v>6379</v>
      </c>
      <c r="M1336" s="50" t="s">
        <v>6380</v>
      </c>
      <c r="N1336" s="51" t="s">
        <v>53</v>
      </c>
      <c r="O1336" s="26" t="s">
        <v>728</v>
      </c>
      <c r="P1336" s="26">
        <v>3908</v>
      </c>
      <c r="Q1336" s="26" t="s">
        <v>55</v>
      </c>
      <c r="R1336" s="26">
        <v>401000076283</v>
      </c>
    </row>
    <row r="1337" spans="1:18" x14ac:dyDescent="0.3">
      <c r="A1337" s="26" t="s">
        <v>6381</v>
      </c>
      <c r="B1337" s="26" t="s">
        <v>6382</v>
      </c>
      <c r="C1337" s="26" t="s">
        <v>4309</v>
      </c>
      <c r="D1337" s="26" t="s">
        <v>6345</v>
      </c>
      <c r="E1337" s="26" t="s">
        <v>4899</v>
      </c>
      <c r="F1337" s="26" t="s">
        <v>4900</v>
      </c>
      <c r="G1337" s="26" t="s">
        <v>6377</v>
      </c>
      <c r="H1337" s="26" t="s">
        <v>39</v>
      </c>
      <c r="I1337" s="26" t="s">
        <v>5885</v>
      </c>
      <c r="J1337" s="11" t="str">
        <f>VLOOKUP(K1337,'PN Dictionary'!A:B,2,FALSE)</f>
        <v>GB300 L10</v>
      </c>
      <c r="K1337" s="26" t="s">
        <v>4318</v>
      </c>
      <c r="L1337" s="26" t="s">
        <v>6383</v>
      </c>
      <c r="M1337" s="50" t="s">
        <v>6384</v>
      </c>
      <c r="N1337" s="51" t="s">
        <v>53</v>
      </c>
      <c r="O1337" s="26" t="s">
        <v>728</v>
      </c>
      <c r="P1337" s="26">
        <v>90185</v>
      </c>
      <c r="Q1337" s="26" t="s">
        <v>55</v>
      </c>
      <c r="R1337" s="26">
        <v>401000076242</v>
      </c>
    </row>
    <row r="1338" spans="1:18" x14ac:dyDescent="0.3">
      <c r="A1338" s="26" t="s">
        <v>6385</v>
      </c>
      <c r="B1338" s="26" t="s">
        <v>6386</v>
      </c>
      <c r="C1338" s="26" t="s">
        <v>4309</v>
      </c>
      <c r="D1338" s="26" t="s">
        <v>6154</v>
      </c>
      <c r="E1338" s="26" t="s">
        <v>128</v>
      </c>
      <c r="F1338" s="26" t="s">
        <v>205</v>
      </c>
      <c r="G1338" s="26" t="s">
        <v>6377</v>
      </c>
      <c r="H1338" s="26" t="s">
        <v>39</v>
      </c>
      <c r="I1338" s="26" t="s">
        <v>6387</v>
      </c>
      <c r="J1338" s="11" t="str">
        <f>VLOOKUP(K1338,'PN Dictionary'!A:B,2,FALSE)</f>
        <v>Cable Cartridge</v>
      </c>
      <c r="K1338" s="26" t="s">
        <v>6</v>
      </c>
      <c r="L1338" s="26">
        <v>1820926356615</v>
      </c>
      <c r="M1338" s="50">
        <v>1821026355220</v>
      </c>
      <c r="N1338" s="51" t="s">
        <v>53</v>
      </c>
      <c r="O1338" s="26" t="s">
        <v>728</v>
      </c>
      <c r="P1338" s="26">
        <v>90160</v>
      </c>
      <c r="Q1338" s="26" t="s">
        <v>55</v>
      </c>
      <c r="R1338" s="26">
        <v>401000076239</v>
      </c>
    </row>
    <row r="1339" spans="1:18" x14ac:dyDescent="0.3">
      <c r="A1339" s="26" t="s">
        <v>6388</v>
      </c>
      <c r="B1339" s="26" t="s">
        <v>6389</v>
      </c>
      <c r="C1339" s="26" t="s">
        <v>4309</v>
      </c>
      <c r="D1339" s="26" t="s">
        <v>6390</v>
      </c>
      <c r="E1339" s="26" t="s">
        <v>761</v>
      </c>
      <c r="F1339" s="26" t="s">
        <v>3688</v>
      </c>
      <c r="G1339" s="26" t="s">
        <v>6377</v>
      </c>
      <c r="H1339" s="26" t="s">
        <v>39</v>
      </c>
      <c r="I1339" s="26" t="s">
        <v>1163</v>
      </c>
      <c r="J1339" s="11" t="str">
        <f>VLOOKUP(K1339,'PN Dictionary'!A:B,2,FALSE)</f>
        <v>GB300 L10</v>
      </c>
      <c r="K1339" s="26" t="s">
        <v>4318</v>
      </c>
      <c r="L1339" s="26" t="s">
        <v>6391</v>
      </c>
      <c r="M1339" s="50" t="s">
        <v>6392</v>
      </c>
      <c r="N1339" s="51" t="s">
        <v>53</v>
      </c>
      <c r="O1339" s="26" t="s">
        <v>728</v>
      </c>
      <c r="P1339" s="26">
        <v>90160</v>
      </c>
      <c r="Q1339" s="26" t="s">
        <v>55</v>
      </c>
      <c r="R1339" s="26">
        <v>401000076283</v>
      </c>
    </row>
    <row r="1340" spans="1:18" x14ac:dyDescent="0.3">
      <c r="A1340" s="26" t="s">
        <v>6393</v>
      </c>
      <c r="B1340" s="26" t="s">
        <v>6394</v>
      </c>
      <c r="C1340" s="26" t="s">
        <v>4309</v>
      </c>
      <c r="D1340" s="26" t="s">
        <v>6395</v>
      </c>
      <c r="E1340" s="26" t="s">
        <v>4031</v>
      </c>
      <c r="F1340" s="26" t="s">
        <v>4032</v>
      </c>
      <c r="G1340" s="26" t="s">
        <v>6377</v>
      </c>
      <c r="H1340" s="26" t="s">
        <v>619</v>
      </c>
      <c r="I1340" s="26" t="s">
        <v>4485</v>
      </c>
      <c r="J1340" s="11" t="str">
        <f>VLOOKUP(K1340,'PN Dictionary'!A:B,2,FALSE)</f>
        <v>GB300 L10</v>
      </c>
      <c r="K1340" s="26" t="s">
        <v>4318</v>
      </c>
      <c r="L1340" s="26" t="s">
        <v>5254</v>
      </c>
      <c r="M1340" s="50"/>
      <c r="N1340" s="51" t="s">
        <v>53</v>
      </c>
      <c r="O1340" s="26" t="s">
        <v>728</v>
      </c>
      <c r="P1340" s="26">
        <v>90160</v>
      </c>
      <c r="Q1340" s="26" t="s">
        <v>55</v>
      </c>
      <c r="R1340" s="26">
        <v>401000076283</v>
      </c>
    </row>
    <row r="1341" spans="1:18" x14ac:dyDescent="0.3">
      <c r="A1341" s="26" t="s">
        <v>6396</v>
      </c>
      <c r="B1341" s="26" t="s">
        <v>6397</v>
      </c>
      <c r="C1341" s="26" t="s">
        <v>4309</v>
      </c>
      <c r="D1341" s="26" t="s">
        <v>6345</v>
      </c>
      <c r="E1341" s="26" t="s">
        <v>117</v>
      </c>
      <c r="F1341" s="26" t="s">
        <v>6398</v>
      </c>
      <c r="G1341" s="26" t="s">
        <v>6399</v>
      </c>
      <c r="H1341" s="26" t="s">
        <v>39</v>
      </c>
      <c r="I1341" s="26" t="s">
        <v>6400</v>
      </c>
      <c r="J1341" s="11" t="str">
        <f>VLOOKUP(K1341,'PN Dictionary'!A:B,2,FALSE)</f>
        <v>GB300 L10</v>
      </c>
      <c r="K1341" s="26" t="s">
        <v>4318</v>
      </c>
      <c r="L1341" s="26" t="s">
        <v>6401</v>
      </c>
      <c r="M1341" s="50" t="s">
        <v>6402</v>
      </c>
      <c r="N1341" s="51" t="s">
        <v>53</v>
      </c>
      <c r="O1341" s="26" t="s">
        <v>728</v>
      </c>
      <c r="P1341" s="26">
        <v>1237</v>
      </c>
      <c r="Q1341" s="26" t="s">
        <v>55</v>
      </c>
      <c r="R1341" s="26">
        <v>401000076242</v>
      </c>
    </row>
    <row r="1342" spans="1:18" x14ac:dyDescent="0.3">
      <c r="A1342" s="26" t="s">
        <v>6403</v>
      </c>
      <c r="B1342" s="26" t="s">
        <v>6404</v>
      </c>
      <c r="C1342" s="26" t="s">
        <v>4309</v>
      </c>
      <c r="D1342" s="26" t="s">
        <v>6405</v>
      </c>
      <c r="E1342" s="26" t="s">
        <v>4644</v>
      </c>
      <c r="F1342" s="26" t="s">
        <v>4645</v>
      </c>
      <c r="G1342" s="26" t="s">
        <v>6399</v>
      </c>
      <c r="H1342" s="26" t="s">
        <v>39</v>
      </c>
      <c r="I1342" s="26" t="s">
        <v>4645</v>
      </c>
      <c r="J1342" s="11" t="str">
        <f>VLOOKUP(K1342,'PN Dictionary'!A:B,2,FALSE)</f>
        <v>GB300 L10</v>
      </c>
      <c r="K1342" s="26" t="s">
        <v>4318</v>
      </c>
      <c r="L1342" s="26" t="s">
        <v>6406</v>
      </c>
      <c r="M1342" s="50" t="s">
        <v>6407</v>
      </c>
      <c r="N1342" s="51" t="s">
        <v>53</v>
      </c>
      <c r="O1342" s="26" t="s">
        <v>728</v>
      </c>
      <c r="P1342" s="26">
        <v>3908</v>
      </c>
      <c r="Q1342" s="26" t="s">
        <v>55</v>
      </c>
      <c r="R1342" s="26">
        <v>401000076283</v>
      </c>
    </row>
    <row r="1343" spans="1:18" x14ac:dyDescent="0.3">
      <c r="A1343" s="26" t="s">
        <v>6408</v>
      </c>
      <c r="B1343" s="26" t="s">
        <v>6409</v>
      </c>
      <c r="C1343" s="26" t="s">
        <v>4309</v>
      </c>
      <c r="D1343" s="26" t="s">
        <v>6405</v>
      </c>
      <c r="E1343" s="26" t="s">
        <v>4644</v>
      </c>
      <c r="F1343" s="26" t="s">
        <v>4645</v>
      </c>
      <c r="G1343" s="26" t="s">
        <v>6399</v>
      </c>
      <c r="H1343" s="26" t="s">
        <v>39</v>
      </c>
      <c r="I1343" s="26" t="s">
        <v>4645</v>
      </c>
      <c r="J1343" s="11" t="str">
        <f>VLOOKUP(K1343,'PN Dictionary'!A:B,2,FALSE)</f>
        <v>GB300 L10</v>
      </c>
      <c r="K1343" s="26" t="s">
        <v>4318</v>
      </c>
      <c r="L1343" s="26" t="s">
        <v>5186</v>
      </c>
      <c r="M1343" s="50" t="s">
        <v>6410</v>
      </c>
      <c r="N1343" s="51" t="s">
        <v>53</v>
      </c>
      <c r="O1343" s="26" t="s">
        <v>728</v>
      </c>
      <c r="P1343" s="26">
        <v>3908</v>
      </c>
      <c r="Q1343" s="26" t="s">
        <v>55</v>
      </c>
      <c r="R1343" s="26">
        <v>401000076283</v>
      </c>
    </row>
    <row r="1344" spans="1:18" x14ac:dyDescent="0.3">
      <c r="A1344" s="26" t="s">
        <v>6411</v>
      </c>
      <c r="B1344" s="26" t="s">
        <v>6412</v>
      </c>
      <c r="C1344" s="26" t="s">
        <v>4309</v>
      </c>
      <c r="D1344" s="26" t="s">
        <v>6405</v>
      </c>
      <c r="E1344" s="26" t="s">
        <v>4644</v>
      </c>
      <c r="F1344" s="26" t="s">
        <v>4645</v>
      </c>
      <c r="G1344" s="26" t="s">
        <v>6399</v>
      </c>
      <c r="H1344" s="26" t="s">
        <v>39</v>
      </c>
      <c r="I1344" s="26" t="s">
        <v>4645</v>
      </c>
      <c r="J1344" s="11" t="str">
        <f>VLOOKUP(K1344,'PN Dictionary'!A:B,2,FALSE)</f>
        <v>GB300 L10</v>
      </c>
      <c r="K1344" s="26" t="s">
        <v>4318</v>
      </c>
      <c r="L1344" s="26" t="s">
        <v>6318</v>
      </c>
      <c r="M1344" s="50" t="s">
        <v>6413</v>
      </c>
      <c r="N1344" s="51" t="s">
        <v>53</v>
      </c>
      <c r="O1344" s="26" t="s">
        <v>728</v>
      </c>
      <c r="P1344" s="26">
        <v>90131</v>
      </c>
      <c r="Q1344" s="26" t="s">
        <v>55</v>
      </c>
      <c r="R1344" s="26">
        <v>401000076283</v>
      </c>
    </row>
    <row r="1345" spans="1:18" x14ac:dyDescent="0.3">
      <c r="A1345" s="26" t="s">
        <v>6414</v>
      </c>
      <c r="B1345" s="26" t="s">
        <v>6415</v>
      </c>
      <c r="C1345" s="26" t="s">
        <v>4309</v>
      </c>
      <c r="D1345" s="26" t="s">
        <v>6395</v>
      </c>
      <c r="E1345" s="26" t="s">
        <v>3857</v>
      </c>
      <c r="F1345" s="26" t="s">
        <v>3858</v>
      </c>
      <c r="G1345" s="26" t="s">
        <v>6399</v>
      </c>
      <c r="H1345" s="26" t="s">
        <v>39</v>
      </c>
      <c r="I1345" s="26" t="s">
        <v>3859</v>
      </c>
      <c r="J1345" s="11" t="str">
        <f>VLOOKUP(K1345,'PN Dictionary'!A:B,2,FALSE)</f>
        <v>GB300 L10</v>
      </c>
      <c r="K1345" s="26" t="s">
        <v>4318</v>
      </c>
      <c r="L1345" s="26" t="s">
        <v>6095</v>
      </c>
      <c r="M1345" s="50" t="s">
        <v>6416</v>
      </c>
      <c r="N1345" s="51" t="s">
        <v>53</v>
      </c>
      <c r="O1345" s="26" t="s">
        <v>728</v>
      </c>
      <c r="P1345" s="26">
        <v>90160</v>
      </c>
      <c r="Q1345" s="26" t="s">
        <v>55</v>
      </c>
      <c r="R1345" s="26">
        <v>401000076283</v>
      </c>
    </row>
    <row r="1346" spans="1:18" x14ac:dyDescent="0.3">
      <c r="A1346" s="26" t="s">
        <v>6417</v>
      </c>
      <c r="B1346" s="26" t="s">
        <v>6418</v>
      </c>
      <c r="C1346" s="26" t="s">
        <v>4309</v>
      </c>
      <c r="D1346" s="26" t="s">
        <v>6419</v>
      </c>
      <c r="E1346" s="26" t="s">
        <v>128</v>
      </c>
      <c r="F1346" s="26" t="s">
        <v>205</v>
      </c>
      <c r="G1346" s="26" t="s">
        <v>6399</v>
      </c>
      <c r="H1346" s="26" t="s">
        <v>39</v>
      </c>
      <c r="I1346" s="26" t="s">
        <v>6420</v>
      </c>
      <c r="J1346" s="11" t="str">
        <f>VLOOKUP(K1346,'PN Dictionary'!A:B,2,FALSE)</f>
        <v>Cable Cartridge</v>
      </c>
      <c r="K1346" s="26" t="s">
        <v>6</v>
      </c>
      <c r="L1346" s="26">
        <v>1820926356611</v>
      </c>
      <c r="M1346" s="50">
        <v>1821026355219</v>
      </c>
      <c r="N1346" s="51" t="s">
        <v>53</v>
      </c>
      <c r="O1346" s="26" t="s">
        <v>728</v>
      </c>
      <c r="P1346" s="26">
        <v>90185</v>
      </c>
      <c r="Q1346" s="26" t="s">
        <v>55</v>
      </c>
      <c r="R1346" s="26">
        <v>401000076192</v>
      </c>
    </row>
    <row r="1347" spans="1:18" x14ac:dyDescent="0.3">
      <c r="A1347" s="26" t="s">
        <v>6421</v>
      </c>
      <c r="B1347" s="26" t="s">
        <v>6422</v>
      </c>
      <c r="C1347" s="26" t="s">
        <v>4309</v>
      </c>
      <c r="D1347" s="26" t="s">
        <v>6423</v>
      </c>
      <c r="E1347" s="26" t="s">
        <v>761</v>
      </c>
      <c r="F1347" s="26" t="s">
        <v>3688</v>
      </c>
      <c r="G1347" s="26" t="s">
        <v>6424</v>
      </c>
      <c r="H1347" s="26" t="s">
        <v>39</v>
      </c>
      <c r="I1347" s="26" t="s">
        <v>3688</v>
      </c>
      <c r="J1347" s="11" t="str">
        <f>VLOOKUP(K1347,'PN Dictionary'!A:B,2,FALSE)</f>
        <v>GB300 L10</v>
      </c>
      <c r="K1347" s="26" t="s">
        <v>4318</v>
      </c>
      <c r="L1347" s="26" t="s">
        <v>6425</v>
      </c>
      <c r="M1347" s="50" t="s">
        <v>5254</v>
      </c>
      <c r="N1347" s="51" t="s">
        <v>53</v>
      </c>
      <c r="O1347" s="26" t="s">
        <v>728</v>
      </c>
      <c r="P1347" s="26">
        <v>90066</v>
      </c>
      <c r="Q1347" s="26" t="s">
        <v>55</v>
      </c>
      <c r="R1347" s="26">
        <v>401000076282</v>
      </c>
    </row>
    <row r="1348" spans="1:18" x14ac:dyDescent="0.3">
      <c r="A1348" s="26" t="s">
        <v>6426</v>
      </c>
      <c r="B1348" s="26" t="s">
        <v>6427</v>
      </c>
      <c r="C1348" s="26" t="s">
        <v>4309</v>
      </c>
      <c r="D1348" s="26" t="s">
        <v>6395</v>
      </c>
      <c r="E1348" s="26" t="s">
        <v>81</v>
      </c>
      <c r="F1348" s="26" t="s">
        <v>522</v>
      </c>
      <c r="G1348" s="26" t="s">
        <v>6424</v>
      </c>
      <c r="H1348" s="26" t="s">
        <v>39</v>
      </c>
      <c r="I1348" s="26" t="s">
        <v>3432</v>
      </c>
      <c r="J1348" s="11" t="str">
        <f>VLOOKUP(K1348,'PN Dictionary'!A:B,2,FALSE)</f>
        <v>GB300 L10</v>
      </c>
      <c r="K1348" s="26" t="s">
        <v>4318</v>
      </c>
      <c r="L1348" s="26" t="s">
        <v>6372</v>
      </c>
      <c r="M1348" s="50" t="s">
        <v>6428</v>
      </c>
      <c r="N1348" s="51" t="s">
        <v>53</v>
      </c>
      <c r="O1348" s="26" t="s">
        <v>728</v>
      </c>
      <c r="P1348" s="26">
        <v>90066</v>
      </c>
      <c r="Q1348" s="26" t="s">
        <v>55</v>
      </c>
      <c r="R1348" s="26">
        <v>401000076283</v>
      </c>
    </row>
    <row r="1349" spans="1:18" x14ac:dyDescent="0.3">
      <c r="A1349" s="26" t="s">
        <v>6429</v>
      </c>
      <c r="B1349" s="26" t="s">
        <v>6430</v>
      </c>
      <c r="C1349" s="26" t="s">
        <v>4309</v>
      </c>
      <c r="D1349" s="26" t="s">
        <v>6431</v>
      </c>
      <c r="E1349" s="26" t="s">
        <v>4587</v>
      </c>
      <c r="F1349" s="26" t="s">
        <v>4588</v>
      </c>
      <c r="G1349" s="26" t="s">
        <v>6424</v>
      </c>
      <c r="H1349" s="26" t="s">
        <v>39</v>
      </c>
      <c r="I1349" s="26" t="s">
        <v>6432</v>
      </c>
      <c r="J1349" s="11" t="str">
        <f>VLOOKUP(K1349,'PN Dictionary'!A:B,2,FALSE)</f>
        <v>GB300 L10</v>
      </c>
      <c r="K1349" s="26" t="s">
        <v>4318</v>
      </c>
      <c r="L1349" s="26" t="s">
        <v>5134</v>
      </c>
      <c r="M1349" s="50" t="s">
        <v>6433</v>
      </c>
      <c r="N1349" s="51" t="s">
        <v>53</v>
      </c>
      <c r="O1349" s="26" t="s">
        <v>728</v>
      </c>
      <c r="P1349" s="26">
        <v>90066</v>
      </c>
      <c r="Q1349" s="26" t="s">
        <v>55</v>
      </c>
      <c r="R1349" s="26">
        <v>401000076343</v>
      </c>
    </row>
    <row r="1350" spans="1:18" x14ac:dyDescent="0.3">
      <c r="A1350" s="26" t="s">
        <v>6434</v>
      </c>
      <c r="B1350" s="26" t="s">
        <v>6435</v>
      </c>
      <c r="C1350" s="26" t="s">
        <v>4309</v>
      </c>
      <c r="D1350" s="26" t="s">
        <v>6405</v>
      </c>
      <c r="E1350" s="26" t="s">
        <v>4587</v>
      </c>
      <c r="F1350" s="26" t="s">
        <v>4588</v>
      </c>
      <c r="G1350" s="26" t="s">
        <v>6424</v>
      </c>
      <c r="H1350" s="26" t="s">
        <v>39</v>
      </c>
      <c r="I1350" s="26" t="s">
        <v>6436</v>
      </c>
      <c r="J1350" s="11" t="str">
        <f>VLOOKUP(K1350,'PN Dictionary'!A:B,2,FALSE)</f>
        <v>GB300 L10</v>
      </c>
      <c r="K1350" s="26" t="s">
        <v>4318</v>
      </c>
      <c r="L1350" s="26" t="s">
        <v>4796</v>
      </c>
      <c r="M1350" s="50" t="s">
        <v>5370</v>
      </c>
      <c r="N1350" s="51" t="s">
        <v>53</v>
      </c>
      <c r="O1350" s="26" t="s">
        <v>728</v>
      </c>
      <c r="P1350" s="26">
        <v>90066</v>
      </c>
      <c r="Q1350" s="26" t="s">
        <v>55</v>
      </c>
      <c r="R1350" s="26">
        <v>401000076283</v>
      </c>
    </row>
    <row r="1351" spans="1:18" x14ac:dyDescent="0.3">
      <c r="A1351" s="26" t="s">
        <v>6437</v>
      </c>
      <c r="B1351" s="26" t="s">
        <v>6438</v>
      </c>
      <c r="C1351" s="26" t="s">
        <v>4309</v>
      </c>
      <c r="D1351" s="26" t="s">
        <v>6439</v>
      </c>
      <c r="E1351" s="26" t="s">
        <v>3881</v>
      </c>
      <c r="F1351" s="26" t="s">
        <v>3882</v>
      </c>
      <c r="G1351" s="26" t="s">
        <v>6424</v>
      </c>
      <c r="H1351" s="26" t="s">
        <v>39</v>
      </c>
      <c r="I1351" s="26" t="s">
        <v>6440</v>
      </c>
      <c r="J1351" s="11" t="str">
        <f>VLOOKUP(K1351,'PN Dictionary'!A:B,2,FALSE)</f>
        <v>GB300 L10</v>
      </c>
      <c r="K1351" s="26" t="s">
        <v>4318</v>
      </c>
      <c r="L1351" s="26" t="s">
        <v>5835</v>
      </c>
      <c r="M1351" s="50" t="s">
        <v>6041</v>
      </c>
      <c r="N1351" s="51" t="s">
        <v>53</v>
      </c>
      <c r="O1351" s="26" t="s">
        <v>728</v>
      </c>
      <c r="P1351" s="26">
        <v>90066</v>
      </c>
      <c r="Q1351" s="26" t="s">
        <v>55</v>
      </c>
      <c r="R1351" s="26">
        <v>401000076343</v>
      </c>
    </row>
    <row r="1352" spans="1:18" x14ac:dyDescent="0.3">
      <c r="A1352" s="26" t="s">
        <v>6441</v>
      </c>
      <c r="B1352" s="26" t="s">
        <v>6442</v>
      </c>
      <c r="C1352" s="26" t="s">
        <v>4309</v>
      </c>
      <c r="D1352" s="26" t="s">
        <v>6443</v>
      </c>
      <c r="E1352" s="26" t="s">
        <v>230</v>
      </c>
      <c r="F1352" s="26" t="s">
        <v>238</v>
      </c>
      <c r="G1352" s="26" t="s">
        <v>6424</v>
      </c>
      <c r="H1352" s="26" t="s">
        <v>39</v>
      </c>
      <c r="I1352" s="26" t="s">
        <v>6444</v>
      </c>
      <c r="J1352" s="11" t="str">
        <f>VLOOKUP(K1352,'PN Dictionary'!A:B,2,FALSE)</f>
        <v>Cable Cartridge</v>
      </c>
      <c r="K1352" s="26" t="s">
        <v>6</v>
      </c>
      <c r="L1352" s="26">
        <v>1821026355186</v>
      </c>
      <c r="M1352" s="50">
        <v>1821026355236</v>
      </c>
      <c r="N1352" s="51" t="s">
        <v>53</v>
      </c>
      <c r="O1352" s="26" t="s">
        <v>728</v>
      </c>
      <c r="P1352" s="26">
        <v>2984</v>
      </c>
      <c r="Q1352" s="26" t="s">
        <v>55</v>
      </c>
      <c r="R1352" s="26">
        <v>401000076242</v>
      </c>
    </row>
    <row r="1353" spans="1:18" x14ac:dyDescent="0.3">
      <c r="A1353" s="26" t="s">
        <v>6445</v>
      </c>
      <c r="B1353" s="26" t="s">
        <v>6446</v>
      </c>
      <c r="C1353" s="26" t="s">
        <v>4309</v>
      </c>
      <c r="D1353" s="26" t="s">
        <v>6423</v>
      </c>
      <c r="E1353" s="26" t="s">
        <v>761</v>
      </c>
      <c r="F1353" s="26" t="s">
        <v>3688</v>
      </c>
      <c r="G1353" s="26" t="s">
        <v>6424</v>
      </c>
      <c r="H1353" s="26" t="s">
        <v>39</v>
      </c>
      <c r="I1353" s="26" t="s">
        <v>3688</v>
      </c>
      <c r="J1353" s="11" t="str">
        <f>VLOOKUP(K1353,'PN Dictionary'!A:B,2,FALSE)</f>
        <v>GB300 L10</v>
      </c>
      <c r="K1353" s="26" t="s">
        <v>4318</v>
      </c>
      <c r="L1353" s="26" t="s">
        <v>5254</v>
      </c>
      <c r="M1353" s="50" t="s">
        <v>5734</v>
      </c>
      <c r="N1353" s="51" t="s">
        <v>53</v>
      </c>
      <c r="O1353" s="26" t="s">
        <v>728</v>
      </c>
      <c r="P1353" s="26">
        <v>3908</v>
      </c>
      <c r="Q1353" s="26" t="s">
        <v>55</v>
      </c>
      <c r="R1353" s="26">
        <v>401000076282</v>
      </c>
    </row>
    <row r="1354" spans="1:18" x14ac:dyDescent="0.3">
      <c r="A1354" s="26" t="s">
        <v>6447</v>
      </c>
      <c r="B1354" s="26" t="s">
        <v>6448</v>
      </c>
      <c r="C1354" s="26" t="s">
        <v>4309</v>
      </c>
      <c r="D1354" s="26" t="s">
        <v>6423</v>
      </c>
      <c r="E1354" s="26" t="s">
        <v>81</v>
      </c>
      <c r="F1354" s="26" t="s">
        <v>522</v>
      </c>
      <c r="G1354" s="26" t="s">
        <v>6449</v>
      </c>
      <c r="H1354" s="26" t="s">
        <v>39</v>
      </c>
      <c r="I1354" s="26" t="s">
        <v>3432</v>
      </c>
      <c r="J1354" s="11" t="str">
        <f>VLOOKUP(K1354,'PN Dictionary'!A:B,2,FALSE)</f>
        <v>GB300 L10</v>
      </c>
      <c r="K1354" s="26" t="s">
        <v>4318</v>
      </c>
      <c r="L1354" s="26" t="s">
        <v>6450</v>
      </c>
      <c r="M1354" s="50" t="s">
        <v>6425</v>
      </c>
      <c r="N1354" s="51" t="s">
        <v>53</v>
      </c>
      <c r="O1354" s="26" t="s">
        <v>728</v>
      </c>
      <c r="P1354" s="26">
        <v>90160</v>
      </c>
      <c r="Q1354" s="26" t="s">
        <v>55</v>
      </c>
      <c r="R1354" s="26">
        <v>401000076282</v>
      </c>
    </row>
    <row r="1355" spans="1:18" s="58" customFormat="1" ht="34" customHeight="1" x14ac:dyDescent="0.3">
      <c r="A1355" s="54" t="s">
        <v>6451</v>
      </c>
      <c r="B1355" s="55" t="s">
        <v>6452</v>
      </c>
      <c r="C1355" s="55" t="s">
        <v>4309</v>
      </c>
      <c r="D1355" s="55" t="s">
        <v>6453</v>
      </c>
      <c r="E1355" s="55" t="s">
        <v>761</v>
      </c>
      <c r="F1355" s="55" t="s">
        <v>3688</v>
      </c>
      <c r="G1355" s="55" t="s">
        <v>6454</v>
      </c>
      <c r="H1355" s="55" t="s">
        <v>39</v>
      </c>
      <c r="I1355" s="56" t="s">
        <v>1163</v>
      </c>
      <c r="J1355" s="11" t="str">
        <f>VLOOKUP(K1355,'PN Dictionary'!A:B,2,FALSE)</f>
        <v>GB300 L10</v>
      </c>
      <c r="K1355" s="55" t="s">
        <v>4318</v>
      </c>
      <c r="L1355" s="55" t="s">
        <v>6455</v>
      </c>
      <c r="M1355" s="55" t="s">
        <v>6456</v>
      </c>
      <c r="N1355" s="55" t="s">
        <v>53</v>
      </c>
      <c r="O1355" s="55" t="s">
        <v>728</v>
      </c>
      <c r="P1355" s="55">
        <v>90160</v>
      </c>
      <c r="Q1355" s="55" t="s">
        <v>55</v>
      </c>
      <c r="R1355" s="57">
        <v>401000076283</v>
      </c>
    </row>
    <row r="1356" spans="1:18" s="58" customFormat="1" ht="34" customHeight="1" x14ac:dyDescent="0.3">
      <c r="A1356" s="54" t="s">
        <v>6457</v>
      </c>
      <c r="B1356" s="55" t="s">
        <v>6458</v>
      </c>
      <c r="C1356" s="55" t="s">
        <v>4309</v>
      </c>
      <c r="D1356" s="55" t="s">
        <v>6459</v>
      </c>
      <c r="E1356" s="55" t="s">
        <v>411</v>
      </c>
      <c r="F1356" s="55" t="s">
        <v>597</v>
      </c>
      <c r="G1356" s="55" t="s">
        <v>6454</v>
      </c>
      <c r="H1356" s="55" t="s">
        <v>39</v>
      </c>
      <c r="I1356" s="56" t="s">
        <v>3550</v>
      </c>
      <c r="J1356" s="11" t="str">
        <f>VLOOKUP(K1356,'PN Dictionary'!A:B,2,FALSE)</f>
        <v>NVSwitch</v>
      </c>
      <c r="K1356" s="55" t="s">
        <v>7</v>
      </c>
      <c r="L1356" s="55" t="s">
        <v>5604</v>
      </c>
      <c r="M1356" s="55" t="s">
        <v>6460</v>
      </c>
      <c r="N1356" s="55" t="s">
        <v>53</v>
      </c>
      <c r="O1356" s="55" t="s">
        <v>728</v>
      </c>
      <c r="P1356" s="55">
        <v>90160</v>
      </c>
      <c r="Q1356" s="55" t="s">
        <v>55</v>
      </c>
      <c r="R1356" s="57">
        <v>401000076343</v>
      </c>
    </row>
    <row r="1357" spans="1:18" s="58" customFormat="1" ht="29" x14ac:dyDescent="0.3">
      <c r="A1357" s="54" t="s">
        <v>6461</v>
      </c>
      <c r="B1357" s="55" t="s">
        <v>6462</v>
      </c>
      <c r="C1357" s="55" t="s">
        <v>4309</v>
      </c>
      <c r="D1357" s="55" t="s">
        <v>6463</v>
      </c>
      <c r="E1357" s="55" t="s">
        <v>761</v>
      </c>
      <c r="F1357" s="55" t="s">
        <v>3688</v>
      </c>
      <c r="G1357" s="55" t="s">
        <v>6454</v>
      </c>
      <c r="H1357" s="55" t="s">
        <v>39</v>
      </c>
      <c r="I1357" s="56" t="s">
        <v>1163</v>
      </c>
      <c r="J1357" s="11" t="str">
        <f>VLOOKUP(K1357,'PN Dictionary'!A:B,2,FALSE)</f>
        <v>GB300 L10</v>
      </c>
      <c r="K1357" s="26" t="s">
        <v>4318</v>
      </c>
      <c r="L1357" s="55" t="s">
        <v>5070</v>
      </c>
      <c r="M1357" s="55" t="s">
        <v>6095</v>
      </c>
      <c r="N1357" s="55" t="s">
        <v>53</v>
      </c>
      <c r="O1357" s="55" t="s">
        <v>728</v>
      </c>
      <c r="P1357" s="55">
        <v>90160</v>
      </c>
      <c r="Q1357" s="55" t="s">
        <v>55</v>
      </c>
      <c r="R1357" s="57">
        <v>401000076343</v>
      </c>
    </row>
    <row r="1358" spans="1:18" s="58" customFormat="1" ht="34" customHeight="1" x14ac:dyDescent="0.3">
      <c r="A1358" s="54" t="s">
        <v>6464</v>
      </c>
      <c r="B1358" s="55" t="s">
        <v>6465</v>
      </c>
      <c r="C1358" s="55" t="s">
        <v>4309</v>
      </c>
      <c r="D1358" s="55" t="s">
        <v>6466</v>
      </c>
      <c r="E1358" s="55" t="s">
        <v>761</v>
      </c>
      <c r="F1358" s="55" t="s">
        <v>3688</v>
      </c>
      <c r="G1358" s="55" t="s">
        <v>6454</v>
      </c>
      <c r="H1358" s="55" t="s">
        <v>39</v>
      </c>
      <c r="I1358" s="56" t="s">
        <v>1163</v>
      </c>
      <c r="J1358" s="11" t="str">
        <f>VLOOKUP(K1358,'PN Dictionary'!A:B,2,FALSE)</f>
        <v>GB300 L10</v>
      </c>
      <c r="K1358" s="26" t="s">
        <v>4318</v>
      </c>
      <c r="L1358" s="55" t="s">
        <v>6249</v>
      </c>
      <c r="M1358" s="55" t="s">
        <v>5970</v>
      </c>
      <c r="N1358" s="55" t="s">
        <v>53</v>
      </c>
      <c r="O1358" s="55" t="s">
        <v>728</v>
      </c>
      <c r="P1358" s="55">
        <v>90160</v>
      </c>
      <c r="Q1358" s="55" t="s">
        <v>55</v>
      </c>
      <c r="R1358" s="57">
        <v>401000076343</v>
      </c>
    </row>
    <row r="1359" spans="1:18" s="58" customFormat="1" ht="51" customHeight="1" x14ac:dyDescent="0.3">
      <c r="A1359" s="54" t="s">
        <v>6467</v>
      </c>
      <c r="B1359" s="55" t="s">
        <v>6468</v>
      </c>
      <c r="C1359" s="55" t="s">
        <v>4309</v>
      </c>
      <c r="D1359" s="55" t="s">
        <v>6439</v>
      </c>
      <c r="E1359" s="55" t="s">
        <v>230</v>
      </c>
      <c r="F1359" s="55" t="s">
        <v>238</v>
      </c>
      <c r="G1359" s="55" t="s">
        <v>6469</v>
      </c>
      <c r="H1359" s="55" t="s">
        <v>39</v>
      </c>
      <c r="I1359" s="56" t="s">
        <v>6470</v>
      </c>
      <c r="J1359" s="11" t="str">
        <f>VLOOKUP(K1359,'PN Dictionary'!A:B,2,FALSE)</f>
        <v>Cable Cartridge</v>
      </c>
      <c r="K1359" s="55" t="s">
        <v>6</v>
      </c>
      <c r="L1359" s="55">
        <v>1820926356122</v>
      </c>
      <c r="M1359" s="55">
        <v>1820926356307</v>
      </c>
      <c r="N1359" s="55" t="s">
        <v>53</v>
      </c>
      <c r="O1359" s="55" t="s">
        <v>728</v>
      </c>
      <c r="P1359" s="55">
        <v>2984</v>
      </c>
      <c r="Q1359" s="55" t="s">
        <v>55</v>
      </c>
      <c r="R1359" s="57">
        <v>401000076343</v>
      </c>
    </row>
    <row r="1360" spans="1:18" s="58" customFormat="1" ht="51" customHeight="1" x14ac:dyDescent="0.3">
      <c r="A1360" s="54" t="s">
        <v>6471</v>
      </c>
      <c r="B1360" s="55" t="s">
        <v>6472</v>
      </c>
      <c r="C1360" s="55" t="s">
        <v>4309</v>
      </c>
      <c r="D1360" s="55" t="s">
        <v>6459</v>
      </c>
      <c r="E1360" s="55" t="s">
        <v>230</v>
      </c>
      <c r="F1360" s="55" t="s">
        <v>238</v>
      </c>
      <c r="G1360" s="55" t="s">
        <v>6469</v>
      </c>
      <c r="H1360" s="55" t="s">
        <v>39</v>
      </c>
      <c r="I1360" s="56" t="s">
        <v>6473</v>
      </c>
      <c r="J1360" s="11" t="str">
        <f>VLOOKUP(K1360,'PN Dictionary'!A:B,2,FALSE)</f>
        <v>Cable Cartridge</v>
      </c>
      <c r="K1360" s="55" t="s">
        <v>6</v>
      </c>
      <c r="L1360" s="55">
        <v>1820926354374</v>
      </c>
      <c r="M1360" s="55">
        <v>1820926356300</v>
      </c>
      <c r="N1360" s="55" t="s">
        <v>53</v>
      </c>
      <c r="O1360" s="55" t="s">
        <v>728</v>
      </c>
      <c r="P1360" s="55">
        <v>2984</v>
      </c>
      <c r="Q1360" s="55" t="s">
        <v>55</v>
      </c>
      <c r="R1360" s="57">
        <v>401000076343</v>
      </c>
    </row>
    <row r="1361" spans="1:18" x14ac:dyDescent="0.3">
      <c r="A1361" s="26" t="s">
        <v>6474</v>
      </c>
      <c r="B1361" s="26" t="s">
        <v>6475</v>
      </c>
      <c r="C1361" s="26" t="s">
        <v>4309</v>
      </c>
      <c r="D1361" s="26" t="s">
        <v>6439</v>
      </c>
      <c r="E1361" s="26" t="s">
        <v>761</v>
      </c>
      <c r="F1361" s="26" t="s">
        <v>3688</v>
      </c>
      <c r="G1361" s="26" t="s">
        <v>6469</v>
      </c>
      <c r="H1361" s="26" t="s">
        <v>39</v>
      </c>
      <c r="I1361" s="26" t="s">
        <v>1163</v>
      </c>
      <c r="J1361" s="11" t="str">
        <f>VLOOKUP(K1361,'PN Dictionary'!A:B,2,FALSE)</f>
        <v>GB300 L10</v>
      </c>
      <c r="K1361" s="26" t="s">
        <v>4318</v>
      </c>
      <c r="L1361" s="26" t="s">
        <v>6406</v>
      </c>
      <c r="M1361" s="50" t="s">
        <v>6476</v>
      </c>
      <c r="N1361" s="51" t="s">
        <v>53</v>
      </c>
      <c r="O1361" s="26" t="s">
        <v>728</v>
      </c>
      <c r="P1361" s="26">
        <v>90160</v>
      </c>
      <c r="Q1361" s="26" t="s">
        <v>55</v>
      </c>
      <c r="R1361" s="26">
        <v>401000076343</v>
      </c>
    </row>
    <row r="1362" spans="1:18" x14ac:dyDescent="0.3">
      <c r="A1362" s="26" t="s">
        <v>6477</v>
      </c>
      <c r="B1362" s="26" t="s">
        <v>6478</v>
      </c>
      <c r="C1362" s="26" t="s">
        <v>4309</v>
      </c>
      <c r="D1362" s="26" t="s">
        <v>6439</v>
      </c>
      <c r="E1362" s="26" t="s">
        <v>761</v>
      </c>
      <c r="F1362" s="26" t="s">
        <v>3688</v>
      </c>
      <c r="G1362" s="26" t="s">
        <v>6469</v>
      </c>
      <c r="H1362" s="26" t="s">
        <v>39</v>
      </c>
      <c r="I1362" s="26" t="s">
        <v>1163</v>
      </c>
      <c r="J1362" s="11" t="str">
        <f>VLOOKUP(K1362,'PN Dictionary'!A:B,2,FALSE)</f>
        <v>GB300 L10</v>
      </c>
      <c r="K1362" s="26" t="s">
        <v>4318</v>
      </c>
      <c r="L1362" s="26" t="s">
        <v>6225</v>
      </c>
      <c r="M1362" s="50" t="s">
        <v>6479</v>
      </c>
      <c r="N1362" s="51" t="s">
        <v>53</v>
      </c>
      <c r="O1362" s="26" t="s">
        <v>728</v>
      </c>
      <c r="P1362" s="26">
        <v>90160</v>
      </c>
      <c r="Q1362" s="26" t="s">
        <v>55</v>
      </c>
      <c r="R1362" s="26">
        <v>401000076343</v>
      </c>
    </row>
    <row r="1363" spans="1:18" x14ac:dyDescent="0.3">
      <c r="A1363" s="26" t="s">
        <v>6480</v>
      </c>
      <c r="B1363" s="26" t="s">
        <v>6481</v>
      </c>
      <c r="C1363" s="26" t="s">
        <v>4309</v>
      </c>
      <c r="D1363" s="26" t="s">
        <v>6439</v>
      </c>
      <c r="E1363" s="26" t="s">
        <v>761</v>
      </c>
      <c r="F1363" s="26" t="s">
        <v>3688</v>
      </c>
      <c r="G1363" s="26" t="s">
        <v>6469</v>
      </c>
      <c r="H1363" s="26" t="s">
        <v>39</v>
      </c>
      <c r="I1363" s="26" t="s">
        <v>1163</v>
      </c>
      <c r="J1363" s="11" t="str">
        <f>VLOOKUP(K1363,'PN Dictionary'!A:B,2,FALSE)</f>
        <v>GB300 L10</v>
      </c>
      <c r="K1363" s="26" t="s">
        <v>4318</v>
      </c>
      <c r="L1363" s="26" t="s">
        <v>5950</v>
      </c>
      <c r="M1363" s="50" t="s">
        <v>6406</v>
      </c>
      <c r="N1363" s="51" t="s">
        <v>53</v>
      </c>
      <c r="O1363" s="26" t="s">
        <v>728</v>
      </c>
      <c r="P1363" s="26">
        <v>90160</v>
      </c>
      <c r="Q1363" s="26" t="s">
        <v>55</v>
      </c>
      <c r="R1363" s="26">
        <v>401000076343</v>
      </c>
    </row>
    <row r="1364" spans="1:18" x14ac:dyDescent="0.3">
      <c r="A1364" s="26" t="s">
        <v>6482</v>
      </c>
      <c r="B1364" s="26" t="s">
        <v>6483</v>
      </c>
      <c r="C1364" s="26" t="s">
        <v>4309</v>
      </c>
      <c r="D1364" s="26" t="s">
        <v>6439</v>
      </c>
      <c r="E1364" s="26" t="s">
        <v>761</v>
      </c>
      <c r="F1364" s="26" t="s">
        <v>3688</v>
      </c>
      <c r="G1364" s="26" t="s">
        <v>6469</v>
      </c>
      <c r="H1364" s="26" t="s">
        <v>39</v>
      </c>
      <c r="I1364" s="26" t="s">
        <v>1163</v>
      </c>
      <c r="J1364" s="11" t="str">
        <f>VLOOKUP(K1364,'PN Dictionary'!A:B,2,FALSE)</f>
        <v>GB300 L10</v>
      </c>
      <c r="K1364" s="26" t="s">
        <v>4318</v>
      </c>
      <c r="L1364" s="26" t="s">
        <v>6230</v>
      </c>
      <c r="M1364" s="50" t="s">
        <v>6484</v>
      </c>
      <c r="N1364" s="51" t="s">
        <v>53</v>
      </c>
      <c r="O1364" s="26" t="s">
        <v>728</v>
      </c>
      <c r="P1364" s="26">
        <v>90160</v>
      </c>
      <c r="Q1364" s="26" t="s">
        <v>55</v>
      </c>
      <c r="R1364" s="26">
        <v>401000076343</v>
      </c>
    </row>
    <row r="1365" spans="1:18" x14ac:dyDescent="0.3">
      <c r="A1365" s="26" t="s">
        <v>6485</v>
      </c>
      <c r="B1365" s="26" t="s">
        <v>6486</v>
      </c>
      <c r="C1365" s="26" t="s">
        <v>4309</v>
      </c>
      <c r="D1365" s="26" t="s">
        <v>6487</v>
      </c>
      <c r="E1365" s="26" t="s">
        <v>761</v>
      </c>
      <c r="F1365" s="26" t="s">
        <v>3688</v>
      </c>
      <c r="G1365" s="26" t="s">
        <v>6469</v>
      </c>
      <c r="H1365" s="26" t="s">
        <v>39</v>
      </c>
      <c r="I1365" s="26" t="s">
        <v>1163</v>
      </c>
      <c r="J1365" s="11" t="str">
        <f>VLOOKUP(K1365,'PN Dictionary'!A:B,2,FALSE)</f>
        <v>GB300 L10</v>
      </c>
      <c r="K1365" s="26" t="s">
        <v>4318</v>
      </c>
      <c r="L1365" s="26" t="s">
        <v>5130</v>
      </c>
      <c r="M1365" s="50" t="s">
        <v>6488</v>
      </c>
      <c r="N1365" s="51" t="s">
        <v>53</v>
      </c>
      <c r="O1365" s="26" t="s">
        <v>728</v>
      </c>
      <c r="P1365" s="26">
        <v>90160</v>
      </c>
      <c r="Q1365" s="26" t="s">
        <v>55</v>
      </c>
      <c r="R1365" s="26">
        <v>401000076343</v>
      </c>
    </row>
    <row r="1366" spans="1:18" x14ac:dyDescent="0.3">
      <c r="A1366" s="26" t="s">
        <v>6489</v>
      </c>
      <c r="B1366" s="26" t="s">
        <v>6490</v>
      </c>
      <c r="C1366" s="26" t="s">
        <v>4309</v>
      </c>
      <c r="D1366" s="26" t="s">
        <v>6487</v>
      </c>
      <c r="E1366" s="26" t="s">
        <v>4587</v>
      </c>
      <c r="F1366" s="26" t="s">
        <v>4588</v>
      </c>
      <c r="G1366" s="26" t="s">
        <v>6469</v>
      </c>
      <c r="H1366" s="26" t="s">
        <v>39</v>
      </c>
      <c r="I1366" s="26" t="s">
        <v>6491</v>
      </c>
      <c r="J1366" s="11" t="str">
        <f>VLOOKUP(K1366,'PN Dictionary'!A:B,2,FALSE)</f>
        <v>GB300 L10</v>
      </c>
      <c r="K1366" s="26" t="s">
        <v>4318</v>
      </c>
      <c r="L1366" s="26" t="s">
        <v>6492</v>
      </c>
      <c r="M1366" s="50" t="s">
        <v>6493</v>
      </c>
      <c r="N1366" s="51" t="s">
        <v>53</v>
      </c>
      <c r="O1366" s="26" t="s">
        <v>728</v>
      </c>
      <c r="P1366" s="26">
        <v>90185</v>
      </c>
      <c r="Q1366" s="26" t="s">
        <v>55</v>
      </c>
      <c r="R1366" s="26">
        <v>401000076343</v>
      </c>
    </row>
    <row r="1367" spans="1:18" x14ac:dyDescent="0.3">
      <c r="A1367" s="26" t="s">
        <v>6494</v>
      </c>
      <c r="B1367" s="26" t="s">
        <v>6495</v>
      </c>
      <c r="C1367" s="26" t="s">
        <v>4309</v>
      </c>
      <c r="D1367" s="26" t="s">
        <v>6459</v>
      </c>
      <c r="E1367" s="26" t="s">
        <v>633</v>
      </c>
      <c r="F1367" s="26" t="s">
        <v>1796</v>
      </c>
      <c r="G1367" s="26" t="s">
        <v>6469</v>
      </c>
      <c r="H1367" s="26" t="s">
        <v>39</v>
      </c>
      <c r="I1367" s="26" t="s">
        <v>6496</v>
      </c>
      <c r="J1367" s="11" t="str">
        <f>VLOOKUP(K1367,'PN Dictionary'!A:B,2,FALSE)</f>
        <v>GB300 L10</v>
      </c>
      <c r="K1367" s="26" t="s">
        <v>4318</v>
      </c>
      <c r="L1367" s="26" t="s">
        <v>6497</v>
      </c>
      <c r="M1367" s="50" t="s">
        <v>6498</v>
      </c>
      <c r="N1367" s="51" t="s">
        <v>53</v>
      </c>
      <c r="O1367" s="26" t="s">
        <v>728</v>
      </c>
      <c r="P1367" s="26">
        <v>90185</v>
      </c>
      <c r="Q1367" s="26" t="s">
        <v>55</v>
      </c>
      <c r="R1367" s="26">
        <v>401000076343</v>
      </c>
    </row>
    <row r="1368" spans="1:18" x14ac:dyDescent="0.3">
      <c r="A1368" s="26" t="s">
        <v>6499</v>
      </c>
      <c r="B1368" s="26" t="s">
        <v>6500</v>
      </c>
      <c r="C1368" s="26" t="s">
        <v>4309</v>
      </c>
      <c r="D1368" s="26" t="s">
        <v>6459</v>
      </c>
      <c r="E1368" s="26" t="s">
        <v>1587</v>
      </c>
      <c r="F1368" s="26" t="s">
        <v>6501</v>
      </c>
      <c r="G1368" s="26" t="s">
        <v>6502</v>
      </c>
      <c r="H1368" s="26" t="s">
        <v>39</v>
      </c>
      <c r="I1368" s="26" t="s">
        <v>6503</v>
      </c>
      <c r="J1368" s="11" t="str">
        <f>VLOOKUP(K1368,'PN Dictionary'!A:B,2,FALSE)</f>
        <v>GB300 L10</v>
      </c>
      <c r="K1368" s="26" t="s">
        <v>4318</v>
      </c>
      <c r="L1368" s="26" t="s">
        <v>6372</v>
      </c>
      <c r="M1368" s="50" t="s">
        <v>6504</v>
      </c>
      <c r="N1368" s="51" t="s">
        <v>53</v>
      </c>
      <c r="O1368" s="26" t="s">
        <v>728</v>
      </c>
      <c r="P1368" s="26">
        <v>90112</v>
      </c>
      <c r="Q1368" s="26" t="s">
        <v>55</v>
      </c>
      <c r="R1368" s="26">
        <v>401000076343</v>
      </c>
    </row>
    <row r="1369" spans="1:18" x14ac:dyDescent="0.3">
      <c r="A1369" s="26" t="s">
        <v>6505</v>
      </c>
      <c r="B1369" s="26" t="s">
        <v>6506</v>
      </c>
      <c r="C1369" s="26" t="s">
        <v>4309</v>
      </c>
      <c r="D1369" s="26" t="s">
        <v>6439</v>
      </c>
      <c r="E1369" s="26" t="s">
        <v>1587</v>
      </c>
      <c r="F1369" s="26" t="s">
        <v>6501</v>
      </c>
      <c r="G1369" s="26" t="s">
        <v>6502</v>
      </c>
      <c r="H1369" s="26" t="s">
        <v>39</v>
      </c>
      <c r="I1369" s="26" t="s">
        <v>6503</v>
      </c>
      <c r="J1369" s="11" t="str">
        <f>VLOOKUP(K1369,'PN Dictionary'!A:B,2,FALSE)</f>
        <v>GB300 L10</v>
      </c>
      <c r="K1369" s="26" t="s">
        <v>4318</v>
      </c>
      <c r="L1369" s="26" t="s">
        <v>6479</v>
      </c>
      <c r="M1369" s="50" t="s">
        <v>6507</v>
      </c>
      <c r="N1369" s="51" t="s">
        <v>53</v>
      </c>
      <c r="O1369" s="26" t="s">
        <v>728</v>
      </c>
      <c r="P1369" s="26">
        <v>90112</v>
      </c>
      <c r="Q1369" s="26" t="s">
        <v>55</v>
      </c>
      <c r="R1369" s="26">
        <v>401000076343</v>
      </c>
    </row>
    <row r="1370" spans="1:18" x14ac:dyDescent="0.3">
      <c r="A1370" s="26" t="s">
        <v>6508</v>
      </c>
      <c r="B1370" s="26" t="s">
        <v>6509</v>
      </c>
      <c r="C1370" s="26" t="s">
        <v>4309</v>
      </c>
      <c r="D1370" s="26" t="s">
        <v>6439</v>
      </c>
      <c r="E1370" s="26" t="s">
        <v>633</v>
      </c>
      <c r="F1370" s="26" t="s">
        <v>1796</v>
      </c>
      <c r="G1370" s="26" t="s">
        <v>6502</v>
      </c>
      <c r="H1370" s="26" t="s">
        <v>39</v>
      </c>
      <c r="I1370" s="26" t="s">
        <v>6160</v>
      </c>
      <c r="J1370" s="11" t="str">
        <f>VLOOKUP(K1370,'PN Dictionary'!A:B,2,FALSE)</f>
        <v>GB300 L10</v>
      </c>
      <c r="K1370" s="26" t="s">
        <v>4318</v>
      </c>
      <c r="L1370" s="26" t="s">
        <v>6510</v>
      </c>
      <c r="M1370" s="50" t="s">
        <v>6484</v>
      </c>
      <c r="N1370" s="51" t="s">
        <v>53</v>
      </c>
      <c r="O1370" s="26" t="s">
        <v>728</v>
      </c>
      <c r="P1370" s="26">
        <v>90160</v>
      </c>
      <c r="Q1370" s="26" t="s">
        <v>55</v>
      </c>
      <c r="R1370" s="26">
        <v>401000076343</v>
      </c>
    </row>
    <row r="1371" spans="1:18" x14ac:dyDescent="0.3">
      <c r="A1371" s="26" t="s">
        <v>6511</v>
      </c>
      <c r="B1371" s="26" t="s">
        <v>6512</v>
      </c>
      <c r="C1371" s="26" t="s">
        <v>4309</v>
      </c>
      <c r="D1371" s="26" t="s">
        <v>6487</v>
      </c>
      <c r="E1371" s="26" t="s">
        <v>633</v>
      </c>
      <c r="F1371" s="26" t="s">
        <v>1796</v>
      </c>
      <c r="G1371" s="26" t="s">
        <v>6502</v>
      </c>
      <c r="H1371" s="26" t="s">
        <v>39</v>
      </c>
      <c r="I1371" s="26" t="s">
        <v>6513</v>
      </c>
      <c r="J1371" s="11" t="str">
        <f>VLOOKUP(K1371,'PN Dictionary'!A:B,2,FALSE)</f>
        <v>GB300 L10</v>
      </c>
      <c r="K1371" s="26" t="s">
        <v>4318</v>
      </c>
      <c r="L1371" s="26" t="s">
        <v>6514</v>
      </c>
      <c r="M1371" s="50" t="s">
        <v>6493</v>
      </c>
      <c r="N1371" s="51" t="s">
        <v>53</v>
      </c>
      <c r="O1371" s="26" t="s">
        <v>728</v>
      </c>
      <c r="P1371" s="26">
        <v>90160</v>
      </c>
      <c r="Q1371" s="26" t="s">
        <v>55</v>
      </c>
      <c r="R1371" s="26">
        <v>401000076343</v>
      </c>
    </row>
    <row r="1372" spans="1:18" x14ac:dyDescent="0.3">
      <c r="A1372" s="26" t="s">
        <v>6515</v>
      </c>
      <c r="B1372" s="26" t="s">
        <v>6516</v>
      </c>
      <c r="C1372" s="26" t="s">
        <v>4309</v>
      </c>
      <c r="D1372" s="26" t="s">
        <v>6439</v>
      </c>
      <c r="E1372" s="26" t="s">
        <v>230</v>
      </c>
      <c r="F1372" s="26" t="s">
        <v>238</v>
      </c>
      <c r="G1372" s="26" t="s">
        <v>6502</v>
      </c>
      <c r="H1372" s="26" t="s">
        <v>39</v>
      </c>
      <c r="I1372" s="26" t="s">
        <v>6517</v>
      </c>
      <c r="J1372" s="11" t="str">
        <f>VLOOKUP(K1372,'PN Dictionary'!A:B,2,FALSE)</f>
        <v>NVSwitch</v>
      </c>
      <c r="K1372" s="26" t="s">
        <v>7</v>
      </c>
      <c r="L1372" s="26" t="s">
        <v>6518</v>
      </c>
      <c r="M1372" s="50" t="s">
        <v>6519</v>
      </c>
      <c r="N1372" s="51" t="s">
        <v>53</v>
      </c>
      <c r="O1372" s="26" t="s">
        <v>728</v>
      </c>
      <c r="P1372" s="26">
        <v>4369</v>
      </c>
      <c r="Q1372" s="26" t="s">
        <v>55</v>
      </c>
      <c r="R1372" s="26">
        <v>401000076343</v>
      </c>
    </row>
    <row r="1373" spans="1:18" x14ac:dyDescent="0.3">
      <c r="A1373" s="26" t="s">
        <v>6520</v>
      </c>
      <c r="B1373" s="26" t="s">
        <v>6516</v>
      </c>
      <c r="C1373" s="26" t="s">
        <v>4309</v>
      </c>
      <c r="D1373" s="26" t="s">
        <v>6439</v>
      </c>
      <c r="E1373" s="26" t="s">
        <v>128</v>
      </c>
      <c r="F1373" s="26" t="s">
        <v>205</v>
      </c>
      <c r="G1373" s="26" t="s">
        <v>6502</v>
      </c>
      <c r="H1373" s="26" t="s">
        <v>39</v>
      </c>
      <c r="I1373" s="26" t="s">
        <v>6521</v>
      </c>
      <c r="J1373" s="11" t="str">
        <f>VLOOKUP(K1373,'PN Dictionary'!A:B,2,FALSE)</f>
        <v>Cable Cartridge</v>
      </c>
      <c r="K1373" s="26" t="s">
        <v>6</v>
      </c>
      <c r="L1373" s="26">
        <v>1820926354333</v>
      </c>
      <c r="M1373" s="50">
        <v>1821026354997</v>
      </c>
      <c r="N1373" s="51" t="s">
        <v>53</v>
      </c>
      <c r="O1373" s="26" t="s">
        <v>728</v>
      </c>
      <c r="P1373" s="26">
        <v>4369</v>
      </c>
      <c r="Q1373" s="26" t="s">
        <v>55</v>
      </c>
      <c r="R1373" s="26">
        <v>401000076343</v>
      </c>
    </row>
    <row r="1374" spans="1:18" x14ac:dyDescent="0.3">
      <c r="A1374" s="26" t="s">
        <v>6522</v>
      </c>
      <c r="B1374" s="26" t="s">
        <v>6523</v>
      </c>
      <c r="C1374" s="26" t="s">
        <v>4309</v>
      </c>
      <c r="D1374" s="26" t="s">
        <v>6487</v>
      </c>
      <c r="E1374" s="26" t="s">
        <v>81</v>
      </c>
      <c r="F1374" s="26" t="s">
        <v>522</v>
      </c>
      <c r="G1374" s="26" t="s">
        <v>6524</v>
      </c>
      <c r="H1374" s="26" t="s">
        <v>39</v>
      </c>
      <c r="I1374" s="26" t="s">
        <v>1163</v>
      </c>
      <c r="J1374" s="11" t="str">
        <f>VLOOKUP(K1374,'PN Dictionary'!A:B,2,FALSE)</f>
        <v>GB300 L10</v>
      </c>
      <c r="K1374" s="26" t="s">
        <v>4318</v>
      </c>
      <c r="L1374" s="26" t="s">
        <v>6525</v>
      </c>
      <c r="M1374" s="50" t="s">
        <v>6123</v>
      </c>
      <c r="N1374" s="51" t="s">
        <v>53</v>
      </c>
      <c r="O1374" s="26" t="s">
        <v>728</v>
      </c>
      <c r="P1374" s="26">
        <v>90169</v>
      </c>
      <c r="Q1374" s="26" t="s">
        <v>55</v>
      </c>
      <c r="R1374" s="26">
        <v>401000076343</v>
      </c>
    </row>
    <row r="1375" spans="1:18" x14ac:dyDescent="0.3">
      <c r="A1375" s="26" t="s">
        <v>6526</v>
      </c>
      <c r="B1375" s="26" t="s">
        <v>6527</v>
      </c>
      <c r="C1375" s="26" t="s">
        <v>4309</v>
      </c>
      <c r="D1375" s="26" t="s">
        <v>6487</v>
      </c>
      <c r="E1375" s="26" t="s">
        <v>128</v>
      </c>
      <c r="F1375" s="26" t="s">
        <v>205</v>
      </c>
      <c r="G1375" s="26" t="s">
        <v>6524</v>
      </c>
      <c r="H1375" s="26" t="s">
        <v>39</v>
      </c>
      <c r="I1375" s="26" t="s">
        <v>6528</v>
      </c>
      <c r="J1375" s="11" t="str">
        <f>VLOOKUP(K1375,'PN Dictionary'!A:B,2,FALSE)</f>
        <v>Cable Cartridge</v>
      </c>
      <c r="K1375" s="26" t="s">
        <v>6</v>
      </c>
      <c r="L1375" s="26">
        <v>1820926357066</v>
      </c>
      <c r="M1375" s="50">
        <v>1821026355081</v>
      </c>
      <c r="N1375" s="51" t="s">
        <v>53</v>
      </c>
      <c r="O1375" s="26" t="s">
        <v>728</v>
      </c>
      <c r="P1375" s="26">
        <v>2984</v>
      </c>
      <c r="Q1375" s="26" t="s">
        <v>55</v>
      </c>
      <c r="R1375" s="26">
        <v>401000076343</v>
      </c>
    </row>
    <row r="1376" spans="1:18" x14ac:dyDescent="0.3">
      <c r="A1376" s="26" t="s">
        <v>6529</v>
      </c>
      <c r="B1376" s="26" t="s">
        <v>6530</v>
      </c>
      <c r="C1376" s="26" t="s">
        <v>4309</v>
      </c>
      <c r="D1376" s="26" t="s">
        <v>6487</v>
      </c>
      <c r="E1376" s="26" t="s">
        <v>81</v>
      </c>
      <c r="F1376" s="26" t="s">
        <v>522</v>
      </c>
      <c r="G1376" s="26" t="s">
        <v>6524</v>
      </c>
      <c r="H1376" s="26" t="s">
        <v>39</v>
      </c>
      <c r="I1376" s="26" t="s">
        <v>6531</v>
      </c>
      <c r="J1376" s="11" t="str">
        <f>VLOOKUP(K1376,'PN Dictionary'!A:B,2,FALSE)</f>
        <v>GB300 L10</v>
      </c>
      <c r="K1376" s="26" t="s">
        <v>4318</v>
      </c>
      <c r="L1376" s="26" t="s">
        <v>6249</v>
      </c>
      <c r="M1376" s="50" t="s">
        <v>6532</v>
      </c>
      <c r="N1376" s="51" t="s">
        <v>53</v>
      </c>
      <c r="O1376" s="26" t="s">
        <v>728</v>
      </c>
      <c r="P1376" s="26">
        <v>90066</v>
      </c>
      <c r="Q1376" s="26" t="s">
        <v>55</v>
      </c>
      <c r="R1376" s="26">
        <v>401000076343</v>
      </c>
    </row>
    <row r="1377" spans="1:18" x14ac:dyDescent="0.3">
      <c r="A1377" s="26" t="s">
        <v>6533</v>
      </c>
      <c r="B1377" s="26" t="s">
        <v>6534</v>
      </c>
      <c r="C1377" s="26" t="s">
        <v>4309</v>
      </c>
      <c r="D1377" s="26" t="s">
        <v>6487</v>
      </c>
      <c r="E1377" s="26" t="s">
        <v>230</v>
      </c>
      <c r="F1377" s="26" t="s">
        <v>238</v>
      </c>
      <c r="G1377" s="26" t="s">
        <v>6535</v>
      </c>
      <c r="H1377" s="26" t="s">
        <v>39</v>
      </c>
      <c r="I1377" s="26" t="s">
        <v>4887</v>
      </c>
      <c r="J1377" s="11" t="str">
        <f>VLOOKUP(K1377,'PN Dictionary'!A:B,2,FALSE)</f>
        <v>NVSwitch</v>
      </c>
      <c r="K1377" s="26" t="s">
        <v>7</v>
      </c>
      <c r="L1377" s="26" t="s">
        <v>6536</v>
      </c>
      <c r="M1377" s="50" t="s">
        <v>6537</v>
      </c>
      <c r="N1377" s="51" t="s">
        <v>53</v>
      </c>
      <c r="O1377" s="26" t="s">
        <v>728</v>
      </c>
      <c r="P1377" s="26">
        <v>2984</v>
      </c>
      <c r="Q1377" s="26" t="s">
        <v>55</v>
      </c>
      <c r="R1377" s="26">
        <v>401000076343</v>
      </c>
    </row>
    <row r="1378" spans="1:18" x14ac:dyDescent="0.3">
      <c r="A1378" s="26" t="s">
        <v>6538</v>
      </c>
      <c r="B1378" s="26" t="s">
        <v>6539</v>
      </c>
      <c r="C1378" s="26" t="s">
        <v>4309</v>
      </c>
      <c r="D1378" s="26" t="s">
        <v>6487</v>
      </c>
      <c r="E1378" s="26" t="s">
        <v>81</v>
      </c>
      <c r="F1378" s="26" t="s">
        <v>522</v>
      </c>
      <c r="G1378" s="26" t="s">
        <v>6535</v>
      </c>
      <c r="H1378" s="26" t="s">
        <v>39</v>
      </c>
      <c r="I1378" s="26" t="s">
        <v>6540</v>
      </c>
      <c r="J1378" s="11" t="str">
        <f>VLOOKUP(K1378,'PN Dictionary'!A:B,2,FALSE)</f>
        <v>GB300 L10</v>
      </c>
      <c r="K1378" s="26" t="s">
        <v>4318</v>
      </c>
      <c r="L1378" s="26" t="s">
        <v>6532</v>
      </c>
      <c r="M1378" s="50" t="s">
        <v>6541</v>
      </c>
      <c r="N1378" s="51" t="s">
        <v>53</v>
      </c>
      <c r="O1378" s="26" t="s">
        <v>728</v>
      </c>
      <c r="P1378" s="26">
        <v>90160</v>
      </c>
      <c r="Q1378" s="26" t="s">
        <v>55</v>
      </c>
      <c r="R1378" s="26">
        <v>401000076343</v>
      </c>
    </row>
    <row r="1379" spans="1:18" x14ac:dyDescent="0.3">
      <c r="A1379" s="26" t="s">
        <v>6542</v>
      </c>
      <c r="B1379" s="26" t="s">
        <v>6543</v>
      </c>
      <c r="C1379" s="26" t="s">
        <v>4309</v>
      </c>
      <c r="D1379" s="26" t="s">
        <v>6544</v>
      </c>
      <c r="E1379" s="26" t="s">
        <v>3857</v>
      </c>
      <c r="F1379" s="26" t="s">
        <v>3858</v>
      </c>
      <c r="G1379" s="26" t="s">
        <v>6535</v>
      </c>
      <c r="H1379" s="26" t="s">
        <v>39</v>
      </c>
      <c r="I1379" s="26" t="s">
        <v>6545</v>
      </c>
      <c r="J1379" s="11" t="str">
        <f>VLOOKUP(K1379,'PN Dictionary'!A:B,2,FALSE)</f>
        <v>GB300 L10</v>
      </c>
      <c r="K1379" s="26" t="s">
        <v>4318</v>
      </c>
      <c r="L1379" s="26" t="s">
        <v>6280</v>
      </c>
      <c r="M1379" s="50" t="s">
        <v>6546</v>
      </c>
      <c r="N1379" s="51" t="s">
        <v>53</v>
      </c>
      <c r="O1379" s="26" t="s">
        <v>728</v>
      </c>
      <c r="P1379" s="26">
        <v>90185</v>
      </c>
      <c r="Q1379" s="26" t="s">
        <v>55</v>
      </c>
      <c r="R1379" s="26">
        <v>401000076343</v>
      </c>
    </row>
    <row r="1380" spans="1:18" x14ac:dyDescent="0.3">
      <c r="A1380" s="26" t="s">
        <v>6547</v>
      </c>
      <c r="B1380" s="26" t="s">
        <v>6548</v>
      </c>
      <c r="C1380" s="26" t="s">
        <v>4309</v>
      </c>
      <c r="D1380" s="26" t="s">
        <v>6544</v>
      </c>
      <c r="E1380" s="26" t="s">
        <v>4587</v>
      </c>
      <c r="F1380" s="26" t="s">
        <v>4588</v>
      </c>
      <c r="G1380" s="26" t="s">
        <v>6535</v>
      </c>
      <c r="H1380" s="26" t="s">
        <v>39</v>
      </c>
      <c r="I1380" s="26" t="s">
        <v>6549</v>
      </c>
      <c r="J1380" s="11" t="str">
        <f>VLOOKUP(K1380,'PN Dictionary'!A:B,2,FALSE)</f>
        <v>GB300 L10</v>
      </c>
      <c r="K1380" s="26" t="s">
        <v>4318</v>
      </c>
      <c r="L1380" s="26" t="s">
        <v>6544</v>
      </c>
      <c r="M1380" s="50" t="s">
        <v>6550</v>
      </c>
      <c r="N1380" s="51" t="s">
        <v>53</v>
      </c>
      <c r="O1380" s="26" t="s">
        <v>728</v>
      </c>
      <c r="P1380" s="26">
        <v>90185</v>
      </c>
      <c r="Q1380" s="26" t="s">
        <v>55</v>
      </c>
      <c r="R1380" s="26">
        <v>401000076343</v>
      </c>
    </row>
    <row r="1381" spans="1:18" x14ac:dyDescent="0.3">
      <c r="A1381" s="26" t="s">
        <v>6551</v>
      </c>
      <c r="B1381" s="26" t="s">
        <v>6552</v>
      </c>
      <c r="C1381" s="26" t="s">
        <v>4309</v>
      </c>
      <c r="D1381" s="26" t="s">
        <v>6553</v>
      </c>
      <c r="E1381" s="26" t="s">
        <v>633</v>
      </c>
      <c r="F1381" s="26" t="s">
        <v>1796</v>
      </c>
      <c r="G1381" s="26" t="s">
        <v>6554</v>
      </c>
      <c r="H1381" s="26" t="s">
        <v>39</v>
      </c>
      <c r="I1381" s="26" t="s">
        <v>6160</v>
      </c>
      <c r="J1381" s="11" t="str">
        <f>VLOOKUP(K1381,'PN Dictionary'!A:B,2,FALSE)</f>
        <v>GB300 L10</v>
      </c>
      <c r="K1381" s="26" t="s">
        <v>4318</v>
      </c>
      <c r="L1381" s="26" t="s">
        <v>6525</v>
      </c>
      <c r="M1381" s="50" t="s">
        <v>5453</v>
      </c>
      <c r="N1381" s="51" t="s">
        <v>53</v>
      </c>
      <c r="O1381" s="26" t="s">
        <v>728</v>
      </c>
      <c r="P1381" s="26">
        <v>90169</v>
      </c>
      <c r="Q1381" s="26" t="s">
        <v>55</v>
      </c>
      <c r="R1381" s="26">
        <v>401000076343</v>
      </c>
    </row>
    <row r="1382" spans="1:18" x14ac:dyDescent="0.3">
      <c r="A1382" s="26" t="s">
        <v>6555</v>
      </c>
      <c r="B1382" s="26" t="s">
        <v>6556</v>
      </c>
      <c r="C1382" s="26" t="s">
        <v>4309</v>
      </c>
      <c r="D1382" s="26" t="s">
        <v>6553</v>
      </c>
      <c r="E1382" s="26" t="s">
        <v>4031</v>
      </c>
      <c r="F1382" s="26" t="s">
        <v>4032</v>
      </c>
      <c r="G1382" s="26" t="s">
        <v>6557</v>
      </c>
      <c r="H1382" s="26" t="s">
        <v>39</v>
      </c>
      <c r="I1382" s="26" t="s">
        <v>6558</v>
      </c>
      <c r="J1382" s="11" t="str">
        <f>VLOOKUP(K1382,'PN Dictionary'!A:B,2,FALSE)</f>
        <v>GB300 L10</v>
      </c>
      <c r="K1382" s="26" t="s">
        <v>4318</v>
      </c>
      <c r="L1382" s="26" t="s">
        <v>6492</v>
      </c>
      <c r="M1382" s="50" t="s">
        <v>6532</v>
      </c>
      <c r="N1382" s="51" t="s">
        <v>53</v>
      </c>
      <c r="O1382" s="26" t="s">
        <v>728</v>
      </c>
      <c r="P1382" s="26">
        <v>90169</v>
      </c>
      <c r="Q1382" s="26" t="s">
        <v>55</v>
      </c>
      <c r="R1382" s="26">
        <v>401000076343</v>
      </c>
    </row>
    <row r="1383" spans="1:18" x14ac:dyDescent="0.3">
      <c r="A1383" s="26" t="s">
        <v>6559</v>
      </c>
      <c r="B1383" s="26" t="s">
        <v>6560</v>
      </c>
      <c r="C1383" s="26" t="s">
        <v>4309</v>
      </c>
      <c r="D1383" s="26" t="s">
        <v>6553</v>
      </c>
      <c r="E1383" s="26" t="s">
        <v>4031</v>
      </c>
      <c r="F1383" s="26" t="s">
        <v>4032</v>
      </c>
      <c r="G1383" s="26" t="s">
        <v>6557</v>
      </c>
      <c r="H1383" s="26" t="s">
        <v>39</v>
      </c>
      <c r="I1383" s="26" t="s">
        <v>6561</v>
      </c>
      <c r="J1383" s="11" t="str">
        <f>VLOOKUP(K1383,'PN Dictionary'!A:B,2,FALSE)</f>
        <v>GB300 L10</v>
      </c>
      <c r="K1383" s="26" t="s">
        <v>4318</v>
      </c>
      <c r="L1383" s="26" t="s">
        <v>5134</v>
      </c>
      <c r="M1383" s="50" t="s">
        <v>6510</v>
      </c>
      <c r="N1383" s="51" t="s">
        <v>53</v>
      </c>
      <c r="O1383" s="26" t="s">
        <v>728</v>
      </c>
      <c r="P1383" s="26">
        <v>90169</v>
      </c>
      <c r="Q1383" s="26" t="s">
        <v>55</v>
      </c>
      <c r="R1383" s="26">
        <v>401000076343</v>
      </c>
    </row>
    <row r="1384" spans="1:18" x14ac:dyDescent="0.3">
      <c r="A1384" s="26" t="s">
        <v>6562</v>
      </c>
      <c r="B1384" s="26" t="s">
        <v>6563</v>
      </c>
      <c r="C1384" s="26" t="s">
        <v>4309</v>
      </c>
      <c r="D1384" s="26" t="s">
        <v>6553</v>
      </c>
      <c r="E1384" s="26" t="s">
        <v>3857</v>
      </c>
      <c r="F1384" s="26" t="s">
        <v>3858</v>
      </c>
      <c r="G1384" s="26" t="s">
        <v>6557</v>
      </c>
      <c r="H1384" s="26" t="s">
        <v>39</v>
      </c>
      <c r="I1384" s="26" t="s">
        <v>6564</v>
      </c>
      <c r="J1384" s="11" t="str">
        <f>VLOOKUP(K1384,'PN Dictionary'!A:B,2,FALSE)</f>
        <v>Cable Cartridge</v>
      </c>
      <c r="K1384" s="26" t="s">
        <v>6</v>
      </c>
      <c r="L1384" s="26" t="s">
        <v>6565</v>
      </c>
      <c r="M1384" s="50">
        <v>1820926356122</v>
      </c>
      <c r="N1384" s="51" t="s">
        <v>53</v>
      </c>
      <c r="O1384" s="26" t="s">
        <v>728</v>
      </c>
      <c r="P1384" s="26">
        <v>2874</v>
      </c>
      <c r="Q1384" s="26" t="s">
        <v>55</v>
      </c>
      <c r="R1384" s="26">
        <v>401000076343</v>
      </c>
    </row>
  </sheetData>
  <autoFilter ref="A1:R1337" xr:uid="{FF4FAFAE-58FC-428A-8538-CD494434A2FD}">
    <filterColumn colId="2">
      <filters>
        <filter val="SRS-52UGB300-NVL72-TI036"/>
      </filters>
    </filterColumn>
    <sortState xmlns:xlrd2="http://schemas.microsoft.com/office/spreadsheetml/2017/richdata2" ref="A881:R1384">
      <sortCondition ref="A1:A1337"/>
    </sortState>
  </autoFilter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2A0-3DE5-44EC-9742-F9FD089AE23D}">
  <sheetPr>
    <tabColor theme="2" tint="-0.249977111117893"/>
  </sheetPr>
  <dimension ref="A1:B27"/>
  <sheetViews>
    <sheetView topLeftCell="A7" workbookViewId="0">
      <selection activeCell="A31" sqref="A31"/>
    </sheetView>
  </sheetViews>
  <sheetFormatPr defaultRowHeight="14.5" x14ac:dyDescent="0.3"/>
  <cols>
    <col min="1" max="1" width="30" customWidth="1"/>
    <col min="2" max="2" width="30.69921875" customWidth="1"/>
  </cols>
  <sheetData>
    <row r="1" spans="1:2" x14ac:dyDescent="0.3">
      <c r="A1" s="7" t="s">
        <v>16</v>
      </c>
      <c r="B1" s="7" t="s">
        <v>17</v>
      </c>
    </row>
    <row r="2" spans="1:2" x14ac:dyDescent="0.3">
      <c r="A2" s="6" t="s">
        <v>13</v>
      </c>
      <c r="B2" s="6" t="s">
        <v>19</v>
      </c>
    </row>
    <row r="3" spans="1:2" x14ac:dyDescent="0.3">
      <c r="A3" s="6" t="s">
        <v>12</v>
      </c>
      <c r="B3" s="6" t="s">
        <v>19</v>
      </c>
    </row>
    <row r="4" spans="1:2" x14ac:dyDescent="0.3">
      <c r="A4" s="6" t="s">
        <v>10</v>
      </c>
      <c r="B4" s="6" t="s">
        <v>362</v>
      </c>
    </row>
    <row r="5" spans="1:2" x14ac:dyDescent="0.3">
      <c r="A5" s="6" t="s">
        <v>11</v>
      </c>
      <c r="B5" s="6" t="s">
        <v>20</v>
      </c>
    </row>
    <row r="6" spans="1:2" x14ac:dyDescent="0.3">
      <c r="A6" s="6" t="s">
        <v>18</v>
      </c>
      <c r="B6" s="6" t="s">
        <v>21</v>
      </c>
    </row>
    <row r="7" spans="1:2" x14ac:dyDescent="0.3">
      <c r="A7" s="6" t="s">
        <v>9</v>
      </c>
      <c r="B7" s="6" t="s">
        <v>22</v>
      </c>
    </row>
    <row r="8" spans="1:2" x14ac:dyDescent="0.3">
      <c r="A8" s="6" t="s">
        <v>15</v>
      </c>
      <c r="B8" s="6" t="s">
        <v>23</v>
      </c>
    </row>
    <row r="9" spans="1:2" x14ac:dyDescent="0.3">
      <c r="A9" s="6" t="s">
        <v>8</v>
      </c>
      <c r="B9" s="6" t="s">
        <v>24</v>
      </c>
    </row>
    <row r="10" spans="1:2" x14ac:dyDescent="0.3">
      <c r="A10" s="6" t="s">
        <v>14</v>
      </c>
      <c r="B10" s="6" t="s">
        <v>25</v>
      </c>
    </row>
    <row r="11" spans="1:2" x14ac:dyDescent="0.3">
      <c r="A11" s="8" t="s">
        <v>140</v>
      </c>
      <c r="B11" s="8" t="s">
        <v>26</v>
      </c>
    </row>
    <row r="12" spans="1:2" x14ac:dyDescent="0.3">
      <c r="A12" s="9" t="s">
        <v>139</v>
      </c>
      <c r="B12" s="9" t="s">
        <v>27</v>
      </c>
    </row>
    <row r="13" spans="1:2" x14ac:dyDescent="0.3">
      <c r="A13" s="10" t="s">
        <v>28</v>
      </c>
      <c r="B13" s="9" t="s">
        <v>29</v>
      </c>
    </row>
    <row r="14" spans="1:2" x14ac:dyDescent="0.3">
      <c r="A14" s="10" t="s">
        <v>30</v>
      </c>
      <c r="B14" s="10" t="s">
        <v>31</v>
      </c>
    </row>
    <row r="15" spans="1:2" x14ac:dyDescent="0.3">
      <c r="A15" s="27" t="s">
        <v>68</v>
      </c>
      <c r="B15" s="28" t="s">
        <v>69</v>
      </c>
    </row>
    <row r="16" spans="1:2" x14ac:dyDescent="0.3">
      <c r="A16" s="27" t="s">
        <v>361</v>
      </c>
      <c r="B16" s="28" t="s">
        <v>363</v>
      </c>
    </row>
    <row r="17" spans="1:2" x14ac:dyDescent="0.3">
      <c r="A17" s="10" t="s">
        <v>1212</v>
      </c>
      <c r="B17" s="10" t="s">
        <v>1218</v>
      </c>
    </row>
    <row r="18" spans="1:2" x14ac:dyDescent="0.3">
      <c r="A18" s="10" t="s">
        <v>1340</v>
      </c>
      <c r="B18" s="28" t="s">
        <v>69</v>
      </c>
    </row>
    <row r="19" spans="1:2" x14ac:dyDescent="0.3">
      <c r="A19" s="10" t="s">
        <v>1324</v>
      </c>
      <c r="B19" s="28" t="s">
        <v>1361</v>
      </c>
    </row>
    <row r="20" spans="1:2" x14ac:dyDescent="0.3">
      <c r="A20" s="48" t="s">
        <v>3393</v>
      </c>
      <c r="B20" s="28" t="s">
        <v>3418</v>
      </c>
    </row>
    <row r="21" spans="1:2" x14ac:dyDescent="0.3">
      <c r="A21" s="10" t="s">
        <v>3529</v>
      </c>
      <c r="B21" s="10" t="s">
        <v>3592</v>
      </c>
    </row>
    <row r="22" spans="1:2" x14ac:dyDescent="0.3">
      <c r="A22" s="26" t="s">
        <v>3612</v>
      </c>
      <c r="B22" s="28" t="s">
        <v>69</v>
      </c>
    </row>
    <row r="23" spans="1:2" x14ac:dyDescent="0.3">
      <c r="A23" s="26" t="s">
        <v>3997</v>
      </c>
      <c r="B23" s="6" t="s">
        <v>25</v>
      </c>
    </row>
    <row r="24" spans="1:2" x14ac:dyDescent="0.3">
      <c r="A24" s="26" t="s">
        <v>4318</v>
      </c>
      <c r="B24" s="28" t="s">
        <v>69</v>
      </c>
    </row>
    <row r="25" spans="1:2" x14ac:dyDescent="0.3">
      <c r="A25" s="10" t="s">
        <v>4746</v>
      </c>
      <c r="B25" s="28" t="s">
        <v>4788</v>
      </c>
    </row>
    <row r="26" spans="1:2" x14ac:dyDescent="0.3">
      <c r="A26" s="10" t="s">
        <v>5266</v>
      </c>
      <c r="B26" s="28" t="s">
        <v>5281</v>
      </c>
    </row>
    <row r="27" spans="1:2" x14ac:dyDescent="0.3">
      <c r="A27" s="10" t="s">
        <v>5640</v>
      </c>
      <c r="B27" s="28" t="s">
        <v>69</v>
      </c>
    </row>
  </sheetData>
  <autoFilter ref="A1:B21" xr:uid="{0C3CC3F1-4C29-4134-ACD2-DE237698D55C}"/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7AD0-C96F-411C-858C-5803113E20A4}">
  <sheetPr>
    <tabColor theme="6"/>
  </sheetPr>
  <dimension ref="A1:AC9"/>
  <sheetViews>
    <sheetView zoomScaleNormal="100" workbookViewId="0">
      <pane xSplit="1" topLeftCell="B1" activePane="topRight" state="frozen"/>
      <selection pane="topRight" activeCell="P1" sqref="P1"/>
    </sheetView>
  </sheetViews>
  <sheetFormatPr defaultColWidth="8.8984375" defaultRowHeight="14.5" x14ac:dyDescent="0.3"/>
  <cols>
    <col min="1" max="1" width="25.59765625" style="1" customWidth="1"/>
    <col min="2" max="2" width="9.8984375" style="1" customWidth="1"/>
    <col min="3" max="3" width="9.3984375" style="1" customWidth="1"/>
    <col min="4" max="4" width="7" style="1" customWidth="1"/>
    <col min="5" max="8" width="8.8984375" style="1" customWidth="1"/>
    <col min="9" max="9" width="9.59765625" style="1" customWidth="1"/>
    <col min="10" max="16" width="8.8984375" style="1" customWidth="1"/>
    <col min="17" max="29" width="8.8984375" style="1" hidden="1" customWidth="1"/>
    <col min="30" max="31" width="8.8984375" style="1" customWidth="1"/>
    <col min="32" max="16384" width="8.8984375" style="1"/>
  </cols>
  <sheetData>
    <row r="1" spans="1:28" x14ac:dyDescent="0.3">
      <c r="A1" s="1" t="s">
        <v>5643</v>
      </c>
      <c r="B1" s="2" t="str">
        <f t="shared" ref="B1:O1" si="0">TEXT(B2,"ddd")</f>
        <v>Mon</v>
      </c>
      <c r="C1" s="2" t="str">
        <f t="shared" si="0"/>
        <v>Wed</v>
      </c>
      <c r="D1" s="2" t="str">
        <f t="shared" si="0"/>
        <v>Thu</v>
      </c>
      <c r="E1" s="2" t="str">
        <f t="shared" si="0"/>
        <v>Fri</v>
      </c>
      <c r="F1" s="2" t="str">
        <f t="shared" si="0"/>
        <v>Sat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>TEXT(P2,"ddd")</f>
        <v>Mon</v>
      </c>
      <c r="Q1" s="2" t="s">
        <v>3423</v>
      </c>
      <c r="R1" s="2" t="str">
        <f t="shared" ref="R1:AA1" si="1">TEXT(R2,"ddd")</f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>TEXT(AB2,"ddd")</f>
        <v>Wed</v>
      </c>
    </row>
    <row r="2" spans="1:28" x14ac:dyDescent="0.3">
      <c r="B2" s="2">
        <v>46104</v>
      </c>
      <c r="C2" s="2">
        <v>46106</v>
      </c>
      <c r="D2" s="2">
        <v>46107</v>
      </c>
      <c r="E2" s="2">
        <v>46108</v>
      </c>
      <c r="F2" s="2">
        <v>46109</v>
      </c>
      <c r="G2" s="2">
        <v>46111</v>
      </c>
      <c r="H2" s="2">
        <v>46112</v>
      </c>
      <c r="I2" s="2">
        <v>46113</v>
      </c>
      <c r="J2" s="2">
        <v>46114</v>
      </c>
      <c r="K2" s="2">
        <v>46115</v>
      </c>
      <c r="L2" s="2">
        <v>46119</v>
      </c>
      <c r="M2" s="2">
        <v>46120</v>
      </c>
      <c r="N2" s="2">
        <v>46121</v>
      </c>
      <c r="O2" s="2">
        <v>46122</v>
      </c>
      <c r="P2" s="2">
        <v>46125</v>
      </c>
      <c r="Q2" s="2">
        <v>46123</v>
      </c>
      <c r="R2" s="2">
        <v>46124</v>
      </c>
      <c r="S2" s="2">
        <v>46125</v>
      </c>
      <c r="T2" s="2">
        <v>46126</v>
      </c>
      <c r="U2" s="2">
        <v>46127</v>
      </c>
      <c r="V2" s="2">
        <v>46128</v>
      </c>
      <c r="W2" s="2">
        <v>46129</v>
      </c>
      <c r="X2" s="2">
        <v>46130</v>
      </c>
      <c r="Y2" s="2">
        <v>46131</v>
      </c>
      <c r="Z2" s="2">
        <v>46132</v>
      </c>
      <c r="AA2" s="2">
        <v>46133</v>
      </c>
      <c r="AB2" s="2">
        <v>46134</v>
      </c>
    </row>
    <row r="3" spans="1:28" x14ac:dyDescent="0.3">
      <c r="A3" s="3" t="s">
        <v>4499</v>
      </c>
      <c r="B3" s="23">
        <v>1</v>
      </c>
      <c r="C3" s="23">
        <v>6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1</v>
      </c>
      <c r="M3" s="23">
        <v>0</v>
      </c>
      <c r="N3" s="23">
        <v>0</v>
      </c>
      <c r="O3" s="23">
        <v>0</v>
      </c>
      <c r="P3" s="23">
        <v>0</v>
      </c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x14ac:dyDescent="0.3">
      <c r="A4" s="4" t="s">
        <v>0</v>
      </c>
      <c r="B4" s="23">
        <v>0</v>
      </c>
      <c r="C4" s="23">
        <v>1</v>
      </c>
      <c r="D4" s="23">
        <v>0</v>
      </c>
      <c r="E4" s="23">
        <v>0</v>
      </c>
      <c r="F4" s="23">
        <v>5</v>
      </c>
      <c r="G4" s="23">
        <v>0</v>
      </c>
      <c r="H4" s="23">
        <v>0</v>
      </c>
      <c r="I4" s="23">
        <v>1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1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x14ac:dyDescent="0.3">
      <c r="A5" s="4" t="s">
        <v>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f t="shared" ref="I5:AB5" si="2">H6+I3-I4</f>
        <v>0</v>
      </c>
      <c r="J5" s="23">
        <f t="shared" si="2"/>
        <v>0</v>
      </c>
      <c r="K5" s="23">
        <f t="shared" si="2"/>
        <v>0</v>
      </c>
      <c r="L5" s="23">
        <v>0</v>
      </c>
      <c r="M5" s="23">
        <v>0</v>
      </c>
      <c r="N5" s="23">
        <v>0</v>
      </c>
      <c r="O5" s="23">
        <v>1</v>
      </c>
      <c r="P5" s="23">
        <v>0</v>
      </c>
      <c r="Q5" s="23">
        <f t="shared" si="2"/>
        <v>0</v>
      </c>
      <c r="R5" s="23">
        <f t="shared" si="2"/>
        <v>0</v>
      </c>
      <c r="S5" s="23">
        <f t="shared" si="2"/>
        <v>0</v>
      </c>
      <c r="T5" s="23">
        <f t="shared" si="2"/>
        <v>0</v>
      </c>
      <c r="U5" s="23">
        <f t="shared" si="2"/>
        <v>0</v>
      </c>
      <c r="V5" s="23">
        <f t="shared" si="2"/>
        <v>0</v>
      </c>
      <c r="W5" s="23">
        <f t="shared" si="2"/>
        <v>0</v>
      </c>
      <c r="X5" s="23">
        <f t="shared" si="2"/>
        <v>0</v>
      </c>
      <c r="Y5" s="23">
        <f t="shared" si="2"/>
        <v>0</v>
      </c>
      <c r="Z5" s="23">
        <f t="shared" si="2"/>
        <v>0</v>
      </c>
      <c r="AA5" s="23">
        <f t="shared" si="2"/>
        <v>0</v>
      </c>
      <c r="AB5" s="23">
        <f t="shared" si="2"/>
        <v>0</v>
      </c>
    </row>
    <row r="6" spans="1:28" x14ac:dyDescent="0.3">
      <c r="A6" s="4" t="s">
        <v>3</v>
      </c>
      <c r="B6" s="23">
        <v>1</v>
      </c>
      <c r="C6" s="23">
        <v>6</v>
      </c>
      <c r="D6" s="23">
        <v>6</v>
      </c>
      <c r="E6" s="23">
        <v>6</v>
      </c>
      <c r="F6" s="23">
        <v>1</v>
      </c>
      <c r="G6" s="23">
        <v>0</v>
      </c>
      <c r="H6" s="23">
        <v>1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1</v>
      </c>
      <c r="O6" s="23">
        <v>0</v>
      </c>
      <c r="P6" s="23">
        <v>0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t="26.5" customHeight="1" x14ac:dyDescent="0.3">
      <c r="A7" s="22" t="s">
        <v>4543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ht="28.4" customHeight="1" thickBot="1" x14ac:dyDescent="0.35">
      <c r="A8" s="22" t="s">
        <v>127</v>
      </c>
      <c r="B8" s="24">
        <v>0</v>
      </c>
      <c r="C8" s="24">
        <f t="shared" ref="C8:AB8" si="3">B8+C4</f>
        <v>1</v>
      </c>
      <c r="D8" s="24">
        <f t="shared" si="3"/>
        <v>1</v>
      </c>
      <c r="E8" s="24">
        <f t="shared" si="3"/>
        <v>1</v>
      </c>
      <c r="F8" s="24">
        <f t="shared" si="3"/>
        <v>6</v>
      </c>
      <c r="G8" s="24">
        <f t="shared" si="3"/>
        <v>6</v>
      </c>
      <c r="H8" s="24">
        <f t="shared" si="3"/>
        <v>6</v>
      </c>
      <c r="I8" s="24">
        <f t="shared" si="3"/>
        <v>7</v>
      </c>
      <c r="J8" s="24">
        <f t="shared" si="3"/>
        <v>7</v>
      </c>
      <c r="K8" s="24">
        <f t="shared" si="3"/>
        <v>7</v>
      </c>
      <c r="L8" s="24">
        <f t="shared" si="3"/>
        <v>7</v>
      </c>
      <c r="M8" s="24">
        <f t="shared" si="3"/>
        <v>7</v>
      </c>
      <c r="N8" s="24">
        <f t="shared" si="3"/>
        <v>7</v>
      </c>
      <c r="O8" s="24">
        <f t="shared" si="3"/>
        <v>7</v>
      </c>
      <c r="P8" s="24">
        <f t="shared" si="3"/>
        <v>8</v>
      </c>
      <c r="Q8" s="24">
        <f t="shared" si="3"/>
        <v>8</v>
      </c>
      <c r="R8" s="24">
        <f t="shared" si="3"/>
        <v>8</v>
      </c>
      <c r="S8" s="24">
        <f t="shared" si="3"/>
        <v>8</v>
      </c>
      <c r="T8" s="24">
        <f t="shared" si="3"/>
        <v>8</v>
      </c>
      <c r="U8" s="24">
        <f t="shared" si="3"/>
        <v>8</v>
      </c>
      <c r="V8" s="24">
        <f t="shared" si="3"/>
        <v>8</v>
      </c>
      <c r="W8" s="24">
        <f t="shared" si="3"/>
        <v>8</v>
      </c>
      <c r="X8" s="24">
        <f t="shared" si="3"/>
        <v>8</v>
      </c>
      <c r="Y8" s="24">
        <f t="shared" si="3"/>
        <v>8</v>
      </c>
      <c r="Z8" s="24">
        <f t="shared" si="3"/>
        <v>8</v>
      </c>
      <c r="AA8" s="24">
        <f t="shared" si="3"/>
        <v>8</v>
      </c>
      <c r="AB8" s="24">
        <f t="shared" si="3"/>
        <v>8</v>
      </c>
    </row>
    <row r="9" spans="1:28" ht="15" thickBot="1" x14ac:dyDescent="0.35">
      <c r="A9" s="5" t="s">
        <v>1</v>
      </c>
      <c r="B9" s="25">
        <f t="shared" ref="B9:AB9" si="4">IFERROR(B4/(B4+B6),"N/A")</f>
        <v>0</v>
      </c>
      <c r="C9" s="25">
        <f>IFERROR(C4/(C4+C6),"N/A")</f>
        <v>0.14285714285714285</v>
      </c>
      <c r="D9" s="25">
        <f t="shared" si="4"/>
        <v>0</v>
      </c>
      <c r="E9" s="25">
        <f t="shared" si="4"/>
        <v>0</v>
      </c>
      <c r="F9" s="25">
        <f t="shared" si="4"/>
        <v>0.83333333333333337</v>
      </c>
      <c r="G9" s="25" t="str">
        <f t="shared" si="4"/>
        <v>N/A</v>
      </c>
      <c r="H9" s="25">
        <f t="shared" si="4"/>
        <v>0</v>
      </c>
      <c r="I9" s="25">
        <f t="shared" si="4"/>
        <v>1</v>
      </c>
      <c r="J9" s="25" t="str">
        <f t="shared" si="4"/>
        <v>N/A</v>
      </c>
      <c r="K9" s="25" t="str">
        <f t="shared" si="4"/>
        <v>N/A</v>
      </c>
      <c r="L9" s="25" t="str">
        <f t="shared" si="4"/>
        <v>N/A</v>
      </c>
      <c r="M9" s="25" t="str">
        <f t="shared" si="4"/>
        <v>N/A</v>
      </c>
      <c r="N9" s="25">
        <f t="shared" si="4"/>
        <v>0</v>
      </c>
      <c r="O9" s="25" t="str">
        <f t="shared" si="4"/>
        <v>N/A</v>
      </c>
      <c r="P9" s="25">
        <f t="shared" si="4"/>
        <v>1</v>
      </c>
      <c r="Q9" s="25" t="str">
        <f t="shared" si="4"/>
        <v>N/A</v>
      </c>
      <c r="R9" s="25" t="str">
        <f t="shared" si="4"/>
        <v>N/A</v>
      </c>
      <c r="S9" s="25" t="str">
        <f t="shared" si="4"/>
        <v>N/A</v>
      </c>
      <c r="T9" s="25" t="str">
        <f t="shared" si="4"/>
        <v>N/A</v>
      </c>
      <c r="U9" s="25" t="str">
        <f t="shared" si="4"/>
        <v>N/A</v>
      </c>
      <c r="V9" s="25" t="str">
        <f t="shared" si="4"/>
        <v>N/A</v>
      </c>
      <c r="W9" s="25" t="str">
        <f t="shared" si="4"/>
        <v>N/A</v>
      </c>
      <c r="X9" s="25" t="str">
        <f t="shared" si="4"/>
        <v>N/A</v>
      </c>
      <c r="Y9" s="25" t="str">
        <f t="shared" si="4"/>
        <v>N/A</v>
      </c>
      <c r="Z9" s="25" t="str">
        <f t="shared" si="4"/>
        <v>N/A</v>
      </c>
      <c r="AA9" s="25" t="str">
        <f t="shared" si="4"/>
        <v>N/A</v>
      </c>
      <c r="AB9" s="25" t="str">
        <f t="shared" si="4"/>
        <v>N/A</v>
      </c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411B-9886-4317-8973-3D851F6470C2}">
  <sheetPr>
    <tabColor theme="0" tint="-0.249977111117893"/>
  </sheetPr>
  <dimension ref="A1:BB30"/>
  <sheetViews>
    <sheetView zoomScale="85" zoomScaleNormal="85" workbookViewId="0">
      <pane ySplit="8" topLeftCell="A9" activePane="bottomLeft" state="frozen"/>
      <selection activeCell="BK16" sqref="BK16"/>
      <selection pane="bottomLeft" activeCell="AJ8" sqref="AJ8"/>
    </sheetView>
  </sheetViews>
  <sheetFormatPr defaultColWidth="8.8984375" defaultRowHeight="14.5" x14ac:dyDescent="0.3"/>
  <cols>
    <col min="1" max="1" width="22" style="1" bestFit="1" customWidth="1"/>
    <col min="2" max="2" width="9.3984375" style="1" hidden="1" customWidth="1"/>
    <col min="3" max="3" width="9" style="1" hidden="1" customWidth="1"/>
    <col min="4" max="5" width="9.3984375" style="1" hidden="1" customWidth="1"/>
    <col min="6" max="6" width="9" style="1" hidden="1" customWidth="1"/>
    <col min="7" max="7" width="7.69921875" style="1" hidden="1" customWidth="1"/>
    <col min="8" max="8" width="9.3984375" style="1" hidden="1" customWidth="1"/>
    <col min="9" max="9" width="8.09765625" style="1" hidden="1" customWidth="1"/>
    <col min="10" max="11" width="9.3984375" style="1" hidden="1" customWidth="1"/>
    <col min="12" max="12" width="11.09765625" style="1" hidden="1" customWidth="1"/>
    <col min="13" max="13" width="9" style="1" hidden="1" customWidth="1"/>
    <col min="14" max="14" width="10.3984375" style="1" hidden="1" customWidth="1"/>
    <col min="15" max="15" width="8.8984375" style="1" hidden="1" customWidth="1"/>
    <col min="16" max="16" width="10.8984375" style="1" hidden="1" customWidth="1"/>
    <col min="17" max="17" width="9.69921875" style="1" hidden="1" customWidth="1"/>
    <col min="18" max="18" width="9" style="1" hidden="1" customWidth="1"/>
    <col min="19" max="19" width="10.09765625" style="1" hidden="1" customWidth="1"/>
    <col min="20" max="20" width="8.8984375" style="1" hidden="1" customWidth="1"/>
    <col min="21" max="21" width="11.09765625" style="1" hidden="1" customWidth="1"/>
    <col min="22" max="23" width="8.8984375" style="1" hidden="1" customWidth="1"/>
    <col min="24" max="24" width="9" style="1" customWidth="1"/>
    <col min="25" max="25" width="8.8984375" style="1" customWidth="1"/>
    <col min="26" max="26" width="9.8984375" style="1" customWidth="1"/>
    <col min="27" max="28" width="8.8984375" style="1" customWidth="1"/>
    <col min="29" max="29" width="9" style="1" customWidth="1"/>
    <col min="30" max="30" width="7" style="1" customWidth="1"/>
    <col min="31" max="34" width="8.8984375" style="1" customWidth="1"/>
    <col min="35" max="35" width="9.59765625" style="1" customWidth="1"/>
    <col min="36" max="37" width="8.8984375" style="1" customWidth="1"/>
    <col min="38" max="54" width="8.8984375" style="1" hidden="1" customWidth="1"/>
    <col min="55" max="55" width="8.8984375" style="1" customWidth="1"/>
    <col min="56" max="16384" width="8.8984375" style="1"/>
  </cols>
  <sheetData>
    <row r="1" spans="1:54" x14ac:dyDescent="0.3">
      <c r="B1" s="2" t="str">
        <f t="shared" ref="B1:AO1" si="0">TEXT(B2,"ddd")</f>
        <v>Sat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Mon</v>
      </c>
      <c r="P1" s="2" t="str">
        <f t="shared" si="0"/>
        <v>Tue</v>
      </c>
      <c r="Q1" s="2" t="str">
        <f t="shared" si="0"/>
        <v>Wed</v>
      </c>
      <c r="R1" s="2" t="str">
        <f t="shared" si="0"/>
        <v>Thu</v>
      </c>
      <c r="S1" s="2" t="str">
        <f t="shared" si="0"/>
        <v>Fri</v>
      </c>
      <c r="T1" s="2" t="str">
        <f t="shared" si="0"/>
        <v>Sat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  <c r="AI1" s="2" t="str">
        <f t="shared" si="0"/>
        <v>Sat</v>
      </c>
      <c r="AJ1" s="2" t="str">
        <f t="shared" si="0"/>
        <v>Mon</v>
      </c>
      <c r="AK1" s="2" t="str">
        <f t="shared" si="0"/>
        <v>Tue</v>
      </c>
      <c r="AL1" s="2" t="str">
        <f t="shared" si="0"/>
        <v>Wed</v>
      </c>
      <c r="AM1" s="2" t="str">
        <f t="shared" si="0"/>
        <v>Thu</v>
      </c>
      <c r="AN1" s="2" t="str">
        <f t="shared" si="0"/>
        <v>Fri</v>
      </c>
      <c r="AO1" s="2" t="str">
        <f t="shared" si="0"/>
        <v>Sat</v>
      </c>
      <c r="AP1" s="2" t="str">
        <f>TEXT(AP2,"ddd")</f>
        <v>Sun</v>
      </c>
      <c r="AQ1" s="2" t="s">
        <v>3423</v>
      </c>
      <c r="AR1" s="2" t="str">
        <f t="shared" ref="AR1:BB1" si="1">TEXT(AR2,"ddd")</f>
        <v>Tue</v>
      </c>
      <c r="AS1" s="2" t="str">
        <f t="shared" si="1"/>
        <v>Wed</v>
      </c>
      <c r="AT1" s="2" t="str">
        <f t="shared" si="1"/>
        <v>Thu</v>
      </c>
      <c r="AU1" s="2" t="str">
        <f t="shared" si="1"/>
        <v>Fri</v>
      </c>
      <c r="AV1" s="2" t="str">
        <f t="shared" si="1"/>
        <v>Sat</v>
      </c>
      <c r="AW1" s="2" t="str">
        <f t="shared" si="1"/>
        <v>Sun</v>
      </c>
      <c r="AX1" s="2" t="str">
        <f t="shared" si="1"/>
        <v>Mon</v>
      </c>
      <c r="AY1" s="2" t="str">
        <f t="shared" si="1"/>
        <v>Tue</v>
      </c>
      <c r="AZ1" s="2" t="str">
        <f t="shared" si="1"/>
        <v>Wed</v>
      </c>
      <c r="BA1" s="2" t="str">
        <f t="shared" si="1"/>
        <v>Thu</v>
      </c>
      <c r="BB1" s="2" t="str">
        <f t="shared" si="1"/>
        <v>Fri</v>
      </c>
    </row>
    <row r="2" spans="1:54" x14ac:dyDescent="0.3">
      <c r="B2" s="2">
        <v>46046</v>
      </c>
      <c r="C2" s="2">
        <v>46048</v>
      </c>
      <c r="D2" s="2">
        <v>46049</v>
      </c>
      <c r="E2" s="2">
        <v>46050</v>
      </c>
      <c r="F2" s="2">
        <v>46051</v>
      </c>
      <c r="G2" s="2">
        <v>46052</v>
      </c>
      <c r="H2" s="2">
        <v>46053</v>
      </c>
      <c r="I2" s="2">
        <v>46055</v>
      </c>
      <c r="J2" s="2">
        <v>46056</v>
      </c>
      <c r="K2" s="2">
        <v>46057</v>
      </c>
      <c r="L2" s="2">
        <v>46058</v>
      </c>
      <c r="M2" s="2">
        <v>46059</v>
      </c>
      <c r="N2" s="2">
        <v>46060</v>
      </c>
      <c r="O2" s="2">
        <v>46062</v>
      </c>
      <c r="P2" s="2">
        <v>46063</v>
      </c>
      <c r="Q2" s="2">
        <v>46064</v>
      </c>
      <c r="R2" s="2">
        <v>46065</v>
      </c>
      <c r="S2" s="2">
        <v>46066</v>
      </c>
      <c r="T2" s="2">
        <v>46067</v>
      </c>
      <c r="U2" s="2">
        <v>46072</v>
      </c>
      <c r="V2" s="2">
        <v>46073</v>
      </c>
      <c r="W2" s="2">
        <v>46074</v>
      </c>
      <c r="X2" s="2">
        <v>46076</v>
      </c>
      <c r="Y2" s="2">
        <v>46077</v>
      </c>
      <c r="Z2" s="2">
        <v>46078</v>
      </c>
      <c r="AA2" s="2">
        <v>46079</v>
      </c>
      <c r="AB2" s="2">
        <v>46080</v>
      </c>
      <c r="AC2" s="2">
        <v>46081</v>
      </c>
      <c r="AD2" s="2">
        <v>46083</v>
      </c>
      <c r="AE2" s="2">
        <v>46084</v>
      </c>
      <c r="AF2" s="2">
        <v>46085</v>
      </c>
      <c r="AG2" s="2">
        <v>46086</v>
      </c>
      <c r="AH2" s="2">
        <v>46087</v>
      </c>
      <c r="AI2" s="2">
        <v>46088</v>
      </c>
      <c r="AJ2" s="2">
        <v>46090</v>
      </c>
      <c r="AK2" s="2">
        <v>46091</v>
      </c>
      <c r="AL2" s="2">
        <v>46092</v>
      </c>
      <c r="AM2" s="2">
        <v>46093</v>
      </c>
      <c r="AN2" s="2">
        <v>46094</v>
      </c>
      <c r="AO2" s="2">
        <v>46095</v>
      </c>
      <c r="AP2" s="2">
        <v>46096</v>
      </c>
      <c r="AQ2" s="2">
        <v>46097</v>
      </c>
      <c r="AR2" s="2">
        <v>46098</v>
      </c>
      <c r="AS2" s="2">
        <v>46099</v>
      </c>
      <c r="AT2" s="2">
        <v>46100</v>
      </c>
      <c r="AU2" s="2">
        <v>46101</v>
      </c>
      <c r="AV2" s="2">
        <v>46102</v>
      </c>
      <c r="AW2" s="2">
        <v>46103</v>
      </c>
      <c r="AX2" s="2">
        <v>46104</v>
      </c>
      <c r="AY2" s="2">
        <v>46105</v>
      </c>
      <c r="AZ2" s="2">
        <v>46106</v>
      </c>
      <c r="BA2" s="2">
        <v>46107</v>
      </c>
      <c r="BB2" s="2">
        <v>46108</v>
      </c>
    </row>
    <row r="3" spans="1:54" x14ac:dyDescent="0.3">
      <c r="A3" s="3" t="s">
        <v>4499</v>
      </c>
      <c r="B3" s="23">
        <v>2</v>
      </c>
      <c r="C3" s="23">
        <v>12</v>
      </c>
      <c r="D3" s="23">
        <v>8</v>
      </c>
      <c r="E3" s="23">
        <v>8</v>
      </c>
      <c r="F3" s="23">
        <v>3</v>
      </c>
      <c r="G3" s="23">
        <v>16</v>
      </c>
      <c r="H3" s="23">
        <v>21</v>
      </c>
      <c r="I3" s="23">
        <v>8</v>
      </c>
      <c r="J3" s="23">
        <v>16</v>
      </c>
      <c r="K3" s="23">
        <v>14</v>
      </c>
      <c r="L3" s="23">
        <v>15</v>
      </c>
      <c r="M3" s="23">
        <v>16</v>
      </c>
      <c r="N3" s="23">
        <v>11</v>
      </c>
      <c r="O3" s="23">
        <v>8</v>
      </c>
      <c r="P3" s="23">
        <v>10</v>
      </c>
      <c r="Q3" s="23">
        <v>10</v>
      </c>
      <c r="R3" s="23">
        <v>7</v>
      </c>
      <c r="S3" s="23">
        <v>11</v>
      </c>
      <c r="T3" s="23">
        <v>12</v>
      </c>
      <c r="U3" s="23">
        <v>0</v>
      </c>
      <c r="V3" s="23">
        <v>3</v>
      </c>
      <c r="W3" s="23">
        <v>5</v>
      </c>
      <c r="X3" s="23">
        <v>1</v>
      </c>
      <c r="Y3" s="23">
        <v>13</v>
      </c>
      <c r="Z3" s="23">
        <v>10</v>
      </c>
      <c r="AA3" s="23">
        <v>3</v>
      </c>
      <c r="AB3" s="23">
        <v>5</v>
      </c>
      <c r="AC3" s="23">
        <v>1</v>
      </c>
      <c r="AD3" s="23">
        <v>0</v>
      </c>
      <c r="AE3" s="23">
        <v>2</v>
      </c>
      <c r="AF3" s="23">
        <v>0</v>
      </c>
      <c r="AG3" s="23">
        <v>2</v>
      </c>
      <c r="AH3" s="23">
        <v>2</v>
      </c>
      <c r="AI3" s="23">
        <v>1</v>
      </c>
      <c r="AJ3" s="23">
        <v>0</v>
      </c>
      <c r="AK3" s="23">
        <v>0</v>
      </c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</row>
    <row r="4" spans="1:54" x14ac:dyDescent="0.3">
      <c r="A4" s="4" t="s">
        <v>0</v>
      </c>
      <c r="B4" s="23">
        <v>0</v>
      </c>
      <c r="C4" s="23">
        <v>0</v>
      </c>
      <c r="D4" s="23">
        <v>6</v>
      </c>
      <c r="E4" s="23">
        <v>5</v>
      </c>
      <c r="F4" s="23">
        <v>8</v>
      </c>
      <c r="G4" s="23">
        <v>9</v>
      </c>
      <c r="H4" s="23">
        <v>14</v>
      </c>
      <c r="I4" s="23">
        <v>13</v>
      </c>
      <c r="J4" s="23">
        <v>10</v>
      </c>
      <c r="K4" s="23">
        <v>8</v>
      </c>
      <c r="L4" s="23">
        <v>15</v>
      </c>
      <c r="M4" s="23">
        <v>15</v>
      </c>
      <c r="N4" s="23">
        <v>13</v>
      </c>
      <c r="O4" s="23">
        <v>10</v>
      </c>
      <c r="P4" s="23">
        <v>14</v>
      </c>
      <c r="Q4" s="23">
        <v>19</v>
      </c>
      <c r="R4" s="23">
        <v>8</v>
      </c>
      <c r="S4" s="23">
        <v>18</v>
      </c>
      <c r="T4" s="23">
        <v>7</v>
      </c>
      <c r="U4" s="23">
        <v>4</v>
      </c>
      <c r="V4" s="23">
        <v>4</v>
      </c>
      <c r="W4" s="23">
        <v>2</v>
      </c>
      <c r="X4" s="23">
        <v>6</v>
      </c>
      <c r="Y4" s="23">
        <v>4</v>
      </c>
      <c r="Z4" s="23">
        <v>8</v>
      </c>
      <c r="AA4" s="23">
        <v>11</v>
      </c>
      <c r="AB4" s="23">
        <v>5</v>
      </c>
      <c r="AC4" s="23">
        <v>6</v>
      </c>
      <c r="AD4" s="23">
        <v>1</v>
      </c>
      <c r="AE4" s="23">
        <v>1</v>
      </c>
      <c r="AF4" s="23">
        <v>2</v>
      </c>
      <c r="AG4" s="23">
        <v>2</v>
      </c>
      <c r="AH4" s="23">
        <v>4</v>
      </c>
      <c r="AI4" s="23">
        <v>1</v>
      </c>
      <c r="AJ4" s="23">
        <v>3</v>
      </c>
      <c r="AK4" s="23">
        <v>0</v>
      </c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</row>
    <row r="5" spans="1:54" x14ac:dyDescent="0.3">
      <c r="A5" s="4" t="s">
        <v>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f t="shared" ref="AI5:BB5" si="2">AH6+AI3-AI4</f>
        <v>3</v>
      </c>
      <c r="AJ5" s="23">
        <v>0</v>
      </c>
      <c r="AK5" s="23">
        <f t="shared" si="2"/>
        <v>0</v>
      </c>
      <c r="AL5" s="23">
        <f t="shared" si="2"/>
        <v>0</v>
      </c>
      <c r="AM5" s="23">
        <f t="shared" si="2"/>
        <v>0</v>
      </c>
      <c r="AN5" s="23">
        <f t="shared" si="2"/>
        <v>0</v>
      </c>
      <c r="AO5" s="23">
        <f t="shared" si="2"/>
        <v>0</v>
      </c>
      <c r="AP5" s="23">
        <f t="shared" si="2"/>
        <v>0</v>
      </c>
      <c r="AQ5" s="23">
        <f t="shared" si="2"/>
        <v>0</v>
      </c>
      <c r="AR5" s="23">
        <f t="shared" si="2"/>
        <v>0</v>
      </c>
      <c r="AS5" s="23">
        <f t="shared" si="2"/>
        <v>0</v>
      </c>
      <c r="AT5" s="23">
        <f t="shared" si="2"/>
        <v>0</v>
      </c>
      <c r="AU5" s="23">
        <f t="shared" si="2"/>
        <v>0</v>
      </c>
      <c r="AV5" s="23">
        <f t="shared" si="2"/>
        <v>0</v>
      </c>
      <c r="AW5" s="23">
        <f t="shared" si="2"/>
        <v>0</v>
      </c>
      <c r="AX5" s="23">
        <f t="shared" si="2"/>
        <v>0</v>
      </c>
      <c r="AY5" s="23">
        <f t="shared" si="2"/>
        <v>0</v>
      </c>
      <c r="AZ5" s="23">
        <f t="shared" si="2"/>
        <v>0</v>
      </c>
      <c r="BA5" s="23">
        <f t="shared" si="2"/>
        <v>0</v>
      </c>
      <c r="BB5" s="23">
        <f t="shared" si="2"/>
        <v>0</v>
      </c>
    </row>
    <row r="6" spans="1:54" x14ac:dyDescent="0.3">
      <c r="A6" s="4" t="s">
        <v>3</v>
      </c>
      <c r="B6" s="23">
        <v>0</v>
      </c>
      <c r="C6" s="23">
        <v>0</v>
      </c>
      <c r="D6" s="23">
        <v>16</v>
      </c>
      <c r="E6" s="23">
        <v>19</v>
      </c>
      <c r="F6" s="23">
        <v>14</v>
      </c>
      <c r="G6" s="23">
        <v>21</v>
      </c>
      <c r="H6" s="23">
        <v>7</v>
      </c>
      <c r="I6" s="23">
        <v>23</v>
      </c>
      <c r="J6" s="23">
        <v>29</v>
      </c>
      <c r="K6" s="23">
        <v>35</v>
      </c>
      <c r="L6" s="23">
        <v>35</v>
      </c>
      <c r="M6" s="23">
        <v>36</v>
      </c>
      <c r="N6" s="23">
        <v>34</v>
      </c>
      <c r="O6" s="23">
        <v>32</v>
      </c>
      <c r="P6" s="23">
        <v>28</v>
      </c>
      <c r="Q6" s="23">
        <v>19</v>
      </c>
      <c r="R6" s="23">
        <v>18</v>
      </c>
      <c r="S6" s="23">
        <v>11</v>
      </c>
      <c r="T6" s="23">
        <v>16</v>
      </c>
      <c r="U6" s="23">
        <v>12</v>
      </c>
      <c r="V6" s="23">
        <v>11</v>
      </c>
      <c r="W6" s="23">
        <v>14</v>
      </c>
      <c r="X6" s="23">
        <v>9</v>
      </c>
      <c r="Y6" s="23">
        <v>18</v>
      </c>
      <c r="Z6" s="23">
        <v>20</v>
      </c>
      <c r="AA6" s="23">
        <v>12</v>
      </c>
      <c r="AB6" s="23">
        <v>12</v>
      </c>
      <c r="AC6" s="23">
        <v>7</v>
      </c>
      <c r="AD6" s="23">
        <v>6</v>
      </c>
      <c r="AE6" s="23">
        <v>7</v>
      </c>
      <c r="AF6" s="23">
        <v>5</v>
      </c>
      <c r="AG6" s="23">
        <v>5</v>
      </c>
      <c r="AH6" s="23">
        <v>3</v>
      </c>
      <c r="AI6" s="23">
        <v>3</v>
      </c>
      <c r="AJ6" s="23">
        <v>0</v>
      </c>
      <c r="AK6" s="23">
        <v>0</v>
      </c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</row>
    <row r="7" spans="1:54" ht="28.4" customHeight="1" thickBot="1" x14ac:dyDescent="0.35">
      <c r="A7" s="22" t="s">
        <v>127</v>
      </c>
      <c r="B7" s="24">
        <v>0</v>
      </c>
      <c r="C7" s="24">
        <f>B7+C4</f>
        <v>0</v>
      </c>
      <c r="D7" s="24">
        <f t="shared" ref="D7:BB7" si="3">C7+D4</f>
        <v>6</v>
      </c>
      <c r="E7" s="24">
        <f t="shared" si="3"/>
        <v>11</v>
      </c>
      <c r="F7" s="24">
        <f t="shared" si="3"/>
        <v>19</v>
      </c>
      <c r="G7" s="24">
        <f t="shared" si="3"/>
        <v>28</v>
      </c>
      <c r="H7" s="24">
        <f t="shared" si="3"/>
        <v>42</v>
      </c>
      <c r="I7" s="24">
        <f t="shared" si="3"/>
        <v>55</v>
      </c>
      <c r="J7" s="24">
        <f t="shared" si="3"/>
        <v>65</v>
      </c>
      <c r="K7" s="24">
        <f t="shared" si="3"/>
        <v>73</v>
      </c>
      <c r="L7" s="24">
        <f t="shared" si="3"/>
        <v>88</v>
      </c>
      <c r="M7" s="24">
        <f t="shared" si="3"/>
        <v>103</v>
      </c>
      <c r="N7" s="24">
        <f t="shared" si="3"/>
        <v>116</v>
      </c>
      <c r="O7" s="24">
        <f t="shared" si="3"/>
        <v>126</v>
      </c>
      <c r="P7" s="24">
        <f t="shared" si="3"/>
        <v>140</v>
      </c>
      <c r="Q7" s="24">
        <f t="shared" si="3"/>
        <v>159</v>
      </c>
      <c r="R7" s="24">
        <f t="shared" si="3"/>
        <v>167</v>
      </c>
      <c r="S7" s="24">
        <f t="shared" si="3"/>
        <v>185</v>
      </c>
      <c r="T7" s="24">
        <f t="shared" si="3"/>
        <v>192</v>
      </c>
      <c r="U7" s="24">
        <f t="shared" si="3"/>
        <v>196</v>
      </c>
      <c r="V7" s="24">
        <f t="shared" si="3"/>
        <v>200</v>
      </c>
      <c r="W7" s="24">
        <f t="shared" si="3"/>
        <v>202</v>
      </c>
      <c r="X7" s="24">
        <f t="shared" si="3"/>
        <v>208</v>
      </c>
      <c r="Y7" s="24">
        <f t="shared" si="3"/>
        <v>212</v>
      </c>
      <c r="Z7" s="24">
        <f t="shared" si="3"/>
        <v>220</v>
      </c>
      <c r="AA7" s="24">
        <f t="shared" si="3"/>
        <v>231</v>
      </c>
      <c r="AB7" s="24">
        <f t="shared" si="3"/>
        <v>236</v>
      </c>
      <c r="AC7" s="24">
        <f t="shared" si="3"/>
        <v>242</v>
      </c>
      <c r="AD7" s="24">
        <f t="shared" si="3"/>
        <v>243</v>
      </c>
      <c r="AE7" s="24">
        <f t="shared" si="3"/>
        <v>244</v>
      </c>
      <c r="AF7" s="24">
        <f>AE7+AF4</f>
        <v>246</v>
      </c>
      <c r="AG7" s="24">
        <f t="shared" si="3"/>
        <v>248</v>
      </c>
      <c r="AH7" s="24">
        <f t="shared" si="3"/>
        <v>252</v>
      </c>
      <c r="AI7" s="24">
        <f t="shared" si="3"/>
        <v>253</v>
      </c>
      <c r="AJ7" s="24">
        <f t="shared" si="3"/>
        <v>256</v>
      </c>
      <c r="AK7" s="24">
        <f t="shared" si="3"/>
        <v>256</v>
      </c>
      <c r="AL7" s="24">
        <f t="shared" si="3"/>
        <v>256</v>
      </c>
      <c r="AM7" s="24">
        <f t="shared" si="3"/>
        <v>256</v>
      </c>
      <c r="AN7" s="24">
        <f t="shared" si="3"/>
        <v>256</v>
      </c>
      <c r="AO7" s="24">
        <f t="shared" si="3"/>
        <v>256</v>
      </c>
      <c r="AP7" s="24">
        <f t="shared" si="3"/>
        <v>256</v>
      </c>
      <c r="AQ7" s="24">
        <f t="shared" si="3"/>
        <v>256</v>
      </c>
      <c r="AR7" s="24">
        <f t="shared" si="3"/>
        <v>256</v>
      </c>
      <c r="AS7" s="24">
        <f t="shared" si="3"/>
        <v>256</v>
      </c>
      <c r="AT7" s="24">
        <f t="shared" si="3"/>
        <v>256</v>
      </c>
      <c r="AU7" s="24">
        <f t="shared" si="3"/>
        <v>256</v>
      </c>
      <c r="AV7" s="24">
        <f t="shared" si="3"/>
        <v>256</v>
      </c>
      <c r="AW7" s="24">
        <f t="shared" si="3"/>
        <v>256</v>
      </c>
      <c r="AX7" s="24">
        <f t="shared" si="3"/>
        <v>256</v>
      </c>
      <c r="AY7" s="24">
        <f t="shared" si="3"/>
        <v>256</v>
      </c>
      <c r="AZ7" s="24">
        <f t="shared" si="3"/>
        <v>256</v>
      </c>
      <c r="BA7" s="24">
        <f t="shared" si="3"/>
        <v>256</v>
      </c>
      <c r="BB7" s="24">
        <f t="shared" si="3"/>
        <v>256</v>
      </c>
    </row>
    <row r="8" spans="1:54" ht="15" thickBot="1" x14ac:dyDescent="0.35">
      <c r="A8" s="5" t="s">
        <v>1</v>
      </c>
      <c r="B8" s="25">
        <f>IFERROR(B4/B3,"N/a")</f>
        <v>0</v>
      </c>
      <c r="C8" s="25">
        <f>IFERROR(C4/C3,"N/a")</f>
        <v>0</v>
      </c>
      <c r="D8" s="25">
        <f t="shared" ref="D8:T8" si="4">IFERROR(D4/(D4+D6),"N/a")</f>
        <v>0.27272727272727271</v>
      </c>
      <c r="E8" s="25">
        <f t="shared" si="4"/>
        <v>0.20833333333333334</v>
      </c>
      <c r="F8" s="25">
        <f t="shared" si="4"/>
        <v>0.36363636363636365</v>
      </c>
      <c r="G8" s="25">
        <f t="shared" si="4"/>
        <v>0.3</v>
      </c>
      <c r="H8" s="25">
        <f t="shared" si="4"/>
        <v>0.66666666666666663</v>
      </c>
      <c r="I8" s="25">
        <f t="shared" si="4"/>
        <v>0.3611111111111111</v>
      </c>
      <c r="J8" s="25">
        <f t="shared" si="4"/>
        <v>0.25641025641025639</v>
      </c>
      <c r="K8" s="25">
        <f t="shared" si="4"/>
        <v>0.18604651162790697</v>
      </c>
      <c r="L8" s="25">
        <f t="shared" si="4"/>
        <v>0.3</v>
      </c>
      <c r="M8" s="25">
        <f t="shared" si="4"/>
        <v>0.29411764705882354</v>
      </c>
      <c r="N8" s="25">
        <f t="shared" si="4"/>
        <v>0.27659574468085107</v>
      </c>
      <c r="O8" s="25">
        <f t="shared" si="4"/>
        <v>0.23809523809523808</v>
      </c>
      <c r="P8" s="25">
        <f t="shared" si="4"/>
        <v>0.33333333333333331</v>
      </c>
      <c r="Q8" s="25">
        <f t="shared" si="4"/>
        <v>0.5</v>
      </c>
      <c r="R8" s="25">
        <f t="shared" si="4"/>
        <v>0.30769230769230771</v>
      </c>
      <c r="S8" s="25">
        <f t="shared" si="4"/>
        <v>0.62068965517241381</v>
      </c>
      <c r="T8" s="25">
        <f t="shared" si="4"/>
        <v>0.30434782608695654</v>
      </c>
      <c r="U8" s="25">
        <f t="shared" ref="U8:AE8" si="5">IFERROR(U4/(U4+U6),"N/A")</f>
        <v>0.25</v>
      </c>
      <c r="V8" s="25">
        <f t="shared" si="5"/>
        <v>0.26666666666666666</v>
      </c>
      <c r="W8" s="25">
        <f t="shared" si="5"/>
        <v>0.125</v>
      </c>
      <c r="X8" s="25">
        <f t="shared" si="5"/>
        <v>0.4</v>
      </c>
      <c r="Y8" s="25">
        <f t="shared" si="5"/>
        <v>0.18181818181818182</v>
      </c>
      <c r="Z8" s="25">
        <f t="shared" si="5"/>
        <v>0.2857142857142857</v>
      </c>
      <c r="AA8" s="25">
        <f t="shared" si="5"/>
        <v>0.47826086956521741</v>
      </c>
      <c r="AB8" s="25">
        <f t="shared" si="5"/>
        <v>0.29411764705882354</v>
      </c>
      <c r="AC8" s="25">
        <f t="shared" si="5"/>
        <v>0.46153846153846156</v>
      </c>
      <c r="AD8" s="25">
        <f t="shared" si="5"/>
        <v>0.14285714285714285</v>
      </c>
      <c r="AE8" s="25">
        <f t="shared" si="5"/>
        <v>0.125</v>
      </c>
      <c r="AF8" s="25">
        <f>IFERROR(AF4/(AF4+AF6),"N/A")</f>
        <v>0.2857142857142857</v>
      </c>
      <c r="AG8" s="25">
        <f t="shared" ref="AG8:BB8" si="6">IFERROR(AG4/(AG4+AG6),"N/A")</f>
        <v>0.2857142857142857</v>
      </c>
      <c r="AH8" s="25">
        <f t="shared" si="6"/>
        <v>0.5714285714285714</v>
      </c>
      <c r="AI8" s="25">
        <f t="shared" si="6"/>
        <v>0.25</v>
      </c>
      <c r="AJ8" s="25">
        <f>IFERROR(AJ4/(AJ4+AJ6),"N/A")</f>
        <v>1</v>
      </c>
      <c r="AK8" s="25" t="str">
        <f t="shared" si="6"/>
        <v>N/A</v>
      </c>
      <c r="AL8" s="25" t="str">
        <f t="shared" si="6"/>
        <v>N/A</v>
      </c>
      <c r="AM8" s="25" t="str">
        <f t="shared" si="6"/>
        <v>N/A</v>
      </c>
      <c r="AN8" s="25" t="str">
        <f t="shared" si="6"/>
        <v>N/A</v>
      </c>
      <c r="AO8" s="25" t="str">
        <f t="shared" si="6"/>
        <v>N/A</v>
      </c>
      <c r="AP8" s="25" t="str">
        <f t="shared" si="6"/>
        <v>N/A</v>
      </c>
      <c r="AQ8" s="25" t="str">
        <f t="shared" si="6"/>
        <v>N/A</v>
      </c>
      <c r="AR8" s="25" t="str">
        <f t="shared" si="6"/>
        <v>N/A</v>
      </c>
      <c r="AS8" s="25" t="str">
        <f t="shared" si="6"/>
        <v>N/A</v>
      </c>
      <c r="AT8" s="25" t="str">
        <f t="shared" si="6"/>
        <v>N/A</v>
      </c>
      <c r="AU8" s="25" t="str">
        <f t="shared" si="6"/>
        <v>N/A</v>
      </c>
      <c r="AV8" s="25" t="str">
        <f t="shared" si="6"/>
        <v>N/A</v>
      </c>
      <c r="AW8" s="25" t="str">
        <f t="shared" si="6"/>
        <v>N/A</v>
      </c>
      <c r="AX8" s="25" t="str">
        <f t="shared" si="6"/>
        <v>N/A</v>
      </c>
      <c r="AY8" s="25" t="str">
        <f t="shared" si="6"/>
        <v>N/A</v>
      </c>
      <c r="AZ8" s="25" t="str">
        <f t="shared" si="6"/>
        <v>N/A</v>
      </c>
      <c r="BA8" s="25" t="str">
        <f t="shared" si="6"/>
        <v>N/A</v>
      </c>
      <c r="BB8" s="25" t="str">
        <f t="shared" si="6"/>
        <v>N/A</v>
      </c>
    </row>
    <row r="13" spans="1:54" x14ac:dyDescent="0.3">
      <c r="U13" s="31"/>
    </row>
    <row r="14" spans="1:54" x14ac:dyDescent="0.3">
      <c r="U14" s="31"/>
    </row>
    <row r="15" spans="1:54" x14ac:dyDescent="0.3">
      <c r="U15" s="31"/>
    </row>
    <row r="16" spans="1:54" x14ac:dyDescent="0.3">
      <c r="U16" s="31"/>
    </row>
    <row r="17" spans="21:21" x14ac:dyDescent="0.3">
      <c r="U17" s="31"/>
    </row>
    <row r="18" spans="21:21" x14ac:dyDescent="0.3">
      <c r="U18" s="31"/>
    </row>
    <row r="19" spans="21:21" x14ac:dyDescent="0.3">
      <c r="U19" s="31"/>
    </row>
    <row r="20" spans="21:21" x14ac:dyDescent="0.3">
      <c r="U20" s="31"/>
    </row>
    <row r="21" spans="21:21" x14ac:dyDescent="0.3">
      <c r="U21" s="31"/>
    </row>
    <row r="22" spans="21:21" x14ac:dyDescent="0.3">
      <c r="U22" s="31"/>
    </row>
    <row r="23" spans="21:21" x14ac:dyDescent="0.3">
      <c r="U23" s="31"/>
    </row>
    <row r="24" spans="21:21" x14ac:dyDescent="0.3">
      <c r="U24" s="31"/>
    </row>
    <row r="25" spans="21:21" x14ac:dyDescent="0.3">
      <c r="U25" s="31"/>
    </row>
    <row r="26" spans="21:21" x14ac:dyDescent="0.3">
      <c r="U26" s="31"/>
    </row>
    <row r="27" spans="21:21" x14ac:dyDescent="0.3">
      <c r="U27" s="31"/>
    </row>
    <row r="28" spans="21:21" x14ac:dyDescent="0.3">
      <c r="U28" s="31"/>
    </row>
    <row r="29" spans="21:21" x14ac:dyDescent="0.3">
      <c r="U29" s="31"/>
    </row>
    <row r="30" spans="21:21" x14ac:dyDescent="0.3">
      <c r="U30" s="31"/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3195-0906-4A4D-9A46-9347BCC0705A}">
  <sheetPr>
    <tabColor theme="0" tint="-0.249977111117893"/>
  </sheetPr>
  <dimension ref="A1:BD36"/>
  <sheetViews>
    <sheetView zoomScale="85" zoomScaleNormal="85" workbookViewId="0">
      <pane ySplit="8" topLeftCell="A12" activePane="bottomLeft" state="frozen"/>
      <selection activeCell="BK16" sqref="BK16"/>
      <selection pane="bottomLeft" activeCell="BK16" sqref="BK16"/>
    </sheetView>
  </sheetViews>
  <sheetFormatPr defaultColWidth="8.8984375" defaultRowHeight="14.5" x14ac:dyDescent="0.3"/>
  <cols>
    <col min="1" max="1" width="22" style="1" bestFit="1" customWidth="1"/>
    <col min="2" max="2" width="9.3984375" style="1" hidden="1" customWidth="1"/>
    <col min="3" max="3" width="7" style="1" hidden="1" customWidth="1"/>
    <col min="4" max="4" width="9" style="1" hidden="1" customWidth="1"/>
    <col min="5" max="6" width="9.3984375" style="1" hidden="1" customWidth="1"/>
    <col min="7" max="7" width="9" style="1" hidden="1" customWidth="1"/>
    <col min="8" max="8" width="7.69921875" style="1" hidden="1" customWidth="1"/>
    <col min="9" max="9" width="9.3984375" style="1" hidden="1" customWidth="1"/>
    <col min="10" max="10" width="8.09765625" style="1" hidden="1" customWidth="1"/>
    <col min="11" max="12" width="9.3984375" style="1" hidden="1" customWidth="1"/>
    <col min="13" max="13" width="7.69921875" style="1" hidden="1" customWidth="1"/>
    <col min="14" max="15" width="9" style="1" hidden="1" customWidth="1"/>
    <col min="16" max="17" width="8.8984375" style="1" hidden="1" customWidth="1"/>
    <col min="18" max="18" width="7.69921875" style="1" hidden="1" customWidth="1"/>
    <col min="19" max="19" width="9" style="1" hidden="1" customWidth="1"/>
    <col min="20" max="20" width="7" style="1" hidden="1" customWidth="1"/>
    <col min="21" max="21" width="9" style="1" hidden="1" customWidth="1"/>
    <col min="22" max="22" width="8.8984375" style="1" hidden="1" customWidth="1"/>
    <col min="23" max="23" width="7" style="1" hidden="1" customWidth="1"/>
    <col min="24" max="25" width="8.8984375" style="1" hidden="1" customWidth="1"/>
    <col min="26" max="26" width="9" style="1" hidden="1" customWidth="1"/>
    <col min="27" max="30" width="8.8984375" style="1" hidden="1" customWidth="1"/>
    <col min="31" max="32" width="7" style="1" hidden="1" customWidth="1"/>
    <col min="33" max="36" width="0" style="1" hidden="1" customWidth="1"/>
    <col min="37" max="37" width="9.59765625" style="1" hidden="1" customWidth="1"/>
    <col min="38" max="43" width="0" style="1" hidden="1" customWidth="1"/>
    <col min="44" max="62" width="8.8984375" style="1"/>
    <col min="63" max="63" width="8.8984375" style="1" customWidth="1"/>
    <col min="64" max="16384" width="8.8984375" style="1"/>
  </cols>
  <sheetData>
    <row r="1" spans="1:56" x14ac:dyDescent="0.3">
      <c r="B1" s="2" t="str">
        <f t="shared" ref="B1:AQ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">
        <v>3423</v>
      </c>
      <c r="AG1" s="2" t="str">
        <f t="shared" si="0"/>
        <v>Mon</v>
      </c>
      <c r="AH1" s="2" t="str">
        <f t="shared" si="0"/>
        <v>Tue</v>
      </c>
      <c r="AI1" s="2" t="str">
        <f t="shared" si="0"/>
        <v>Wed</v>
      </c>
      <c r="AJ1" s="2" t="str">
        <f t="shared" si="0"/>
        <v>Thu</v>
      </c>
      <c r="AK1" s="2" t="str">
        <f t="shared" si="0"/>
        <v>Fri</v>
      </c>
      <c r="AL1" s="2" t="str">
        <f t="shared" si="0"/>
        <v>Sat</v>
      </c>
      <c r="AM1" s="2" t="str">
        <f t="shared" si="0"/>
        <v>Sun</v>
      </c>
      <c r="AN1" s="2" t="str">
        <f t="shared" si="0"/>
        <v>Mon</v>
      </c>
      <c r="AO1" s="2" t="str">
        <f t="shared" si="0"/>
        <v>Tue</v>
      </c>
      <c r="AP1" s="2" t="str">
        <f t="shared" si="0"/>
        <v>Wed</v>
      </c>
      <c r="AQ1" s="2" t="str">
        <f t="shared" si="0"/>
        <v>Thu</v>
      </c>
      <c r="AR1" s="2" t="str">
        <f>TEXT(AR2,"ddd")</f>
        <v>Fri</v>
      </c>
      <c r="AS1" s="2" t="s">
        <v>3423</v>
      </c>
      <c r="AT1" s="2" t="str">
        <f t="shared" ref="AT1:BD1" si="1">TEXT(AT2,"ddd")</f>
        <v>Mon</v>
      </c>
      <c r="AU1" s="2" t="str">
        <f t="shared" si="1"/>
        <v>Tue</v>
      </c>
      <c r="AV1" s="2" t="str">
        <f t="shared" si="1"/>
        <v>Wed</v>
      </c>
      <c r="AW1" s="2" t="str">
        <f t="shared" si="1"/>
        <v>Thu</v>
      </c>
      <c r="AX1" s="2" t="str">
        <f t="shared" si="1"/>
        <v>Fri</v>
      </c>
      <c r="AY1" s="2" t="str">
        <f t="shared" si="1"/>
        <v>Sat</v>
      </c>
      <c r="AZ1" s="2" t="str">
        <f t="shared" si="1"/>
        <v>Mon</v>
      </c>
      <c r="BA1" s="2" t="str">
        <f t="shared" si="1"/>
        <v>Tue</v>
      </c>
      <c r="BB1" s="2" t="str">
        <f t="shared" si="1"/>
        <v>Wed</v>
      </c>
      <c r="BC1" s="2" t="str">
        <f t="shared" si="1"/>
        <v>Thu</v>
      </c>
      <c r="BD1" s="2" t="str">
        <f t="shared" si="1"/>
        <v>Fri</v>
      </c>
    </row>
    <row r="2" spans="1:56" x14ac:dyDescent="0.3">
      <c r="B2" s="2">
        <v>45988</v>
      </c>
      <c r="C2" s="2">
        <v>45989</v>
      </c>
      <c r="D2" s="2">
        <v>45990</v>
      </c>
      <c r="E2" s="2">
        <v>45991</v>
      </c>
      <c r="F2" s="2">
        <v>45992</v>
      </c>
      <c r="G2" s="2">
        <v>45993</v>
      </c>
      <c r="H2" s="2">
        <v>45994</v>
      </c>
      <c r="I2" s="2">
        <v>45995</v>
      </c>
      <c r="J2" s="2">
        <v>45996</v>
      </c>
      <c r="K2" s="2">
        <v>45997</v>
      </c>
      <c r="L2" s="2">
        <v>45998</v>
      </c>
      <c r="M2" s="2">
        <v>45999</v>
      </c>
      <c r="N2" s="2">
        <v>46000</v>
      </c>
      <c r="O2" s="2">
        <v>46001</v>
      </c>
      <c r="P2" s="2">
        <v>46002</v>
      </c>
      <c r="Q2" s="2">
        <v>46003</v>
      </c>
      <c r="R2" s="2">
        <v>46004</v>
      </c>
      <c r="S2" s="2">
        <v>46005</v>
      </c>
      <c r="T2" s="2">
        <v>46006</v>
      </c>
      <c r="U2" s="2">
        <v>46007</v>
      </c>
      <c r="V2" s="2">
        <v>46008</v>
      </c>
      <c r="W2" s="2">
        <v>46009</v>
      </c>
      <c r="X2" s="2">
        <v>46010</v>
      </c>
      <c r="Y2" s="2">
        <v>46011</v>
      </c>
      <c r="Z2" s="2">
        <v>46012</v>
      </c>
      <c r="AA2" s="2">
        <v>46013</v>
      </c>
      <c r="AB2" s="2">
        <v>46014</v>
      </c>
      <c r="AC2" s="2">
        <v>46015</v>
      </c>
      <c r="AD2" s="2">
        <v>46016</v>
      </c>
      <c r="AE2" s="2">
        <v>46017</v>
      </c>
      <c r="AF2" s="2" t="s">
        <v>3424</v>
      </c>
      <c r="AG2" s="2">
        <v>46020</v>
      </c>
      <c r="AH2" s="2">
        <v>46021</v>
      </c>
      <c r="AI2" s="2">
        <v>46022</v>
      </c>
      <c r="AJ2" s="2">
        <v>46023</v>
      </c>
      <c r="AK2" s="2">
        <v>46024</v>
      </c>
      <c r="AL2" s="2">
        <v>46025</v>
      </c>
      <c r="AM2" s="2">
        <v>46026</v>
      </c>
      <c r="AN2" s="2">
        <v>46027</v>
      </c>
      <c r="AO2" s="2">
        <v>46028</v>
      </c>
      <c r="AP2" s="2">
        <v>46029</v>
      </c>
      <c r="AQ2" s="2">
        <v>46030</v>
      </c>
      <c r="AR2" s="2">
        <v>46031</v>
      </c>
      <c r="AS2" s="2" t="s">
        <v>3593</v>
      </c>
      <c r="AT2" s="2">
        <v>46034</v>
      </c>
      <c r="AU2" s="2">
        <v>46035</v>
      </c>
      <c r="AV2" s="2">
        <v>46036</v>
      </c>
      <c r="AW2" s="2">
        <v>46037</v>
      </c>
      <c r="AX2" s="2">
        <v>46038</v>
      </c>
      <c r="AY2" s="2">
        <v>46039</v>
      </c>
      <c r="AZ2" s="2">
        <v>46041</v>
      </c>
      <c r="BA2" s="2">
        <v>46042</v>
      </c>
      <c r="BB2" s="2">
        <v>46043</v>
      </c>
      <c r="BC2" s="2">
        <v>46044</v>
      </c>
      <c r="BD2" s="2">
        <v>46045</v>
      </c>
    </row>
    <row r="3" spans="1:56" x14ac:dyDescent="0.3">
      <c r="A3" s="3" t="s">
        <v>2</v>
      </c>
      <c r="B3" s="23">
        <v>2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5</v>
      </c>
      <c r="J3" s="23">
        <v>11</v>
      </c>
      <c r="K3" s="23">
        <v>10</v>
      </c>
      <c r="L3" s="23">
        <v>3</v>
      </c>
      <c r="M3" s="23">
        <v>12</v>
      </c>
      <c r="N3" s="23">
        <v>12</v>
      </c>
      <c r="O3" s="23">
        <v>6</v>
      </c>
      <c r="P3" s="23">
        <v>9</v>
      </c>
      <c r="Q3" s="23">
        <v>5</v>
      </c>
      <c r="R3" s="23">
        <v>0</v>
      </c>
      <c r="S3" s="23">
        <v>0</v>
      </c>
      <c r="T3" s="23">
        <v>0</v>
      </c>
      <c r="U3" s="23">
        <v>0</v>
      </c>
      <c r="V3" s="23">
        <v>5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5</v>
      </c>
      <c r="AG3" s="23">
        <v>8</v>
      </c>
      <c r="AH3" s="23">
        <v>13</v>
      </c>
      <c r="AI3" s="23">
        <v>10</v>
      </c>
      <c r="AJ3" s="23">
        <v>6</v>
      </c>
      <c r="AK3" s="23">
        <v>0</v>
      </c>
      <c r="AL3" s="23">
        <v>1</v>
      </c>
      <c r="AM3" s="23">
        <v>0</v>
      </c>
      <c r="AN3" s="23">
        <v>0</v>
      </c>
      <c r="AO3" s="23">
        <v>0</v>
      </c>
      <c r="AP3" s="23">
        <v>2</v>
      </c>
      <c r="AQ3" s="23">
        <v>9</v>
      </c>
      <c r="AR3" s="23">
        <v>8</v>
      </c>
      <c r="AS3" s="23">
        <v>8</v>
      </c>
      <c r="AT3" s="23">
        <v>11</v>
      </c>
      <c r="AU3" s="23">
        <v>9</v>
      </c>
      <c r="AV3" s="23">
        <v>6</v>
      </c>
      <c r="AW3" s="23">
        <v>3</v>
      </c>
      <c r="AX3" s="23">
        <v>2</v>
      </c>
      <c r="AY3" s="23">
        <v>3</v>
      </c>
      <c r="AZ3" s="23">
        <v>2</v>
      </c>
      <c r="BA3" s="23">
        <v>0</v>
      </c>
      <c r="BB3" s="23">
        <v>2</v>
      </c>
      <c r="BC3" s="23">
        <v>2</v>
      </c>
      <c r="BD3" s="23">
        <v>2</v>
      </c>
    </row>
    <row r="4" spans="1:56" x14ac:dyDescent="0.3">
      <c r="A4" s="4" t="s">
        <v>0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1</v>
      </c>
      <c r="H4" s="23">
        <v>0</v>
      </c>
      <c r="I4" s="23">
        <v>0</v>
      </c>
      <c r="J4" s="23">
        <v>1</v>
      </c>
      <c r="K4" s="23">
        <v>1</v>
      </c>
      <c r="L4" s="23">
        <v>7</v>
      </c>
      <c r="M4" s="23">
        <v>10</v>
      </c>
      <c r="N4" s="23">
        <v>5</v>
      </c>
      <c r="O4" s="23">
        <v>14</v>
      </c>
      <c r="P4" s="23">
        <v>14</v>
      </c>
      <c r="Q4" s="23">
        <v>9</v>
      </c>
      <c r="R4" s="23">
        <v>6</v>
      </c>
      <c r="S4" s="23">
        <v>3</v>
      </c>
      <c r="T4" s="23">
        <v>2</v>
      </c>
      <c r="U4" s="23">
        <v>1</v>
      </c>
      <c r="V4" s="23">
        <v>1</v>
      </c>
      <c r="W4" s="23">
        <v>0</v>
      </c>
      <c r="X4" s="23">
        <v>4</v>
      </c>
      <c r="Y4" s="23">
        <v>0</v>
      </c>
      <c r="Z4" s="23">
        <v>1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4</v>
      </c>
      <c r="AH4" s="23">
        <v>9</v>
      </c>
      <c r="AI4" s="23">
        <v>8</v>
      </c>
      <c r="AJ4" s="23">
        <v>7</v>
      </c>
      <c r="AK4" s="23">
        <v>10</v>
      </c>
      <c r="AL4" s="23">
        <v>3</v>
      </c>
      <c r="AM4" s="23">
        <v>0</v>
      </c>
      <c r="AN4" s="23">
        <v>0</v>
      </c>
      <c r="AO4" s="23">
        <v>1</v>
      </c>
      <c r="AP4" s="23">
        <v>1</v>
      </c>
      <c r="AQ4" s="23">
        <v>2</v>
      </c>
      <c r="AR4" s="23">
        <v>5</v>
      </c>
      <c r="AS4" s="23">
        <v>11</v>
      </c>
      <c r="AT4" s="23">
        <v>10</v>
      </c>
      <c r="AU4" s="23">
        <v>8</v>
      </c>
      <c r="AV4" s="23">
        <v>12</v>
      </c>
      <c r="AW4" s="23">
        <v>5</v>
      </c>
      <c r="AX4" s="23">
        <v>1</v>
      </c>
      <c r="AY4" s="23">
        <v>4</v>
      </c>
      <c r="AZ4" s="23">
        <v>3</v>
      </c>
      <c r="BA4" s="23">
        <v>1</v>
      </c>
      <c r="BB4" s="23">
        <v>1</v>
      </c>
      <c r="BC4" s="23">
        <v>2</v>
      </c>
      <c r="BD4" s="23">
        <v>2</v>
      </c>
    </row>
    <row r="5" spans="1:56" x14ac:dyDescent="0.3">
      <c r="A5" s="4" t="s">
        <v>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0</v>
      </c>
      <c r="AY5" s="23">
        <v>0</v>
      </c>
      <c r="AZ5" s="23">
        <v>0</v>
      </c>
      <c r="BA5" s="23">
        <v>0</v>
      </c>
      <c r="BB5" s="23">
        <v>0</v>
      </c>
      <c r="BC5" s="23">
        <v>2</v>
      </c>
      <c r="BD5" s="23">
        <v>0</v>
      </c>
    </row>
    <row r="6" spans="1:56" x14ac:dyDescent="0.3">
      <c r="A6" s="4" t="s">
        <v>3</v>
      </c>
      <c r="B6" s="23">
        <v>2</v>
      </c>
      <c r="C6" s="23">
        <v>2</v>
      </c>
      <c r="D6" s="23">
        <v>2</v>
      </c>
      <c r="E6" s="23">
        <v>2</v>
      </c>
      <c r="F6" s="23">
        <v>2</v>
      </c>
      <c r="G6" s="23">
        <v>1</v>
      </c>
      <c r="H6" s="23">
        <v>1</v>
      </c>
      <c r="I6" s="23">
        <v>6</v>
      </c>
      <c r="J6" s="23">
        <v>16</v>
      </c>
      <c r="K6" s="23">
        <v>25</v>
      </c>
      <c r="L6" s="23">
        <v>21</v>
      </c>
      <c r="M6" s="23">
        <v>23</v>
      </c>
      <c r="N6" s="23">
        <v>30</v>
      </c>
      <c r="O6" s="23">
        <v>22</v>
      </c>
      <c r="P6" s="23">
        <v>17</v>
      </c>
      <c r="Q6" s="23">
        <v>13</v>
      </c>
      <c r="R6" s="23">
        <v>7</v>
      </c>
      <c r="S6" s="23">
        <v>4</v>
      </c>
      <c r="T6" s="23">
        <v>2</v>
      </c>
      <c r="U6" s="23">
        <v>1</v>
      </c>
      <c r="V6" s="23">
        <v>5</v>
      </c>
      <c r="W6" s="23">
        <v>5</v>
      </c>
      <c r="X6" s="23">
        <v>1</v>
      </c>
      <c r="Y6" s="23">
        <v>1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5</v>
      </c>
      <c r="AG6" s="23">
        <v>9</v>
      </c>
      <c r="AH6" s="23">
        <v>13</v>
      </c>
      <c r="AI6" s="23">
        <v>15</v>
      </c>
      <c r="AJ6" s="23">
        <v>14</v>
      </c>
      <c r="AK6" s="23">
        <v>4</v>
      </c>
      <c r="AL6" s="23">
        <v>2</v>
      </c>
      <c r="AM6" s="23">
        <v>2</v>
      </c>
      <c r="AN6" s="23">
        <v>2</v>
      </c>
      <c r="AO6" s="23">
        <v>1</v>
      </c>
      <c r="AP6" s="23">
        <v>2</v>
      </c>
      <c r="AQ6" s="23">
        <v>9</v>
      </c>
      <c r="AR6" s="23">
        <v>12</v>
      </c>
      <c r="AS6" s="23">
        <v>9</v>
      </c>
      <c r="AT6" s="23">
        <v>10</v>
      </c>
      <c r="AU6" s="23">
        <v>11</v>
      </c>
      <c r="AV6" s="23">
        <v>5</v>
      </c>
      <c r="AW6" s="23">
        <v>3</v>
      </c>
      <c r="AX6" s="23">
        <v>4</v>
      </c>
      <c r="AY6" s="23">
        <v>3</v>
      </c>
      <c r="AZ6" s="23">
        <v>2</v>
      </c>
      <c r="BA6" s="23">
        <v>1</v>
      </c>
      <c r="BB6" s="23">
        <v>2</v>
      </c>
      <c r="BC6" s="23">
        <v>2</v>
      </c>
      <c r="BD6" s="23">
        <v>0</v>
      </c>
    </row>
    <row r="7" spans="1:56" ht="28.4" customHeight="1" thickBot="1" x14ac:dyDescent="0.35">
      <c r="A7" s="22" t="s">
        <v>127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f t="shared" ref="G7" si="2">F7+G4</f>
        <v>1</v>
      </c>
      <c r="H7" s="24">
        <f t="shared" ref="H7" si="3">G7+H4</f>
        <v>1</v>
      </c>
      <c r="I7" s="24">
        <f t="shared" ref="I7" si="4">H7+I4</f>
        <v>1</v>
      </c>
      <c r="J7" s="24">
        <f t="shared" ref="J7" si="5">I7+J4</f>
        <v>2</v>
      </c>
      <c r="K7" s="24">
        <f t="shared" ref="K7" si="6">J7+K4</f>
        <v>3</v>
      </c>
      <c r="L7" s="24">
        <f t="shared" ref="L7" si="7">K7+L4</f>
        <v>10</v>
      </c>
      <c r="M7" s="24">
        <f t="shared" ref="M7" si="8">L7+M4</f>
        <v>20</v>
      </c>
      <c r="N7" s="24">
        <f t="shared" ref="N7" si="9">M7+N4</f>
        <v>25</v>
      </c>
      <c r="O7" s="24">
        <f t="shared" ref="O7" si="10">N7+O4</f>
        <v>39</v>
      </c>
      <c r="P7" s="24">
        <f t="shared" ref="P7" si="11">O7+P4</f>
        <v>53</v>
      </c>
      <c r="Q7" s="24">
        <f t="shared" ref="Q7" si="12">P7+Q4</f>
        <v>62</v>
      </c>
      <c r="R7" s="24">
        <f t="shared" ref="R7" si="13">Q7+R4</f>
        <v>68</v>
      </c>
      <c r="S7" s="24">
        <f t="shared" ref="S7" si="14">R7+S4</f>
        <v>71</v>
      </c>
      <c r="T7" s="24">
        <f t="shared" ref="T7" si="15">S7+T4</f>
        <v>73</v>
      </c>
      <c r="U7" s="24">
        <f t="shared" ref="U7" si="16">T7+U4</f>
        <v>74</v>
      </c>
      <c r="V7" s="24">
        <f t="shared" ref="V7" si="17">U7+V4</f>
        <v>75</v>
      </c>
      <c r="W7" s="24">
        <f t="shared" ref="W7" si="18">V7+W4</f>
        <v>75</v>
      </c>
      <c r="X7" s="24">
        <f t="shared" ref="X7" si="19">W7+X4</f>
        <v>79</v>
      </c>
      <c r="Y7" s="24">
        <f t="shared" ref="Y7" si="20">X7+Y4</f>
        <v>79</v>
      </c>
      <c r="Z7" s="24">
        <f t="shared" ref="Z7" si="21">Y7+Z4</f>
        <v>80</v>
      </c>
      <c r="AA7" s="24">
        <f t="shared" ref="AA7" si="22">Z7+AA4</f>
        <v>80</v>
      </c>
      <c r="AB7" s="24">
        <f t="shared" ref="AB7" si="23">AA7+AB4</f>
        <v>80</v>
      </c>
      <c r="AC7" s="24">
        <f t="shared" ref="AC7" si="24">AB7+AC4</f>
        <v>80</v>
      </c>
      <c r="AD7" s="24">
        <f t="shared" ref="AD7:AI7" si="25">AC7+AD4</f>
        <v>80</v>
      </c>
      <c r="AE7" s="24">
        <f t="shared" si="25"/>
        <v>80</v>
      </c>
      <c r="AF7" s="24">
        <f t="shared" si="25"/>
        <v>80</v>
      </c>
      <c r="AG7" s="24">
        <f t="shared" si="25"/>
        <v>84</v>
      </c>
      <c r="AH7" s="24">
        <f t="shared" si="25"/>
        <v>93</v>
      </c>
      <c r="AI7" s="24">
        <f t="shared" si="25"/>
        <v>101</v>
      </c>
      <c r="AJ7" s="24">
        <f t="shared" ref="AJ7" si="26">AI7+AJ4</f>
        <v>108</v>
      </c>
      <c r="AK7" s="24">
        <f t="shared" ref="AK7:AL7" si="27">AJ7+AK4</f>
        <v>118</v>
      </c>
      <c r="AL7" s="24">
        <f t="shared" si="27"/>
        <v>121</v>
      </c>
      <c r="AM7" s="24">
        <f t="shared" ref="AM7" si="28">AL7+AM4</f>
        <v>121</v>
      </c>
      <c r="AN7" s="24">
        <f t="shared" ref="AN7:AS7" si="29">AM7+AN4</f>
        <v>121</v>
      </c>
      <c r="AO7" s="24">
        <f t="shared" si="29"/>
        <v>122</v>
      </c>
      <c r="AP7" s="24">
        <f t="shared" si="29"/>
        <v>123</v>
      </c>
      <c r="AQ7" s="24">
        <f t="shared" si="29"/>
        <v>125</v>
      </c>
      <c r="AR7" s="24">
        <f t="shared" si="29"/>
        <v>130</v>
      </c>
      <c r="AS7" s="24">
        <f t="shared" si="29"/>
        <v>141</v>
      </c>
      <c r="AT7" s="24">
        <v>151</v>
      </c>
      <c r="AU7" s="24">
        <v>159</v>
      </c>
      <c r="AV7" s="24">
        <v>171</v>
      </c>
      <c r="AW7" s="24">
        <v>176</v>
      </c>
      <c r="AX7" s="24">
        <v>177</v>
      </c>
      <c r="AY7" s="24">
        <v>181</v>
      </c>
      <c r="AZ7" s="24">
        <v>184</v>
      </c>
      <c r="BA7" s="24">
        <v>185</v>
      </c>
      <c r="BB7" s="24">
        <f t="shared" ref="BB7:BD7" si="30">BA7+BB4</f>
        <v>186</v>
      </c>
      <c r="BC7" s="24">
        <f t="shared" si="30"/>
        <v>188</v>
      </c>
      <c r="BD7" s="24">
        <f t="shared" si="30"/>
        <v>190</v>
      </c>
    </row>
    <row r="8" spans="1:56" ht="15" thickBot="1" x14ac:dyDescent="0.35">
      <c r="A8" s="5" t="s">
        <v>1</v>
      </c>
      <c r="B8" s="25">
        <f>IFERROR(B4/B3,"N/a")</f>
        <v>0</v>
      </c>
      <c r="C8" s="25">
        <f>IFERROR(C4/(C4+C6),"N/a")</f>
        <v>0</v>
      </c>
      <c r="D8" s="25">
        <f t="shared" ref="D8:AD8" si="31">IFERROR(D4/(D4+D6),"N/a")</f>
        <v>0</v>
      </c>
      <c r="E8" s="25">
        <f t="shared" si="31"/>
        <v>0</v>
      </c>
      <c r="F8" s="25">
        <f t="shared" si="31"/>
        <v>0</v>
      </c>
      <c r="G8" s="25">
        <f t="shared" si="31"/>
        <v>0.5</v>
      </c>
      <c r="H8" s="25">
        <f t="shared" si="31"/>
        <v>0</v>
      </c>
      <c r="I8" s="25">
        <f t="shared" si="31"/>
        <v>0</v>
      </c>
      <c r="J8" s="25">
        <f t="shared" si="31"/>
        <v>5.8823529411764705E-2</v>
      </c>
      <c r="K8" s="25">
        <f t="shared" si="31"/>
        <v>3.8461538461538464E-2</v>
      </c>
      <c r="L8" s="25">
        <f t="shared" si="31"/>
        <v>0.25</v>
      </c>
      <c r="M8" s="25">
        <f t="shared" si="31"/>
        <v>0.30303030303030304</v>
      </c>
      <c r="N8" s="25">
        <f t="shared" si="31"/>
        <v>0.14285714285714285</v>
      </c>
      <c r="O8" s="25">
        <f t="shared" si="31"/>
        <v>0.3888888888888889</v>
      </c>
      <c r="P8" s="25">
        <f t="shared" si="31"/>
        <v>0.45161290322580644</v>
      </c>
      <c r="Q8" s="25">
        <f t="shared" si="31"/>
        <v>0.40909090909090912</v>
      </c>
      <c r="R8" s="25">
        <f t="shared" si="31"/>
        <v>0.46153846153846156</v>
      </c>
      <c r="S8" s="25">
        <f t="shared" si="31"/>
        <v>0.42857142857142855</v>
      </c>
      <c r="T8" s="25">
        <f t="shared" si="31"/>
        <v>0.5</v>
      </c>
      <c r="U8" s="25">
        <f t="shared" si="31"/>
        <v>0.5</v>
      </c>
      <c r="V8" s="25">
        <f t="shared" si="31"/>
        <v>0.16666666666666666</v>
      </c>
      <c r="W8" s="25">
        <f t="shared" si="31"/>
        <v>0</v>
      </c>
      <c r="X8" s="25">
        <f t="shared" si="31"/>
        <v>0.8</v>
      </c>
      <c r="Y8" s="25">
        <f t="shared" si="31"/>
        <v>0</v>
      </c>
      <c r="Z8" s="25">
        <f t="shared" si="31"/>
        <v>1</v>
      </c>
      <c r="AA8" s="25" t="str">
        <f t="shared" si="31"/>
        <v>N/a</v>
      </c>
      <c r="AB8" s="25" t="str">
        <f t="shared" si="31"/>
        <v>N/a</v>
      </c>
      <c r="AC8" s="25" t="str">
        <f t="shared" si="31"/>
        <v>N/a</v>
      </c>
      <c r="AD8" s="25" t="str">
        <f t="shared" si="31"/>
        <v>N/a</v>
      </c>
      <c r="AE8" s="25" t="str">
        <f t="shared" ref="AE8:AG8" si="32">IFERROR(AE4/(AE4+AE6),"N/a")</f>
        <v>N/a</v>
      </c>
      <c r="AF8" s="25">
        <f t="shared" si="32"/>
        <v>0</v>
      </c>
      <c r="AG8" s="25">
        <f t="shared" si="32"/>
        <v>0.30769230769230771</v>
      </c>
      <c r="AH8" s="25">
        <f t="shared" ref="AH8:AI8" si="33">IFERROR(AH4/(AH4+AH6),"N/a")</f>
        <v>0.40909090909090912</v>
      </c>
      <c r="AI8" s="25">
        <f t="shared" si="33"/>
        <v>0.34782608695652173</v>
      </c>
      <c r="AJ8" s="25">
        <f t="shared" ref="AJ8:AK8" si="34">IFERROR(AJ4/(AJ4+AJ6),"N/a")</f>
        <v>0.33333333333333331</v>
      </c>
      <c r="AK8" s="25">
        <f t="shared" si="34"/>
        <v>0.7142857142857143</v>
      </c>
      <c r="AL8" s="25">
        <f t="shared" ref="AL8:AO8" si="35">IFERROR(AL4/(AL4+AL6),"N/a")</f>
        <v>0.6</v>
      </c>
      <c r="AM8" s="25">
        <f t="shared" si="35"/>
        <v>0</v>
      </c>
      <c r="AN8" s="25">
        <f t="shared" si="35"/>
        <v>0</v>
      </c>
      <c r="AO8" s="25">
        <f t="shared" si="35"/>
        <v>0.5</v>
      </c>
      <c r="AP8" s="25">
        <f t="shared" ref="AP8:AR8" si="36">IFERROR(AP4/(AP4+AP6),"N/a")</f>
        <v>0.33333333333333331</v>
      </c>
      <c r="AQ8" s="25">
        <f t="shared" si="36"/>
        <v>0.18181818181818182</v>
      </c>
      <c r="AR8" s="25">
        <f t="shared" si="36"/>
        <v>0.29411764705882354</v>
      </c>
      <c r="AS8" s="25">
        <f t="shared" ref="AS8:BB8" si="37">IFERROR(AS4/(AS4+AS6),"N/a")</f>
        <v>0.55000000000000004</v>
      </c>
      <c r="AT8" s="25">
        <f t="shared" si="37"/>
        <v>0.5</v>
      </c>
      <c r="AU8" s="25">
        <f t="shared" si="37"/>
        <v>0.42105263157894735</v>
      </c>
      <c r="AV8" s="25">
        <f t="shared" si="37"/>
        <v>0.70588235294117652</v>
      </c>
      <c r="AW8" s="25">
        <f t="shared" si="37"/>
        <v>0.625</v>
      </c>
      <c r="AX8" s="25">
        <f t="shared" si="37"/>
        <v>0.2</v>
      </c>
      <c r="AY8" s="25">
        <f t="shared" si="37"/>
        <v>0.5714285714285714</v>
      </c>
      <c r="AZ8" s="25">
        <f t="shared" si="37"/>
        <v>0.6</v>
      </c>
      <c r="BA8" s="25">
        <f t="shared" si="37"/>
        <v>0.5</v>
      </c>
      <c r="BB8" s="25">
        <f t="shared" si="37"/>
        <v>0.33333333333333331</v>
      </c>
      <c r="BC8" s="25">
        <f t="shared" ref="BC8:BD8" si="38">IFERROR(BC4/(BC4+BC6),"N/a")</f>
        <v>0.5</v>
      </c>
      <c r="BD8" s="25">
        <f t="shared" si="38"/>
        <v>1</v>
      </c>
    </row>
    <row r="13" spans="1:56" x14ac:dyDescent="0.3">
      <c r="W13" s="31"/>
    </row>
    <row r="14" spans="1:56" x14ac:dyDescent="0.3">
      <c r="W14" s="31"/>
    </row>
    <row r="15" spans="1:56" x14ac:dyDescent="0.3">
      <c r="W15" s="31"/>
    </row>
    <row r="16" spans="1:56" x14ac:dyDescent="0.3">
      <c r="W16" s="31"/>
    </row>
    <row r="17" spans="20:23" x14ac:dyDescent="0.3">
      <c r="W17" s="31"/>
    </row>
    <row r="18" spans="20:23" x14ac:dyDescent="0.3">
      <c r="W18" s="31"/>
    </row>
    <row r="19" spans="20:23" x14ac:dyDescent="0.3">
      <c r="W19" s="31"/>
    </row>
    <row r="20" spans="20:23" x14ac:dyDescent="0.3">
      <c r="W20" s="31"/>
    </row>
    <row r="21" spans="20:23" x14ac:dyDescent="0.3">
      <c r="W21" s="31"/>
    </row>
    <row r="22" spans="20:23" x14ac:dyDescent="0.3">
      <c r="W22" s="31"/>
    </row>
    <row r="23" spans="20:23" x14ac:dyDescent="0.3">
      <c r="W23" s="31"/>
    </row>
    <row r="24" spans="20:23" x14ac:dyDescent="0.3">
      <c r="T24" s="31"/>
      <c r="W24" s="31"/>
    </row>
    <row r="25" spans="20:23" x14ac:dyDescent="0.3">
      <c r="T25" s="31"/>
      <c r="W25" s="31"/>
    </row>
    <row r="26" spans="20:23" x14ac:dyDescent="0.3">
      <c r="T26" s="31"/>
      <c r="W26" s="31"/>
    </row>
    <row r="27" spans="20:23" x14ac:dyDescent="0.3">
      <c r="T27" s="31"/>
      <c r="W27" s="31"/>
    </row>
    <row r="28" spans="20:23" x14ac:dyDescent="0.3">
      <c r="T28" s="31"/>
      <c r="W28" s="31"/>
    </row>
    <row r="29" spans="20:23" x14ac:dyDescent="0.3">
      <c r="T29" s="31"/>
      <c r="W29" s="31"/>
    </row>
    <row r="30" spans="20:23" x14ac:dyDescent="0.3">
      <c r="T30" s="31"/>
      <c r="W30" s="31"/>
    </row>
    <row r="31" spans="20:23" x14ac:dyDescent="0.3">
      <c r="T31" s="31"/>
    </row>
    <row r="32" spans="20:23" x14ac:dyDescent="0.3">
      <c r="T32" s="31"/>
    </row>
    <row r="33" spans="20:20" x14ac:dyDescent="0.3">
      <c r="T33" s="31"/>
    </row>
    <row r="34" spans="20:20" x14ac:dyDescent="0.3">
      <c r="T34" s="31"/>
    </row>
    <row r="35" spans="20:20" x14ac:dyDescent="0.3">
      <c r="T35" s="31"/>
    </row>
    <row r="36" spans="20:20" x14ac:dyDescent="0.3">
      <c r="T36" s="31"/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E4A7-6FC7-48AE-97CB-66951446A203}">
  <sheetPr>
    <tabColor theme="0" tint="-0.249977111117893"/>
  </sheetPr>
  <dimension ref="A1:BP36"/>
  <sheetViews>
    <sheetView zoomScale="85" zoomScaleNormal="85" workbookViewId="0">
      <pane ySplit="8" topLeftCell="A12" activePane="bottomLeft" state="frozen"/>
      <selection activeCell="BK16" sqref="BK16"/>
      <selection pane="bottomLeft" activeCell="BK16" sqref="BK16"/>
    </sheetView>
  </sheetViews>
  <sheetFormatPr defaultColWidth="8.8984375" defaultRowHeight="14.5" x14ac:dyDescent="0.3"/>
  <cols>
    <col min="1" max="1" width="22" style="1" bestFit="1" customWidth="1"/>
    <col min="2" max="2" width="9.3984375" style="1" hidden="1" customWidth="1"/>
    <col min="3" max="3" width="7" style="1" hidden="1" customWidth="1"/>
    <col min="4" max="4" width="9" style="1" hidden="1" customWidth="1"/>
    <col min="5" max="6" width="9.3984375" style="1" hidden="1" customWidth="1"/>
    <col min="7" max="8" width="7.69921875" style="1" hidden="1" customWidth="1"/>
    <col min="9" max="9" width="9.3984375" style="1" hidden="1" customWidth="1"/>
    <col min="10" max="10" width="8.09765625" style="1" hidden="1" customWidth="1"/>
    <col min="11" max="12" width="9.3984375" style="1" hidden="1" customWidth="1"/>
    <col min="13" max="13" width="7.69921875" style="1" hidden="1" customWidth="1"/>
    <col min="14" max="14" width="9" style="1" hidden="1" customWidth="1"/>
    <col min="15" max="15" width="7.69921875" style="1" hidden="1" customWidth="1"/>
    <col min="16" max="17" width="0" style="1" hidden="1" customWidth="1"/>
    <col min="18" max="18" width="7.69921875" style="1" hidden="1" customWidth="1"/>
    <col min="19" max="19" width="13.09765625" style="1" hidden="1" customWidth="1"/>
    <col min="20" max="20" width="7" style="1" hidden="1" customWidth="1"/>
    <col min="21" max="21" width="7.69921875" style="1" hidden="1" customWidth="1"/>
    <col min="22" max="22" width="0" style="1" hidden="1" customWidth="1"/>
    <col min="23" max="23" width="7" style="1" hidden="1" customWidth="1"/>
    <col min="24" max="25" width="0" style="1" hidden="1" customWidth="1"/>
    <col min="26" max="26" width="7.69921875" style="1" hidden="1" customWidth="1"/>
    <col min="27" max="30" width="0" style="1" hidden="1" customWidth="1"/>
    <col min="31" max="33" width="7.69921875" style="1" hidden="1" customWidth="1"/>
    <col min="34" max="34" width="8.59765625" style="1" hidden="1" customWidth="1"/>
    <col min="35" max="35" width="0" style="1" hidden="1" customWidth="1"/>
    <col min="36" max="36" width="7.69921875" style="1" hidden="1" customWidth="1"/>
    <col min="37" max="37" width="0" style="1" hidden="1" customWidth="1"/>
    <col min="38" max="38" width="7.69921875" style="1" hidden="1" customWidth="1"/>
    <col min="39" max="52" width="0" style="1" hidden="1" customWidth="1"/>
    <col min="53" max="53" width="8.8984375" style="1"/>
    <col min="54" max="54" width="9.59765625" style="1" customWidth="1"/>
    <col min="55" max="16384" width="8.8984375" style="1"/>
  </cols>
  <sheetData>
    <row r="1" spans="1:68" x14ac:dyDescent="0.3">
      <c r="B1" s="2" t="str">
        <f t="shared" ref="B1:E1" si="0">TEXT(B2,"ddd")</f>
        <v>Tue</v>
      </c>
      <c r="C1" s="2" t="str">
        <f t="shared" si="0"/>
        <v>Wed</v>
      </c>
      <c r="D1" s="2" t="str">
        <f t="shared" si="0"/>
        <v>Thu</v>
      </c>
      <c r="E1" s="2" t="str">
        <f t="shared" si="0"/>
        <v>Fri</v>
      </c>
      <c r="F1" s="2" t="s">
        <v>4</v>
      </c>
      <c r="G1" s="2" t="str">
        <f t="shared" ref="G1:BG1" si="1">TEXT(G2,"ddd")</f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">
        <v>4</v>
      </c>
      <c r="T1" s="2" t="str">
        <f t="shared" si="1"/>
        <v>Mon</v>
      </c>
      <c r="U1" s="2" t="str">
        <f t="shared" si="1"/>
        <v>Tue</v>
      </c>
      <c r="V1" s="2" t="str">
        <f t="shared" si="1"/>
        <v>Wed</v>
      </c>
      <c r="W1" s="2" t="str">
        <f t="shared" si="1"/>
        <v>Thu</v>
      </c>
      <c r="X1" s="2" t="str">
        <f t="shared" si="1"/>
        <v>Fri</v>
      </c>
      <c r="Y1" s="2" t="str">
        <f t="shared" si="1"/>
        <v>Sat</v>
      </c>
      <c r="Z1" s="2" t="str">
        <f t="shared" si="1"/>
        <v>Sun</v>
      </c>
      <c r="AA1" s="2" t="str">
        <f t="shared" si="1"/>
        <v>Mon</v>
      </c>
      <c r="AB1" s="2" t="str">
        <f t="shared" si="1"/>
        <v>Tue</v>
      </c>
      <c r="AC1" s="2" t="str">
        <f t="shared" si="1"/>
        <v>Wed</v>
      </c>
      <c r="AD1" s="2" t="str">
        <f t="shared" si="1"/>
        <v>Thu</v>
      </c>
      <c r="AE1" s="2" t="str">
        <f t="shared" si="1"/>
        <v>Fri</v>
      </c>
      <c r="AF1" s="2" t="str">
        <f t="shared" si="1"/>
        <v>Sat</v>
      </c>
      <c r="AG1" s="2" t="str">
        <f t="shared" si="1"/>
        <v>Sun</v>
      </c>
      <c r="AH1" s="2" t="str">
        <f t="shared" si="1"/>
        <v>Mon</v>
      </c>
      <c r="AI1" s="2" t="str">
        <f t="shared" si="1"/>
        <v>Tue</v>
      </c>
      <c r="AJ1" s="2" t="str">
        <f t="shared" si="1"/>
        <v>Wed</v>
      </c>
      <c r="AK1" s="2" t="str">
        <f t="shared" si="1"/>
        <v>Thu</v>
      </c>
      <c r="AL1" s="2" t="str">
        <f t="shared" si="1"/>
        <v>Fri</v>
      </c>
      <c r="AM1" s="2" t="str">
        <f t="shared" si="1"/>
        <v>Sat</v>
      </c>
      <c r="AN1" s="2" t="str">
        <f t="shared" si="1"/>
        <v>Sun</v>
      </c>
      <c r="AO1" s="2" t="str">
        <f t="shared" si="1"/>
        <v>Mon</v>
      </c>
      <c r="AP1" s="2" t="str">
        <f t="shared" si="1"/>
        <v>Tue</v>
      </c>
      <c r="AQ1" s="2" t="str">
        <f t="shared" si="1"/>
        <v>Wed</v>
      </c>
      <c r="AR1" s="2" t="str">
        <f t="shared" si="1"/>
        <v>Thu</v>
      </c>
      <c r="AS1" s="2" t="str">
        <f t="shared" si="1"/>
        <v>Fri</v>
      </c>
      <c r="AT1" s="2" t="str">
        <f t="shared" si="1"/>
        <v>Sat</v>
      </c>
      <c r="AU1" s="2" t="str">
        <f t="shared" si="1"/>
        <v>Sun</v>
      </c>
      <c r="AV1" s="2" t="str">
        <f t="shared" si="1"/>
        <v>Mon</v>
      </c>
      <c r="AW1" s="2" t="str">
        <f t="shared" si="1"/>
        <v>Tue</v>
      </c>
      <c r="AX1" s="2" t="str">
        <f t="shared" si="1"/>
        <v>Wed</v>
      </c>
      <c r="AY1" s="2" t="str">
        <f t="shared" si="1"/>
        <v>Thu</v>
      </c>
      <c r="AZ1" s="2" t="str">
        <f t="shared" si="1"/>
        <v>Fri</v>
      </c>
      <c r="BA1" s="2" t="str">
        <f t="shared" si="1"/>
        <v>Sat</v>
      </c>
      <c r="BB1" s="2" t="str">
        <f t="shared" si="1"/>
        <v>Sun</v>
      </c>
      <c r="BC1" s="2" t="str">
        <f t="shared" si="1"/>
        <v>Mon</v>
      </c>
      <c r="BD1" s="2" t="str">
        <f t="shared" si="1"/>
        <v>Tue</v>
      </c>
      <c r="BE1" s="2" t="str">
        <f t="shared" si="1"/>
        <v>Wed</v>
      </c>
      <c r="BF1" s="2" t="str">
        <f t="shared" si="1"/>
        <v>Thu</v>
      </c>
      <c r="BG1" s="2" t="str">
        <f t="shared" si="1"/>
        <v>Fri</v>
      </c>
      <c r="BH1" s="2" t="str">
        <f>TEXT(BH2,"ddd")</f>
        <v>Sat</v>
      </c>
      <c r="BI1" s="2" t="str">
        <f>TEXT(BI2,"ddd")</f>
        <v>Mon</v>
      </c>
      <c r="BJ1" s="2" t="str">
        <f>TEXT(BJ2,"ddd")</f>
        <v>Tue</v>
      </c>
      <c r="BK1" s="2" t="str">
        <f>TEXT(BK2,"ddd")</f>
        <v>Wed</v>
      </c>
      <c r="BL1" s="2" t="str">
        <f t="shared" ref="BL1:BP1" si="2">TEXT(BL2,"ddd")</f>
        <v>Thu</v>
      </c>
      <c r="BM1" s="2" t="str">
        <f t="shared" si="2"/>
        <v>Fri</v>
      </c>
      <c r="BN1" s="2" t="str">
        <f t="shared" si="2"/>
        <v>Sat</v>
      </c>
      <c r="BO1" s="2" t="str">
        <f t="shared" si="2"/>
        <v>Sun</v>
      </c>
      <c r="BP1" s="2" t="str">
        <f t="shared" si="2"/>
        <v>Mon</v>
      </c>
    </row>
    <row r="2" spans="1:68" x14ac:dyDescent="0.3">
      <c r="B2" s="2">
        <v>45958</v>
      </c>
      <c r="C2" s="2">
        <v>45959</v>
      </c>
      <c r="D2" s="2">
        <v>45960</v>
      </c>
      <c r="E2" s="2">
        <v>45961</v>
      </c>
      <c r="F2" s="2" t="s">
        <v>84</v>
      </c>
      <c r="G2" s="2">
        <v>45964</v>
      </c>
      <c r="H2" s="2">
        <v>45965</v>
      </c>
      <c r="I2" s="2">
        <v>45966</v>
      </c>
      <c r="J2" s="2">
        <v>45967</v>
      </c>
      <c r="K2" s="2">
        <v>45968</v>
      </c>
      <c r="L2" s="2">
        <v>45969</v>
      </c>
      <c r="M2" s="2">
        <v>45970</v>
      </c>
      <c r="N2" s="2">
        <v>45971</v>
      </c>
      <c r="O2" s="2">
        <v>45972</v>
      </c>
      <c r="P2" s="2">
        <v>45973</v>
      </c>
      <c r="Q2" s="2">
        <v>45974</v>
      </c>
      <c r="R2" s="2">
        <v>45975</v>
      </c>
      <c r="S2" s="2" t="s">
        <v>438</v>
      </c>
      <c r="T2" s="2">
        <v>45978</v>
      </c>
      <c r="U2" s="2">
        <v>45979</v>
      </c>
      <c r="V2" s="2">
        <v>45980</v>
      </c>
      <c r="W2" s="2">
        <v>45981</v>
      </c>
      <c r="X2" s="2">
        <v>45982</v>
      </c>
      <c r="Y2" s="2">
        <v>45983</v>
      </c>
      <c r="Z2" s="2">
        <v>45984</v>
      </c>
      <c r="AA2" s="2">
        <v>45985</v>
      </c>
      <c r="AB2" s="2">
        <v>45986</v>
      </c>
      <c r="AC2" s="2">
        <v>45987</v>
      </c>
      <c r="AD2" s="2">
        <v>45988</v>
      </c>
      <c r="AE2" s="2">
        <v>45989</v>
      </c>
      <c r="AF2" s="2">
        <v>45990</v>
      </c>
      <c r="AG2" s="2">
        <v>45991</v>
      </c>
      <c r="AH2" s="2">
        <v>45992</v>
      </c>
      <c r="AI2" s="2">
        <v>45993</v>
      </c>
      <c r="AJ2" s="2">
        <v>45994</v>
      </c>
      <c r="AK2" s="2">
        <v>45995</v>
      </c>
      <c r="AL2" s="2">
        <v>45996</v>
      </c>
      <c r="AM2" s="2">
        <v>45997</v>
      </c>
      <c r="AN2" s="2">
        <v>45998</v>
      </c>
      <c r="AO2" s="2">
        <v>45999</v>
      </c>
      <c r="AP2" s="2">
        <v>46000</v>
      </c>
      <c r="AQ2" s="2">
        <v>46001</v>
      </c>
      <c r="AR2" s="2">
        <v>46002</v>
      </c>
      <c r="AS2" s="2">
        <v>46003</v>
      </c>
      <c r="AT2" s="2">
        <v>46004</v>
      </c>
      <c r="AU2" s="2">
        <v>46005</v>
      </c>
      <c r="AV2" s="2">
        <v>46006</v>
      </c>
      <c r="AW2" s="2">
        <v>46007</v>
      </c>
      <c r="AX2" s="2">
        <v>46008</v>
      </c>
      <c r="AY2" s="2">
        <v>46009</v>
      </c>
      <c r="AZ2" s="2">
        <v>46010</v>
      </c>
      <c r="BA2" s="2">
        <v>46011</v>
      </c>
      <c r="BB2" s="2">
        <v>46012</v>
      </c>
      <c r="BC2" s="2">
        <v>46013</v>
      </c>
      <c r="BD2" s="2">
        <v>46014</v>
      </c>
      <c r="BE2" s="2">
        <v>46015</v>
      </c>
      <c r="BF2" s="2">
        <v>46016</v>
      </c>
      <c r="BG2" s="2">
        <v>46017</v>
      </c>
      <c r="BH2" s="2">
        <v>46018</v>
      </c>
      <c r="BI2" s="2">
        <v>46020</v>
      </c>
      <c r="BJ2" s="2">
        <v>46021</v>
      </c>
      <c r="BK2" s="2">
        <v>46022</v>
      </c>
      <c r="BL2" s="2">
        <v>46023</v>
      </c>
      <c r="BM2" s="2">
        <v>46024</v>
      </c>
      <c r="BN2" s="2">
        <v>46025</v>
      </c>
      <c r="BO2" s="2">
        <v>46026</v>
      </c>
      <c r="BP2" s="2">
        <v>46027</v>
      </c>
    </row>
    <row r="3" spans="1:68" x14ac:dyDescent="0.3">
      <c r="A3" s="3" t="s">
        <v>2</v>
      </c>
      <c r="B3" s="23">
        <f>SUM(B4:B6)</f>
        <v>2</v>
      </c>
      <c r="C3" s="23">
        <v>0</v>
      </c>
      <c r="D3" s="23">
        <v>0</v>
      </c>
      <c r="E3" s="23">
        <f t="shared" ref="E3" si="3">SUM(E4:E6)</f>
        <v>0</v>
      </c>
      <c r="F3" s="23">
        <v>14</v>
      </c>
      <c r="G3" s="23">
        <v>1</v>
      </c>
      <c r="H3" s="23">
        <v>1</v>
      </c>
      <c r="I3" s="23">
        <v>2</v>
      </c>
      <c r="J3" s="23">
        <v>3</v>
      </c>
      <c r="K3" s="23">
        <v>9</v>
      </c>
      <c r="L3" s="23">
        <v>8</v>
      </c>
      <c r="M3" s="23">
        <v>0</v>
      </c>
      <c r="N3" s="23">
        <v>3</v>
      </c>
      <c r="O3" s="23">
        <v>3</v>
      </c>
      <c r="P3" s="23">
        <v>5</v>
      </c>
      <c r="Q3" s="23">
        <v>11</v>
      </c>
      <c r="R3" s="23">
        <v>12</v>
      </c>
      <c r="S3" s="23">
        <v>10</v>
      </c>
      <c r="T3" s="23">
        <v>14</v>
      </c>
      <c r="U3" s="23">
        <v>10</v>
      </c>
      <c r="V3" s="23">
        <v>16</v>
      </c>
      <c r="W3" s="23">
        <v>20</v>
      </c>
      <c r="X3" s="23">
        <v>17</v>
      </c>
      <c r="Y3" s="23">
        <v>7</v>
      </c>
      <c r="Z3" s="23">
        <v>4</v>
      </c>
      <c r="AA3" s="23">
        <v>17</v>
      </c>
      <c r="AB3" s="23">
        <v>15</v>
      </c>
      <c r="AC3" s="23">
        <v>15</v>
      </c>
      <c r="AD3" s="23">
        <v>11</v>
      </c>
      <c r="AE3" s="23">
        <v>11</v>
      </c>
      <c r="AF3" s="23">
        <v>15</v>
      </c>
      <c r="AG3" s="23">
        <v>13</v>
      </c>
      <c r="AH3" s="23">
        <v>15</v>
      </c>
      <c r="AI3" s="23">
        <v>16</v>
      </c>
      <c r="AJ3" s="23">
        <v>20</v>
      </c>
      <c r="AK3" s="23">
        <v>10</v>
      </c>
      <c r="AL3" s="23">
        <v>0</v>
      </c>
      <c r="AM3" s="23">
        <v>0</v>
      </c>
      <c r="AN3" s="23">
        <v>8</v>
      </c>
      <c r="AO3" s="23">
        <v>0</v>
      </c>
      <c r="AP3" s="23">
        <v>2</v>
      </c>
      <c r="AQ3" s="23">
        <v>10</v>
      </c>
      <c r="AR3" s="23">
        <v>10</v>
      </c>
      <c r="AS3" s="23">
        <v>15</v>
      </c>
      <c r="AT3" s="23">
        <v>11</v>
      </c>
      <c r="AU3" s="23">
        <v>16</v>
      </c>
      <c r="AV3" s="23">
        <v>16</v>
      </c>
      <c r="AW3" s="23">
        <v>18</v>
      </c>
      <c r="AX3" s="23">
        <v>14</v>
      </c>
      <c r="AY3" s="23">
        <v>17</v>
      </c>
      <c r="AZ3" s="23">
        <v>18</v>
      </c>
      <c r="BA3" s="23">
        <v>18</v>
      </c>
      <c r="BB3" s="23">
        <v>6</v>
      </c>
      <c r="BC3" s="23">
        <v>16</v>
      </c>
      <c r="BD3" s="23">
        <v>18</v>
      </c>
      <c r="BE3" s="23">
        <v>18</v>
      </c>
      <c r="BF3" s="23">
        <v>12</v>
      </c>
      <c r="BG3" s="23">
        <v>3</v>
      </c>
      <c r="BH3" s="23">
        <v>5</v>
      </c>
      <c r="BI3" s="23">
        <v>7</v>
      </c>
      <c r="BJ3" s="23">
        <v>3</v>
      </c>
      <c r="BK3" s="23">
        <v>2</v>
      </c>
      <c r="BL3" s="23">
        <v>1</v>
      </c>
      <c r="BM3" s="23">
        <v>2</v>
      </c>
      <c r="BN3" s="23">
        <v>3</v>
      </c>
      <c r="BO3" s="23">
        <v>1</v>
      </c>
      <c r="BP3" s="23">
        <v>0</v>
      </c>
    </row>
    <row r="4" spans="1:68" x14ac:dyDescent="0.3">
      <c r="A4" s="4" t="s">
        <v>0</v>
      </c>
      <c r="B4" s="23">
        <v>0</v>
      </c>
      <c r="C4" s="23">
        <v>0</v>
      </c>
      <c r="D4" s="23">
        <v>2</v>
      </c>
      <c r="E4" s="23">
        <v>0</v>
      </c>
      <c r="F4" s="23">
        <v>0</v>
      </c>
      <c r="G4" s="23">
        <v>6</v>
      </c>
      <c r="H4" s="23">
        <v>2</v>
      </c>
      <c r="I4" s="23">
        <v>5</v>
      </c>
      <c r="J4" s="23">
        <v>3</v>
      </c>
      <c r="K4" s="23">
        <v>4</v>
      </c>
      <c r="L4" s="23">
        <v>2</v>
      </c>
      <c r="M4" s="23">
        <v>4</v>
      </c>
      <c r="N4" s="23">
        <v>7</v>
      </c>
      <c r="O4" s="23">
        <v>5</v>
      </c>
      <c r="P4" s="23">
        <v>2</v>
      </c>
      <c r="Q4" s="23">
        <v>8</v>
      </c>
      <c r="R4" s="23">
        <v>9</v>
      </c>
      <c r="S4" s="23">
        <v>10</v>
      </c>
      <c r="T4" s="23">
        <v>8</v>
      </c>
      <c r="U4" s="23">
        <v>15</v>
      </c>
      <c r="V4" s="23">
        <v>7</v>
      </c>
      <c r="W4" s="23">
        <v>6</v>
      </c>
      <c r="X4" s="23">
        <v>12</v>
      </c>
      <c r="Y4" s="23">
        <v>17</v>
      </c>
      <c r="Z4" s="23">
        <v>13</v>
      </c>
      <c r="AA4" s="23">
        <v>9</v>
      </c>
      <c r="AB4" s="23">
        <v>16</v>
      </c>
      <c r="AC4" s="23">
        <v>15</v>
      </c>
      <c r="AD4" s="23">
        <v>15</v>
      </c>
      <c r="AE4" s="23">
        <v>14</v>
      </c>
      <c r="AF4" s="23">
        <v>14</v>
      </c>
      <c r="AG4" s="23">
        <v>11</v>
      </c>
      <c r="AH4" s="23">
        <v>13</v>
      </c>
      <c r="AI4" s="23">
        <v>14</v>
      </c>
      <c r="AJ4" s="23">
        <v>15</v>
      </c>
      <c r="AK4" s="23">
        <v>15</v>
      </c>
      <c r="AL4" s="23">
        <v>14</v>
      </c>
      <c r="AM4" s="23">
        <v>11</v>
      </c>
      <c r="AN4" s="23">
        <v>4</v>
      </c>
      <c r="AO4" s="23">
        <v>4</v>
      </c>
      <c r="AP4" s="23">
        <v>5</v>
      </c>
      <c r="AQ4" s="23">
        <v>1</v>
      </c>
      <c r="AR4" s="23">
        <v>1</v>
      </c>
      <c r="AS4" s="23">
        <v>7</v>
      </c>
      <c r="AT4" s="23">
        <v>10</v>
      </c>
      <c r="AU4" s="23">
        <v>12</v>
      </c>
      <c r="AV4" s="23">
        <v>13</v>
      </c>
      <c r="AW4" s="23">
        <v>16</v>
      </c>
      <c r="AX4" s="23">
        <v>16</v>
      </c>
      <c r="AY4" s="23">
        <v>18</v>
      </c>
      <c r="AZ4" s="23">
        <v>14</v>
      </c>
      <c r="BA4" s="23">
        <v>16</v>
      </c>
      <c r="BB4" s="23">
        <v>14</v>
      </c>
      <c r="BC4" s="23">
        <v>17</v>
      </c>
      <c r="BD4" s="23">
        <v>17</v>
      </c>
      <c r="BE4" s="23">
        <v>17</v>
      </c>
      <c r="BF4" s="23">
        <v>15</v>
      </c>
      <c r="BG4" s="23">
        <v>15</v>
      </c>
      <c r="BH4" s="23">
        <v>10</v>
      </c>
      <c r="BI4" s="23">
        <v>11</v>
      </c>
      <c r="BJ4" s="23">
        <v>5</v>
      </c>
      <c r="BK4" s="23">
        <v>3</v>
      </c>
      <c r="BL4" s="23">
        <v>5</v>
      </c>
      <c r="BM4" s="23">
        <v>2</v>
      </c>
      <c r="BN4" s="23">
        <v>4</v>
      </c>
      <c r="BO4" s="23">
        <v>1</v>
      </c>
      <c r="BP4" s="23">
        <v>4</v>
      </c>
    </row>
    <row r="5" spans="1:68" x14ac:dyDescent="0.3">
      <c r="A5" s="4" t="s">
        <v>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0</v>
      </c>
      <c r="AY5" s="23">
        <v>0</v>
      </c>
      <c r="AZ5" s="23">
        <v>0</v>
      </c>
      <c r="BA5" s="23">
        <v>0</v>
      </c>
      <c r="BB5" s="23">
        <v>0</v>
      </c>
      <c r="BC5" s="23">
        <v>0</v>
      </c>
      <c r="BD5" s="23">
        <v>0</v>
      </c>
      <c r="BE5" s="23">
        <v>0</v>
      </c>
      <c r="BF5" s="23">
        <v>0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4</v>
      </c>
      <c r="BO5" s="23">
        <v>0</v>
      </c>
      <c r="BP5" s="23">
        <v>0</v>
      </c>
    </row>
    <row r="6" spans="1:68" x14ac:dyDescent="0.3">
      <c r="A6" s="4" t="s">
        <v>3</v>
      </c>
      <c r="B6" s="23">
        <v>2</v>
      </c>
      <c r="C6" s="23">
        <v>2</v>
      </c>
      <c r="D6" s="23">
        <v>0</v>
      </c>
      <c r="E6" s="23">
        <v>0</v>
      </c>
      <c r="F6" s="23">
        <v>14</v>
      </c>
      <c r="G6" s="23">
        <v>9</v>
      </c>
      <c r="H6" s="23">
        <v>8</v>
      </c>
      <c r="I6" s="23">
        <v>5</v>
      </c>
      <c r="J6" s="23">
        <v>5</v>
      </c>
      <c r="K6" s="23">
        <v>10</v>
      </c>
      <c r="L6" s="23">
        <v>16</v>
      </c>
      <c r="M6" s="23">
        <v>12</v>
      </c>
      <c r="N6" s="23">
        <v>8</v>
      </c>
      <c r="O6" s="23">
        <v>6</v>
      </c>
      <c r="P6" s="23">
        <v>9</v>
      </c>
      <c r="Q6" s="23">
        <v>12</v>
      </c>
      <c r="R6" s="23">
        <v>15</v>
      </c>
      <c r="S6" s="23">
        <v>15</v>
      </c>
      <c r="T6" s="23">
        <v>21</v>
      </c>
      <c r="U6" s="23">
        <v>16</v>
      </c>
      <c r="V6" s="23">
        <v>25</v>
      </c>
      <c r="W6" s="23">
        <v>39</v>
      </c>
      <c r="X6" s="23">
        <v>44</v>
      </c>
      <c r="Y6" s="23">
        <v>34</v>
      </c>
      <c r="Z6" s="23">
        <v>25</v>
      </c>
      <c r="AA6" s="23">
        <v>33</v>
      </c>
      <c r="AB6" s="23">
        <v>32</v>
      </c>
      <c r="AC6" s="23">
        <v>32</v>
      </c>
      <c r="AD6" s="23">
        <v>28</v>
      </c>
      <c r="AE6" s="23">
        <v>25</v>
      </c>
      <c r="AF6" s="23">
        <v>26</v>
      </c>
      <c r="AG6" s="23">
        <v>28</v>
      </c>
      <c r="AH6" s="23">
        <v>30</v>
      </c>
      <c r="AI6" s="23">
        <v>32</v>
      </c>
      <c r="AJ6" s="23">
        <v>37</v>
      </c>
      <c r="AK6" s="23">
        <v>32</v>
      </c>
      <c r="AL6" s="23">
        <v>18</v>
      </c>
      <c r="AM6" s="23">
        <v>7</v>
      </c>
      <c r="AN6" s="23">
        <v>11</v>
      </c>
      <c r="AO6" s="23">
        <v>7</v>
      </c>
      <c r="AP6" s="23">
        <v>4</v>
      </c>
      <c r="AQ6" s="23">
        <v>13</v>
      </c>
      <c r="AR6" s="23">
        <v>22</v>
      </c>
      <c r="AS6" s="23">
        <v>30</v>
      </c>
      <c r="AT6" s="23">
        <v>31</v>
      </c>
      <c r="AU6" s="23">
        <v>35</v>
      </c>
      <c r="AV6" s="23">
        <v>38</v>
      </c>
      <c r="AW6" s="23">
        <v>40</v>
      </c>
      <c r="AX6" s="23">
        <v>38</v>
      </c>
      <c r="AY6" s="23">
        <v>37</v>
      </c>
      <c r="AZ6" s="23">
        <v>41</v>
      </c>
      <c r="BA6" s="23">
        <v>43</v>
      </c>
      <c r="BB6" s="23">
        <v>35</v>
      </c>
      <c r="BC6" s="23">
        <v>34</v>
      </c>
      <c r="BD6" s="23">
        <v>35</v>
      </c>
      <c r="BE6" s="23">
        <v>36</v>
      </c>
      <c r="BF6" s="23">
        <v>33</v>
      </c>
      <c r="BG6" s="23">
        <v>21</v>
      </c>
      <c r="BH6" s="23">
        <v>16</v>
      </c>
      <c r="BI6" s="23">
        <v>12</v>
      </c>
      <c r="BJ6" s="23">
        <v>10</v>
      </c>
      <c r="BK6" s="23">
        <v>9</v>
      </c>
      <c r="BL6" s="23">
        <v>5</v>
      </c>
      <c r="BM6" s="23">
        <v>5</v>
      </c>
      <c r="BN6" s="23">
        <v>4</v>
      </c>
      <c r="BO6" s="23">
        <v>4</v>
      </c>
      <c r="BP6" s="23">
        <v>0</v>
      </c>
    </row>
    <row r="7" spans="1:68" ht="28.4" customHeight="1" thickBot="1" x14ac:dyDescent="0.35">
      <c r="A7" s="22" t="s">
        <v>127</v>
      </c>
      <c r="B7" s="24">
        <v>0</v>
      </c>
      <c r="C7" s="24">
        <v>0</v>
      </c>
      <c r="D7" s="24">
        <v>2</v>
      </c>
      <c r="E7" s="24">
        <v>0</v>
      </c>
      <c r="F7" s="24">
        <v>0</v>
      </c>
      <c r="G7" s="24">
        <v>8</v>
      </c>
      <c r="H7" s="24">
        <v>10</v>
      </c>
      <c r="I7" s="24">
        <v>15</v>
      </c>
      <c r="J7" s="24">
        <v>18</v>
      </c>
      <c r="K7" s="24">
        <v>22</v>
      </c>
      <c r="L7" s="24">
        <v>24</v>
      </c>
      <c r="M7" s="24">
        <v>28</v>
      </c>
      <c r="N7" s="24">
        <v>35</v>
      </c>
      <c r="O7" s="24">
        <v>40</v>
      </c>
      <c r="P7" s="24">
        <v>42</v>
      </c>
      <c r="Q7" s="24">
        <v>50</v>
      </c>
      <c r="R7" s="24">
        <v>59</v>
      </c>
      <c r="S7" s="24">
        <v>69</v>
      </c>
      <c r="T7" s="24">
        <v>77</v>
      </c>
      <c r="U7" s="24">
        <v>92</v>
      </c>
      <c r="V7" s="24">
        <v>99</v>
      </c>
      <c r="W7" s="24">
        <f>V7+W4</f>
        <v>105</v>
      </c>
      <c r="X7" s="24">
        <f>W7+X4</f>
        <v>117</v>
      </c>
      <c r="Y7" s="24">
        <f>X7+Y4</f>
        <v>134</v>
      </c>
      <c r="Z7" s="24">
        <f t="shared" ref="Z7:AD7" si="4">Y7+Z4</f>
        <v>147</v>
      </c>
      <c r="AA7" s="24">
        <f t="shared" si="4"/>
        <v>156</v>
      </c>
      <c r="AB7" s="24">
        <f t="shared" si="4"/>
        <v>172</v>
      </c>
      <c r="AC7" s="24">
        <f t="shared" si="4"/>
        <v>187</v>
      </c>
      <c r="AD7" s="24">
        <f t="shared" si="4"/>
        <v>202</v>
      </c>
      <c r="AE7" s="24">
        <f>AD7+AE4</f>
        <v>216</v>
      </c>
      <c r="AF7" s="24">
        <f>AE7+AF4</f>
        <v>230</v>
      </c>
      <c r="AG7" s="24">
        <f t="shared" ref="AG7:AM7" si="5">AF7+AG4</f>
        <v>241</v>
      </c>
      <c r="AH7" s="24">
        <f t="shared" si="5"/>
        <v>254</v>
      </c>
      <c r="AI7" s="24">
        <f t="shared" si="5"/>
        <v>268</v>
      </c>
      <c r="AJ7" s="24">
        <f t="shared" si="5"/>
        <v>283</v>
      </c>
      <c r="AK7" s="24">
        <f t="shared" si="5"/>
        <v>298</v>
      </c>
      <c r="AL7" s="24">
        <f t="shared" si="5"/>
        <v>312</v>
      </c>
      <c r="AM7" s="24">
        <f t="shared" si="5"/>
        <v>323</v>
      </c>
      <c r="AN7" s="24">
        <f t="shared" ref="AN7" si="6">AM7+AN4</f>
        <v>327</v>
      </c>
      <c r="AO7" s="24">
        <f t="shared" ref="AO7:AS7" si="7">AN7+AO4</f>
        <v>331</v>
      </c>
      <c r="AP7" s="24">
        <f t="shared" si="7"/>
        <v>336</v>
      </c>
      <c r="AQ7" s="24">
        <f t="shared" si="7"/>
        <v>337</v>
      </c>
      <c r="AR7" s="24">
        <f t="shared" si="7"/>
        <v>338</v>
      </c>
      <c r="AS7" s="24">
        <f t="shared" si="7"/>
        <v>345</v>
      </c>
      <c r="AT7" s="24">
        <f t="shared" ref="AT7" si="8">AS7+AT4</f>
        <v>355</v>
      </c>
      <c r="AU7" s="24">
        <f t="shared" ref="AU7:BA7" si="9">AT7+AU4</f>
        <v>367</v>
      </c>
      <c r="AV7" s="24">
        <f t="shared" si="9"/>
        <v>380</v>
      </c>
      <c r="AW7" s="24">
        <f t="shared" si="9"/>
        <v>396</v>
      </c>
      <c r="AX7" s="24">
        <f t="shared" si="9"/>
        <v>412</v>
      </c>
      <c r="AY7" s="24">
        <f t="shared" si="9"/>
        <v>430</v>
      </c>
      <c r="AZ7" s="24">
        <f t="shared" si="9"/>
        <v>444</v>
      </c>
      <c r="BA7" s="24">
        <f t="shared" si="9"/>
        <v>460</v>
      </c>
      <c r="BB7" s="24">
        <f t="shared" ref="BB7" si="10">BA7+BB4</f>
        <v>474</v>
      </c>
      <c r="BC7" s="24">
        <f t="shared" ref="BC7" si="11">BB7+BC4</f>
        <v>491</v>
      </c>
      <c r="BD7" s="24">
        <f>BC7+BD4</f>
        <v>508</v>
      </c>
      <c r="BE7" s="24">
        <f>BD7+BE4</f>
        <v>525</v>
      </c>
      <c r="BF7" s="24">
        <f t="shared" ref="BF7:BK7" si="12">BE7+BF4</f>
        <v>540</v>
      </c>
      <c r="BG7" s="24">
        <f t="shared" si="12"/>
        <v>555</v>
      </c>
      <c r="BH7" s="24">
        <f t="shared" si="12"/>
        <v>565</v>
      </c>
      <c r="BI7" s="24">
        <f t="shared" si="12"/>
        <v>576</v>
      </c>
      <c r="BJ7" s="24">
        <f t="shared" si="12"/>
        <v>581</v>
      </c>
      <c r="BK7" s="24">
        <f t="shared" si="12"/>
        <v>584</v>
      </c>
      <c r="BL7" s="24">
        <f t="shared" ref="BL7" si="13">BK7+BL4</f>
        <v>589</v>
      </c>
      <c r="BM7" s="24">
        <f t="shared" ref="BM7:BN7" si="14">BL7+BM4</f>
        <v>591</v>
      </c>
      <c r="BN7" s="24">
        <f t="shared" si="14"/>
        <v>595</v>
      </c>
      <c r="BO7" s="24">
        <f t="shared" ref="BO7" si="15">BN7+BO4</f>
        <v>596</v>
      </c>
      <c r="BP7" s="24">
        <f t="shared" ref="BP7" si="16">BO7+BP4</f>
        <v>600</v>
      </c>
    </row>
    <row r="8" spans="1:68" ht="15" thickBot="1" x14ac:dyDescent="0.35">
      <c r="A8" s="5" t="s">
        <v>1</v>
      </c>
      <c r="B8" s="25">
        <f>IFERROR(B4/B3,"N/a")</f>
        <v>0</v>
      </c>
      <c r="C8" s="25">
        <f>IFERROR(C4/(C4+C6),"N/a")</f>
        <v>0</v>
      </c>
      <c r="D8" s="25">
        <f t="shared" ref="D8:N8" si="17">IFERROR(D4/(D4+D6),"N/a")</f>
        <v>1</v>
      </c>
      <c r="E8" s="25" t="str">
        <f t="shared" si="17"/>
        <v>N/a</v>
      </c>
      <c r="F8" s="25">
        <f>IFERROR(F4/(F4+F6),"N/a")</f>
        <v>0</v>
      </c>
      <c r="G8" s="25">
        <f>IFERROR(G4/(G4+G6),"N/a")</f>
        <v>0.4</v>
      </c>
      <c r="H8" s="25">
        <f t="shared" si="17"/>
        <v>0.2</v>
      </c>
      <c r="I8" s="25">
        <f t="shared" si="17"/>
        <v>0.5</v>
      </c>
      <c r="J8" s="25">
        <f t="shared" si="17"/>
        <v>0.375</v>
      </c>
      <c r="K8" s="25">
        <f t="shared" si="17"/>
        <v>0.2857142857142857</v>
      </c>
      <c r="L8" s="25">
        <f t="shared" si="17"/>
        <v>0.1111111111111111</v>
      </c>
      <c r="M8" s="25">
        <f t="shared" si="17"/>
        <v>0.25</v>
      </c>
      <c r="N8" s="25">
        <f t="shared" si="17"/>
        <v>0.46666666666666667</v>
      </c>
      <c r="O8" s="25">
        <f t="shared" ref="O8:W8" si="18">IFERROR(O4/(O4+O6),"N/a")</f>
        <v>0.45454545454545453</v>
      </c>
      <c r="P8" s="25">
        <f t="shared" si="18"/>
        <v>0.18181818181818182</v>
      </c>
      <c r="Q8" s="25">
        <f t="shared" si="18"/>
        <v>0.4</v>
      </c>
      <c r="R8" s="25">
        <f t="shared" si="18"/>
        <v>0.375</v>
      </c>
      <c r="S8" s="25">
        <f t="shared" si="18"/>
        <v>0.4</v>
      </c>
      <c r="T8" s="25">
        <f t="shared" si="18"/>
        <v>0.27586206896551724</v>
      </c>
      <c r="U8" s="25">
        <f t="shared" si="18"/>
        <v>0.4838709677419355</v>
      </c>
      <c r="V8" s="25">
        <f t="shared" si="18"/>
        <v>0.21875</v>
      </c>
      <c r="W8" s="25">
        <f t="shared" si="18"/>
        <v>0.13333333333333333</v>
      </c>
      <c r="X8" s="25">
        <f t="shared" ref="X8:BI8" si="19">IFERROR(X4/(X4+X6),"N/a")</f>
        <v>0.21428571428571427</v>
      </c>
      <c r="Y8" s="25">
        <f t="shared" si="19"/>
        <v>0.33333333333333331</v>
      </c>
      <c r="Z8" s="25">
        <f t="shared" si="19"/>
        <v>0.34210526315789475</v>
      </c>
      <c r="AA8" s="25">
        <f t="shared" si="19"/>
        <v>0.21428571428571427</v>
      </c>
      <c r="AB8" s="25">
        <f t="shared" si="19"/>
        <v>0.33333333333333331</v>
      </c>
      <c r="AC8" s="25">
        <f t="shared" si="19"/>
        <v>0.31914893617021278</v>
      </c>
      <c r="AD8" s="25">
        <f t="shared" si="19"/>
        <v>0.34883720930232559</v>
      </c>
      <c r="AE8" s="25">
        <f t="shared" si="19"/>
        <v>0.35897435897435898</v>
      </c>
      <c r="AF8" s="25">
        <f t="shared" si="19"/>
        <v>0.35</v>
      </c>
      <c r="AG8" s="25">
        <f t="shared" si="19"/>
        <v>0.28205128205128205</v>
      </c>
      <c r="AH8" s="25">
        <f t="shared" si="19"/>
        <v>0.30232558139534882</v>
      </c>
      <c r="AI8" s="25">
        <f t="shared" si="19"/>
        <v>0.30434782608695654</v>
      </c>
      <c r="AJ8" s="25">
        <f t="shared" si="19"/>
        <v>0.28846153846153844</v>
      </c>
      <c r="AK8" s="25">
        <f t="shared" si="19"/>
        <v>0.31914893617021278</v>
      </c>
      <c r="AL8" s="25">
        <f t="shared" si="19"/>
        <v>0.4375</v>
      </c>
      <c r="AM8" s="25">
        <f t="shared" si="19"/>
        <v>0.61111111111111116</v>
      </c>
      <c r="AN8" s="25">
        <f t="shared" si="19"/>
        <v>0.26666666666666666</v>
      </c>
      <c r="AO8" s="25">
        <f t="shared" si="19"/>
        <v>0.36363636363636365</v>
      </c>
      <c r="AP8" s="25">
        <f t="shared" si="19"/>
        <v>0.55555555555555558</v>
      </c>
      <c r="AQ8" s="25">
        <f t="shared" si="19"/>
        <v>7.1428571428571425E-2</v>
      </c>
      <c r="AR8" s="25">
        <f t="shared" si="19"/>
        <v>4.3478260869565216E-2</v>
      </c>
      <c r="AS8" s="25">
        <f t="shared" si="19"/>
        <v>0.1891891891891892</v>
      </c>
      <c r="AT8" s="25">
        <f t="shared" si="19"/>
        <v>0.24390243902439024</v>
      </c>
      <c r="AU8" s="25">
        <f t="shared" si="19"/>
        <v>0.25531914893617019</v>
      </c>
      <c r="AV8" s="25">
        <f t="shared" si="19"/>
        <v>0.25490196078431371</v>
      </c>
      <c r="AW8" s="25">
        <f t="shared" si="19"/>
        <v>0.2857142857142857</v>
      </c>
      <c r="AX8" s="25">
        <f t="shared" si="19"/>
        <v>0.29629629629629628</v>
      </c>
      <c r="AY8" s="25">
        <f t="shared" si="19"/>
        <v>0.32727272727272727</v>
      </c>
      <c r="AZ8" s="25">
        <f t="shared" si="19"/>
        <v>0.25454545454545452</v>
      </c>
      <c r="BA8" s="25">
        <f t="shared" si="19"/>
        <v>0.2711864406779661</v>
      </c>
      <c r="BB8" s="25">
        <f t="shared" si="19"/>
        <v>0.2857142857142857</v>
      </c>
      <c r="BC8" s="25">
        <f t="shared" si="19"/>
        <v>0.33333333333333331</v>
      </c>
      <c r="BD8" s="25">
        <f t="shared" si="19"/>
        <v>0.32692307692307693</v>
      </c>
      <c r="BE8" s="25">
        <f t="shared" si="19"/>
        <v>0.32075471698113206</v>
      </c>
      <c r="BF8" s="25">
        <f t="shared" si="19"/>
        <v>0.3125</v>
      </c>
      <c r="BG8" s="25">
        <f t="shared" si="19"/>
        <v>0.41666666666666669</v>
      </c>
      <c r="BH8" s="25">
        <f t="shared" si="19"/>
        <v>0.38461538461538464</v>
      </c>
      <c r="BI8" s="25">
        <f t="shared" si="19"/>
        <v>0.47826086956521741</v>
      </c>
      <c r="BJ8" s="25">
        <f t="shared" ref="BJ8:BK8" si="20">IFERROR(BJ4/(BJ4+BJ6),"N/a")</f>
        <v>0.33333333333333331</v>
      </c>
      <c r="BK8" s="25">
        <f t="shared" si="20"/>
        <v>0.25</v>
      </c>
      <c r="BL8" s="25">
        <f t="shared" ref="BL8:BM8" si="21">IFERROR(BL4/(BL4+BL6),"N/a")</f>
        <v>0.5</v>
      </c>
      <c r="BM8" s="25">
        <f t="shared" si="21"/>
        <v>0.2857142857142857</v>
      </c>
      <c r="BN8" s="25">
        <f t="shared" ref="BN8:BP8" si="22">IFERROR(BN4/(BN4+BN6),"N/a")</f>
        <v>0.5</v>
      </c>
      <c r="BO8" s="25">
        <f t="shared" si="22"/>
        <v>0.2</v>
      </c>
      <c r="BP8" s="25">
        <f t="shared" si="22"/>
        <v>1</v>
      </c>
    </row>
    <row r="13" spans="1:68" x14ac:dyDescent="0.3">
      <c r="W13" s="31"/>
    </row>
    <row r="14" spans="1:68" x14ac:dyDescent="0.3">
      <c r="W14" s="31"/>
    </row>
    <row r="15" spans="1:68" x14ac:dyDescent="0.3">
      <c r="W15" s="31"/>
    </row>
    <row r="16" spans="1:68" x14ac:dyDescent="0.3">
      <c r="W16" s="31"/>
    </row>
    <row r="17" spans="20:23" x14ac:dyDescent="0.3">
      <c r="W17" s="31"/>
    </row>
    <row r="18" spans="20:23" x14ac:dyDescent="0.3">
      <c r="W18" s="31"/>
    </row>
    <row r="19" spans="20:23" x14ac:dyDescent="0.3">
      <c r="W19" s="31"/>
    </row>
    <row r="20" spans="20:23" x14ac:dyDescent="0.3">
      <c r="W20" s="31"/>
    </row>
    <row r="21" spans="20:23" x14ac:dyDescent="0.3">
      <c r="W21" s="31"/>
    </row>
    <row r="22" spans="20:23" x14ac:dyDescent="0.3">
      <c r="W22" s="31"/>
    </row>
    <row r="23" spans="20:23" x14ac:dyDescent="0.3">
      <c r="W23" s="31"/>
    </row>
    <row r="24" spans="20:23" x14ac:dyDescent="0.3">
      <c r="T24" s="31"/>
      <c r="W24" s="31"/>
    </row>
    <row r="25" spans="20:23" x14ac:dyDescent="0.3">
      <c r="T25" s="31"/>
      <c r="W25" s="31"/>
    </row>
    <row r="26" spans="20:23" x14ac:dyDescent="0.3">
      <c r="T26" s="31"/>
      <c r="W26" s="31"/>
    </row>
    <row r="27" spans="20:23" x14ac:dyDescent="0.3">
      <c r="T27" s="31"/>
      <c r="W27" s="31"/>
    </row>
    <row r="28" spans="20:23" x14ac:dyDescent="0.3">
      <c r="T28" s="31"/>
      <c r="W28" s="31"/>
    </row>
    <row r="29" spans="20:23" x14ac:dyDescent="0.3">
      <c r="T29" s="31"/>
      <c r="W29" s="31"/>
    </row>
    <row r="30" spans="20:23" x14ac:dyDescent="0.3">
      <c r="T30" s="31"/>
      <c r="W30" s="31"/>
    </row>
    <row r="31" spans="20:23" x14ac:dyDescent="0.3">
      <c r="T31" s="31"/>
    </row>
    <row r="32" spans="20:23" x14ac:dyDescent="0.3">
      <c r="T32" s="31"/>
    </row>
    <row r="33" spans="20:20" x14ac:dyDescent="0.3">
      <c r="T33" s="31"/>
    </row>
    <row r="34" spans="20:20" x14ac:dyDescent="0.3">
      <c r="T34" s="31"/>
    </row>
    <row r="35" spans="20:20" x14ac:dyDescent="0.3">
      <c r="T35" s="31"/>
    </row>
    <row r="36" spans="20:20" x14ac:dyDescent="0.3">
      <c r="T36" s="31"/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1B3D-8177-41A8-966A-D6EA9EBCDE35}">
  <dimension ref="A2:B3"/>
  <sheetViews>
    <sheetView workbookViewId="0"/>
  </sheetViews>
  <sheetFormatPr defaultRowHeight="14.5" x14ac:dyDescent="0.3"/>
  <sheetData>
    <row r="2" spans="1:2" x14ac:dyDescent="0.3">
      <c r="A2" t="s">
        <v>32</v>
      </c>
      <c r="B2" t="s">
        <v>33</v>
      </c>
    </row>
    <row r="3" spans="1:2" x14ac:dyDescent="0.3">
      <c r="A3" t="s">
        <v>34</v>
      </c>
      <c r="B3" t="s">
        <v>35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FFF927-166D-4229-B2C6-064212B6C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TI036 Summary</vt:lpstr>
      <vt:lpstr>Component replacement Pareto</vt:lpstr>
      <vt:lpstr>PIVOT</vt:lpstr>
      <vt:lpstr>Fail Information</vt:lpstr>
      <vt:lpstr>PN Dictionary</vt:lpstr>
      <vt:lpstr>TD004 Summary</vt:lpstr>
      <vt:lpstr>FG001 Summary</vt:lpstr>
      <vt:lpstr>MA023 Summary </vt:lpstr>
      <vt:lpstr>xAI_TW008 Summary</vt:lpstr>
    </vt:vector>
  </TitlesOfParts>
  <Company>Super Micro Computers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Mason Lee - TW (SR)</cp:lastModifiedBy>
  <cp:lastPrinted>2025-08-04T18:07:15Z</cp:lastPrinted>
  <dcterms:created xsi:type="dcterms:W3CDTF">2025-07-10T18:30:22Z</dcterms:created>
  <dcterms:modified xsi:type="dcterms:W3CDTF">2026-04-23T12:59:09Z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ew0KICAiZG9jSUQiOiAiZDAxYTczOWQtZDkyYS00OWI4LTliOGUtZTgzNWQ2MTczYzk2Ig0KfQ==</vt:lpwstr>
  </property>
  <property fmtid="{D5CDD505-2E9C-101B-9397-08002B2CF9AE}" pid="3" name="GVData0">
    <vt:lpwstr>(end)</vt:lpwstr>
  </property>
</Properties>
</file>