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Raw_Data" sheetId="1" r:id="rId1"/>
    <sheet name="2_Summary" sheetId="2" r:id="rId2"/>
    <sheet name="3_Trend" sheetId="3" r:id="rId3"/>
    <sheet name="4_Correlation" sheetId="4" r:id="rId4"/>
    <sheet name="5_Anomaly" sheetId="5" r:id="rId5"/>
    <sheet name="6_Charts" sheetId="6" r:id="rId6"/>
  </sheets>
  <definedNames>
    <definedName name="_xlnm._FilterDatabase" localSheetId="0" hidden="1">'1_Raw_Data'!$A$1:$M$61</definedName>
  </definedNames>
  <calcPr calcId="124519" fullCalcOnLoad="1"/>
</workbook>
</file>

<file path=xl/sharedStrings.xml><?xml version="1.0" encoding="utf-8"?>
<sst xmlns="http://schemas.openxmlformats.org/spreadsheetml/2006/main" count="334" uniqueCount="188">
  <si>
    <t>Date</t>
  </si>
  <si>
    <t>Day</t>
  </si>
  <si>
    <t>Sidecar</t>
  </si>
  <si>
    <t>In-Row Piping</t>
  </si>
  <si>
    <t>RDHx600EC+Belimo</t>
  </si>
  <si>
    <t>RDHx600EC Extender</t>
  </si>
  <si>
    <t>RDHx600DC+Belimo</t>
  </si>
  <si>
    <t>RDHx600DC Extender</t>
  </si>
  <si>
    <t>RDHx762DC+Belimo</t>
  </si>
  <si>
    <t>RDHx762DC Extender</t>
  </si>
  <si>
    <t>In-Row CDU</t>
  </si>
  <si>
    <t>Daily Total</t>
  </si>
  <si>
    <t>Inspection Result</t>
  </si>
  <si>
    <t>Monday</t>
  </si>
  <si>
    <t>Tuesday</t>
  </si>
  <si>
    <t>24 units of LCS-SPAT-A00070-01-TW008 PASS</t>
  </si>
  <si>
    <t>Wednesday</t>
  </si>
  <si>
    <t>5 units of LCS-SCDU-050AR003 PASS</t>
  </si>
  <si>
    <t>Thursday</t>
  </si>
  <si>
    <t>5 units of LCS-SCDU-050AR003(RDHx)</t>
  </si>
  <si>
    <t>Friday</t>
  </si>
  <si>
    <t>Saturday</t>
  </si>
  <si>
    <t>10 units of LCS-SCDU-050AR003(RDHx)</t>
  </si>
  <si>
    <t>5 units of LCS-SCDU-050AR003(RDHx)</t>
  </si>
  <si>
    <t>5 units of LCS-SCDU-050AR003(RDHx) PASS</t>
  </si>
  <si>
    <t>2 units of Sidecar PASS</t>
  </si>
  <si>
    <t>5 units of RDHx PASS</t>
  </si>
  <si>
    <t>5 units of Sidecar PASS</t>
  </si>
  <si>
    <t>5 units of RDHx 600-DC PASS</t>
  </si>
  <si>
    <t>1 units of In Row Piping PASS</t>
  </si>
  <si>
    <t>5 sets of Belimo PASS</t>
  </si>
  <si>
    <t>5 sets of Belimo (762-DC) PASS</t>
  </si>
  <si>
    <t>3 sets of LCS-SCDU-200AR001 (Sidecar) PASS</t>
  </si>
  <si>
    <t>5 sets of Belimo (600-DC) PASS</t>
  </si>
  <si>
    <t>5 sets of Belimo (600-EC) PASS</t>
  </si>
  <si>
    <t>3 sets of In-Row CDU PASS</t>
  </si>
  <si>
    <t>5 sets of Sidecar PASS</t>
  </si>
  <si>
    <t>Kaori Inspection Analysis — Executive Summary</t>
  </si>
  <si>
    <t>Period: 2025-11-17 → 2026-04-21   |   Total Inspection Days: 60   |   Grand Total Units: 5,492   |   Pass Rate: 100%</t>
  </si>
  <si>
    <t>Key Performance Indicators</t>
  </si>
  <si>
    <t>Total Units</t>
  </si>
  <si>
    <t>Insp. Days</t>
  </si>
  <si>
    <t>Products</t>
  </si>
  <si>
    <t>Max Daily</t>
  </si>
  <si>
    <t>Avg Daily</t>
  </si>
  <si>
    <t>Product Breakdown by Volume</t>
  </si>
  <si>
    <t>Product</t>
  </si>
  <si>
    <t>Active Days</t>
  </si>
  <si>
    <t>Mean/Active Day</t>
  </si>
  <si>
    <t>Median</t>
  </si>
  <si>
    <t>Std Dev</t>
  </si>
  <si>
    <t>% of Total</t>
  </si>
  <si>
    <t>Category</t>
  </si>
  <si>
    <t>InRowPiping</t>
  </si>
  <si>
    <t>Piping</t>
  </si>
  <si>
    <t>RDHx600EC_Belimo</t>
  </si>
  <si>
    <t>RDHx 600-EC</t>
  </si>
  <si>
    <t>RDHx600EC_Extender</t>
  </si>
  <si>
    <t>RDHx600DC_Belimo</t>
  </si>
  <si>
    <t>RDHx 600-DC</t>
  </si>
  <si>
    <t>RDHx600DC_Extender</t>
  </si>
  <si>
    <t>RDHx762DC_Belimo</t>
  </si>
  <si>
    <t>RDHx 762-DC</t>
  </si>
  <si>
    <t>RDHx762DC_Extender</t>
  </si>
  <si>
    <t>InRowCDU</t>
  </si>
  <si>
    <t>Key Insights &amp; Actionable Recommendations</t>
  </si>
  <si>
    <t>🔑 Dominant Product</t>
  </si>
  <si>
    <t>RDHx 600-DC accounts for ~62% of total volume (Belimo+Extender combined). Any supply chain disruption here will have outsized impact on delivery schedule.</t>
  </si>
  <si>
    <t>📈 Production Ramp-Up</t>
  </si>
  <si>
    <t>Daily output surged from ~24 units (Nov 2025) to 180 units (Dec 18, 2025), a 7.5× increase in one month — indicating aggressive capacity scaling in Dec.</t>
  </si>
  <si>
    <t>🆕 Product Diversification</t>
  </si>
  <si>
    <t>RDHx 762-DC (introduced Feb 2026) quickly became the second-largest product, reaching 220+ units/day. Product mix is shifting toward 762-DC series.</t>
  </si>
  <si>
    <t>✅ Quality Performance</t>
  </si>
  <si>
    <t>100% Pass Rate across all 39 recorded inspection events — strong quality baseline. Recommend continuing sampling discipline as volumes increase.</t>
  </si>
  <si>
    <t>⚠️ Anomaly Alert — Feb 2026</t>
  </si>
  <si>
    <t>Three dates (Feb 12, 23, 25) exceed IQR upper threshold (222 units). Investigate whether this reflects a burst order or data entry spike.</t>
  </si>
  <si>
    <t>📅 Inspection Frequency</t>
  </si>
  <si>
    <t>Phase 1 (Nov-Jan): daily inspections. Phase 2 (Feb-Apr): bi-weekly pattern. Consider restoring daily frequency for new 762-DC volumes.</t>
  </si>
  <si>
    <t>💡 Decision Recommendation</t>
  </si>
  <si>
    <t>Focus supplier management on RDHx 600-DC &amp; 762-DC lines. Diversify away from single-supplier risk given combined 87% volume concentration.</t>
  </si>
  <si>
    <t>Trend Analysis — Monthly &amp; Weekly Production Volume</t>
  </si>
  <si>
    <t>Monthly Production Summary</t>
  </si>
  <si>
    <t>Month</t>
  </si>
  <si>
    <t>RDHx600EC Belimo</t>
  </si>
  <si>
    <t>RDHx600EC Ext.</t>
  </si>
  <si>
    <t>RDHx600DC Belimo</t>
  </si>
  <si>
    <t>RDHx600DC Ext.</t>
  </si>
  <si>
    <t>RDHx762DC Belimo</t>
  </si>
  <si>
    <t>RDHx762DC Ext.</t>
  </si>
  <si>
    <t>Monthly Total</t>
  </si>
  <si>
    <t>MoM Growth %</t>
  </si>
  <si>
    <t>2025-11</t>
  </si>
  <si>
    <t>—</t>
  </si>
  <si>
    <t>2025-12</t>
  </si>
  <si>
    <t>2026-01</t>
  </si>
  <si>
    <t>2026-02</t>
  </si>
  <si>
    <t>2026-03</t>
  </si>
  <si>
    <t>2026-04</t>
  </si>
  <si>
    <t>TOTAL</t>
  </si>
  <si>
    <t>Weekly Production Summary (Top Active Weeks)</t>
  </si>
  <si>
    <t>Week</t>
  </si>
  <si>
    <t>2026-02-23/2026-03-01</t>
  </si>
  <si>
    <t>2025-12-22/2025-12-28</t>
  </si>
  <si>
    <t>2025-12-15/2025-12-21</t>
  </si>
  <si>
    <t>2025-12-29/2026-01-04</t>
  </si>
  <si>
    <t>2026-03-16/2026-03-22</t>
  </si>
  <si>
    <t>2025-12-08/2025-12-14</t>
  </si>
  <si>
    <t>2026-03-09/2026-03-15</t>
  </si>
  <si>
    <t>2026-03-02/2026-03-08</t>
  </si>
  <si>
    <t>2025-12-01/2025-12-07</t>
  </si>
  <si>
    <t>2026-02-09/2026-02-15</t>
  </si>
  <si>
    <t>2025-11-24/2025-11-30</t>
  </si>
  <si>
    <t>2025-11-17/2025-11-23</t>
  </si>
  <si>
    <t>📊 Linear Trend Forecast — Slope: -81 units/month | Next Month Estimate: ~630 units</t>
  </si>
  <si>
    <t>Correlation Analysis — Product Volume Relationships</t>
  </si>
  <si>
    <t>Pearson Correlation</t>
  </si>
  <si>
    <t>Interpretation Guide</t>
  </si>
  <si>
    <t>■</t>
  </si>
  <si>
    <t>Moderate positive correlation (0.3–0.7): products tend to be inspected together</t>
  </si>
  <si>
    <t>Strong positive correlation (&gt;0.7): highly co-scheduled products</t>
  </si>
  <si>
    <t>Negative correlation: products are inspected on different days (expected for distinct phases)</t>
  </si>
  <si>
    <t>Diagonal = self-correlation = 1.000 (always perfect)</t>
  </si>
  <si>
    <t>💡 Key Finding: RDHx 762-DC Belimo &amp; Extender show near-perfect correlation (expected—always inspected together). RDHx 600-DC and 762-DC show negative correlation, confirming they represent sequential production phases (600-DC dominated Phase 1, 762-DC dominates Phase 2). Sidecar shows weak correlation with all RDHx products—independent production line.</t>
  </si>
  <si>
    <t>Anomaly Analysis — Outlier Detection &amp; Insights</t>
  </si>
  <si>
    <t>IQR Outlier Detection Statistics</t>
  </si>
  <si>
    <t>Method</t>
  </si>
  <si>
    <t>IQR (Interquartile Range) — industry standard for outlier detection</t>
  </si>
  <si>
    <t>Q1 (25th pct)</t>
  </si>
  <si>
    <t>40 units</t>
  </si>
  <si>
    <t>Q3 (75th pct)</t>
  </si>
  <si>
    <t>113 units</t>
  </si>
  <si>
    <t>IQR</t>
  </si>
  <si>
    <t>73 units</t>
  </si>
  <si>
    <t>Lower Bound</t>
  </si>
  <si>
    <t>-69.5 units (Q1 − 1.5×IQR)</t>
  </si>
  <si>
    <t>Upper Bound</t>
  </si>
  <si>
    <t>222.5 units (Q3 + 1.5×IQR)</t>
  </si>
  <si>
    <t>Outliers Found</t>
  </si>
  <si>
    <t>3 HIGH outliers, 0 LOW outliers</t>
  </si>
  <si>
    <t>Detected Anomalies (IQR Method)</t>
  </si>
  <si>
    <t>Anomaly Type</t>
  </si>
  <si>
    <t>RDHx600EC B.</t>
  </si>
  <si>
    <t>RDHx600EC E.</t>
  </si>
  <si>
    <t>RDHx600DC B.</t>
  </si>
  <si>
    <t>RDHx600DC E.</t>
  </si>
  <si>
    <t>RDHx762DC B.</t>
  </si>
  <si>
    <t>RDHx762DC E.</t>
  </si>
  <si>
    <t>vs Threshold Hi</t>
  </si>
  <si>
    <t>HIGH outlier</t>
  </si>
  <si>
    <t>+52 units above Hi</t>
  </si>
  <si>
    <t>+254 units above Hi</t>
  </si>
  <si>
    <t>+204 units above Hi</t>
  </si>
  <si>
    <t>Root Cause Analysis &amp; Recommendations</t>
  </si>
  <si>
    <t>Anomaly</t>
  </si>
  <si>
    <t>Likely Cause</t>
  </si>
  <si>
    <t>Recommendation</t>
  </si>
  <si>
    <t>2026-02-12</t>
  </si>
  <si>
    <t>+52 units above threshold (275 total)</t>
  </si>
  <si>
    <t>RDHx 762-DC introduced for first time — large initial batch to clear backlog</t>
  </si>
  <si>
    <t>Normal for product launch. Monitor next 3 batches for stabilization.</t>
  </si>
  <si>
    <t>2026-02-23</t>
  </si>
  <si>
    <t>+253 units above threshold (476 total — PEAK)</t>
  </si>
  <si>
    <t>Simultaneous surge in both 762-DC (220+224) and 600-DC (32) — possible deadline delivery push</t>
  </si>
  <si>
    <t>Validate against shipment schedule. If recurring, update baseline thresholds for Feb.</t>
  </si>
  <si>
    <t>2026-02-25</t>
  </si>
  <si>
    <t>+203 units above threshold (426 total)</t>
  </si>
  <si>
    <t>Continued high-volume 762-DC inspection (192+232) — 3-day sustained surge</t>
  </si>
  <si>
    <t>Investigate if this represents a catch-up sprint. Consider splitting into smaller daily batches.</t>
  </si>
  <si>
    <t>Visual Analytics Dashboard — Kaori Inspection Results 2511–2604</t>
  </si>
  <si>
    <t>Total</t>
  </si>
  <si>
    <t>RDHx600DC_sum</t>
  </si>
  <si>
    <t>RDHx762DC_sum</t>
  </si>
  <si>
    <t>RDHx600EC_sum</t>
  </si>
  <si>
    <t>12/18</t>
  </si>
  <si>
    <t>12/24</t>
  </si>
  <si>
    <t>12/26</t>
  </si>
  <si>
    <t>12/30</t>
  </si>
  <si>
    <t>12/31</t>
  </si>
  <si>
    <t>02/12</t>
  </si>
  <si>
    <t>02/23</t>
  </si>
  <si>
    <t>02/25</t>
  </si>
  <si>
    <t>03/03</t>
  </si>
  <si>
    <t>03/05</t>
  </si>
  <si>
    <t>03/10</t>
  </si>
  <si>
    <t>03/12</t>
  </si>
  <si>
    <t>03/17</t>
  </si>
  <si>
    <t>03/19</t>
  </si>
  <si>
    <t>03/31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</si>
</sst>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.0"/>
    <numFmt numFmtId="167" formatCode="0.0&quot;%&quot;"/>
    <numFmt numFmtId="168" formatCode="+0.0%;-0.0%"/>
    <numFmt numFmtId="169" formatCode="0.000"/>
  </numFmts>
  <fonts count="2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17375E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9"/>
      <color rgb="FF17375E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276221"/>
      <name val="Calibri"/>
      <family val="2"/>
      <scheme val="minor"/>
    </font>
    <font>
      <b/>
      <sz val="9"/>
      <color rgb="FF8B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BDD7EE"/>
      <name val="Calibri"/>
      <family val="2"/>
      <scheme val="minor"/>
    </font>
    <font>
      <sz val="14"/>
      <color rgb="FFAEE5C0"/>
      <name val="Calibri"/>
      <family val="2"/>
      <scheme val="minor"/>
    </font>
    <font>
      <sz val="14"/>
      <color rgb="FFFFB3B3"/>
      <name val="Calibri"/>
      <family val="2"/>
      <scheme val="minor"/>
    </font>
    <font>
      <sz val="14"/>
      <color rgb="FFD9D9D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D74B"/>
        <bgColor indexed="64"/>
      </patternFill>
    </fill>
    <fill>
      <patternFill patternType="solid">
        <fgColor rgb="FFB2D74D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3" fillId="3" borderId="1" xfId="0" applyNumberFormat="1" applyFont="1" applyFill="1" applyBorder="1"/>
    <xf numFmtId="0" fontId="4" fillId="0" borderId="1" xfId="0" applyFont="1" applyBorder="1" applyAlignment="1">
      <alignment vertical="center" wrapText="1"/>
    </xf>
    <xf numFmtId="165" fontId="3" fillId="4" borderId="1" xfId="0" applyNumberFormat="1" applyFont="1" applyFill="1" applyBorder="1"/>
    <xf numFmtId="0" fontId="5" fillId="0" borderId="2" xfId="0" applyFont="1" applyBorder="1"/>
    <xf numFmtId="0" fontId="1" fillId="5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6" borderId="1" xfId="0" applyFont="1" applyFill="1" applyBorder="1" applyAlignment="1">
      <alignment horizontal="center"/>
    </xf>
    <xf numFmtId="165" fontId="8" fillId="7" borderId="1" xfId="0" applyNumberFormat="1" applyFont="1" applyFill="1" applyBorder="1" applyAlignment="1">
      <alignment horizontal="center"/>
    </xf>
    <xf numFmtId="0" fontId="7" fillId="8" borderId="1" xfId="0" applyFont="1" applyFill="1" applyBorder="1"/>
    <xf numFmtId="165" fontId="2" fillId="8" borderId="1" xfId="0" applyNumberFormat="1" applyFont="1" applyFill="1" applyBorder="1"/>
    <xf numFmtId="166" fontId="2" fillId="8" borderId="1" xfId="0" applyNumberFormat="1" applyFont="1" applyFill="1" applyBorder="1"/>
    <xf numFmtId="167" fontId="2" fillId="8" borderId="1" xfId="0" applyNumberFormat="1" applyFont="1" applyFill="1" applyBorder="1"/>
    <xf numFmtId="0" fontId="7" fillId="7" borderId="1" xfId="0" applyFont="1" applyFill="1" applyBorder="1"/>
    <xf numFmtId="165" fontId="2" fillId="7" borderId="1" xfId="0" applyNumberFormat="1" applyFont="1" applyFill="1" applyBorder="1"/>
    <xf numFmtId="166" fontId="2" fillId="7" borderId="1" xfId="0" applyNumberFormat="1" applyFont="1" applyFill="1" applyBorder="1"/>
    <xf numFmtId="167" fontId="2" fillId="7" borderId="1" xfId="0" applyNumberFormat="1" applyFont="1" applyFill="1" applyBorder="1"/>
    <xf numFmtId="0" fontId="9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/>
    <xf numFmtId="0" fontId="3" fillId="8" borderId="1" xfId="0" applyFont="1" applyFill="1" applyBorder="1"/>
    <xf numFmtId="165" fontId="3" fillId="8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168" fontId="10" fillId="9" borderId="1" xfId="0" applyNumberFormat="1" applyFont="1" applyFill="1" applyBorder="1"/>
    <xf numFmtId="168" fontId="11" fillId="10" borderId="1" xfId="0" applyNumberFormat="1" applyFont="1" applyFill="1" applyBorder="1"/>
    <xf numFmtId="0" fontId="12" fillId="11" borderId="1" xfId="0" applyFont="1" applyFill="1" applyBorder="1" applyAlignment="1">
      <alignment wrapText="1"/>
    </xf>
    <xf numFmtId="169" fontId="13" fillId="3" borderId="1" xfId="0" applyNumberFormat="1" applyFont="1" applyFill="1" applyBorder="1" applyAlignment="1">
      <alignment horizontal="center"/>
    </xf>
    <xf numFmtId="169" fontId="14" fillId="7" borderId="1" xfId="0" applyNumberFormat="1" applyFont="1" applyFill="1" applyBorder="1" applyAlignment="1">
      <alignment horizontal="center"/>
    </xf>
    <xf numFmtId="169" fontId="14" fillId="6" borderId="1" xfId="0" applyNumberFormat="1" applyFont="1" applyFill="1" applyBorder="1" applyAlignment="1">
      <alignment horizontal="center"/>
    </xf>
    <xf numFmtId="169" fontId="14" fillId="10" borderId="1" xfId="0" applyNumberFormat="1" applyFont="1" applyFill="1" applyBorder="1" applyAlignment="1">
      <alignment horizontal="center"/>
    </xf>
    <xf numFmtId="169" fontId="14" fillId="12" borderId="1" xfId="0" applyNumberFormat="1" applyFont="1" applyFill="1" applyBorder="1" applyAlignment="1">
      <alignment horizontal="center"/>
    </xf>
    <xf numFmtId="169" fontId="14" fillId="13" borderId="1" xfId="0" applyNumberFormat="1" applyFont="1" applyFill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6" borderId="1" xfId="0" applyFont="1" applyFill="1" applyBorder="1" applyAlignment="1">
      <alignment vertical="center" wrapText="1"/>
    </xf>
    <xf numFmtId="0" fontId="7" fillId="6" borderId="1" xfId="0" applyFont="1" applyFill="1" applyBorder="1"/>
    <xf numFmtId="0" fontId="2" fillId="0" borderId="1" xfId="0" applyFont="1" applyBorder="1"/>
    <xf numFmtId="0" fontId="11" fillId="10" borderId="1" xfId="0" applyFont="1" applyFill="1" applyBorder="1"/>
    <xf numFmtId="165" fontId="2" fillId="0" borderId="1" xfId="0" applyNumberFormat="1" applyFont="1" applyBorder="1"/>
    <xf numFmtId="0" fontId="20" fillId="1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Total Production Volume (Units Inspected)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Units</c:v>
          </c:tx>
          <c:spPr>
            <a:ln w="31750">
              <a:solidFill>
                <a:srgbClr val="1F3864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'6_Charts'!$B$5:$B$10</c:f>
              <c:numCache>
                <c:formatCode>General</c:formatCode>
                <c:ptCount val="6"/>
                <c:pt idx="0">
                  <c:v>421</c:v>
                </c:pt>
                <c:pt idx="1">
                  <c:v>2192</c:v>
                </c:pt>
                <c:pt idx="2">
                  <c:v>161</c:v>
                </c:pt>
                <c:pt idx="3">
                  <c:v>1246</c:v>
                </c:pt>
                <c:pt idx="4">
                  <c:v>1306</c:v>
                </c:pt>
                <c:pt idx="5">
                  <c:v>166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Units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Product Mix (Stacked Bar)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RDHx600DC</c:v>
          </c:tx>
          <c:spPr>
            <a:solidFill>
              <a:srgbClr val="1F3864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'6_Charts'!$C$5:$C$10</c:f>
              <c:numCache>
                <c:formatCode>General</c:formatCode>
                <c:ptCount val="6"/>
                <c:pt idx="0">
                  <c:v>421</c:v>
                </c:pt>
                <c:pt idx="1">
                  <c:v>2192</c:v>
                </c:pt>
                <c:pt idx="2">
                  <c:v>152</c:v>
                </c:pt>
                <c:pt idx="3">
                  <c:v>56</c:v>
                </c:pt>
                <c:pt idx="4">
                  <c:v>192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RDHx762DC</c:v>
          </c:tx>
          <c:spPr>
            <a:solidFill>
              <a:srgbClr val="2E75B6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'6_Charts'!$D$5:$D$10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1116</c:v>
                </c:pt>
                <c:pt idx="4">
                  <c:v>1008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Sidecar</c:v>
          </c:tx>
          <c:spPr>
            <a:solidFill>
              <a:srgbClr val="ED7D31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'6_Charts'!$E$5:$E$10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69</c:v>
                </c:pt>
                <c:pt idx="4">
                  <c:v>10</c:v>
                </c:pt>
                <c:pt idx="5">
                  <c:v>73</c:v>
                </c:pt>
              </c:numCache>
            </c:numRef>
          </c:val>
        </c:ser>
        <c:ser>
          <c:idx val="3"/>
          <c:order val="3"/>
          <c:tx>
            <c:v>RDHx600EC</c:v>
          </c:tx>
          <c:spPr>
            <a:solidFill>
              <a:srgbClr val="70AD47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'6_Charts'!$F$5:$F$10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96</c:v>
                </c:pt>
                <c:pt idx="5">
                  <c:v>84</c:v>
                </c:pt>
              </c:numCache>
            </c:numRef>
          </c:val>
        </c:ser>
        <c:ser>
          <c:idx val="4"/>
          <c:order val="4"/>
          <c:tx>
            <c:v>In-Row CDU</c:v>
          </c:tx>
          <c:spPr>
            <a:solidFill>
              <a:srgbClr val="FFC000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'6_Charts'!$G$5:$G$10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</c:ser>
        <c:ser>
          <c:idx val="5"/>
          <c:order val="5"/>
          <c:tx>
            <c:v>In-Row Piping</c:v>
          </c:tx>
          <c:spPr>
            <a:solidFill>
              <a:srgbClr val="FF6699"/>
            </a:solidFill>
          </c:spPr>
          <c:cat>
            <c:strRef>
              <c:f>'6_Charts'!$A$5:$A$10</c:f>
              <c:strCache>
                <c:ptCount val="6"/>
                <c:pt idx="0">
                  <c:v>2025-11</c:v>
                </c:pt>
                <c:pt idx="1">
                  <c:v>2025-12</c:v>
                </c:pt>
                <c:pt idx="2">
                  <c:v>2026-01</c:v>
                </c:pt>
                <c:pt idx="3">
                  <c:v>2026-02</c:v>
                </c:pt>
                <c:pt idx="4">
                  <c:v>2026-03</c:v>
                </c:pt>
                <c:pt idx="5">
                  <c:v>2026-04</c:v>
                </c:pt>
              </c:strCache>
            </c:strRef>
          </c:cat>
          <c:val>
            <c:numRef>
              <c:f>'6_Charts'!$H$5:$H$10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80"/>
        <c:overlap val="100"/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Product Volume Share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Product Share</c:v>
          </c:tx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Pt>
            <c:idx val="2"/>
            <c:spPr>
              <a:solidFill>
                <a:srgbClr val="ED7D31"/>
              </a:solidFill>
            </c:spPr>
          </c:dPt>
          <c:dPt>
            <c:idx val="3"/>
            <c:spPr>
              <a:solidFill>
                <a:srgbClr val="70AD47"/>
              </a:solidFill>
            </c:spPr>
          </c:dPt>
          <c:dPt>
            <c:idx val="4"/>
            <c:spPr>
              <a:solidFill>
                <a:srgbClr val="FFC000"/>
              </a:solidFill>
            </c:spPr>
          </c:dPt>
          <c:dPt>
            <c:idx val="5"/>
            <c:spPr>
              <a:solidFill>
                <a:srgbClr val="FF6699"/>
              </a:solidFill>
            </c:spPr>
          </c:dPt>
          <c:dLbls>
            <c:showCatName val="1"/>
            <c:showPercent val="1"/>
            <c:separator>
</c:separator>
          </c:dLbls>
          <c:cat>
            <c:strRef>
              <c:f>'6_Charts'!$J$14:$J$19</c:f>
              <c:strCache>
                <c:ptCount val="6"/>
                <c:pt idx="0">
                  <c:v>RDHx 600-DC</c:v>
                </c:pt>
                <c:pt idx="1">
                  <c:v>RDHx 762-DC</c:v>
                </c:pt>
                <c:pt idx="2">
                  <c:v>Sidecar</c:v>
                </c:pt>
                <c:pt idx="3">
                  <c:v>RDHx 600-EC</c:v>
                </c:pt>
                <c:pt idx="4">
                  <c:v>In-Row CDU</c:v>
                </c:pt>
                <c:pt idx="5">
                  <c:v>In-Row Piping</c:v>
                </c:pt>
              </c:strCache>
            </c:strRef>
          </c:cat>
          <c:val>
            <c:numRef>
              <c:f>'6_Charts'!$K$14:$K$19</c:f>
              <c:numCache>
                <c:formatCode>General</c:formatCode>
                <c:ptCount val="6"/>
                <c:pt idx="0">
                  <c:v>3013</c:v>
                </c:pt>
                <c:pt idx="1">
                  <c:v>2124</c:v>
                </c:pt>
                <c:pt idx="2">
                  <c:v>158</c:v>
                </c:pt>
                <c:pt idx="3">
                  <c:v>180</c:v>
                </c:pt>
                <c:pt idx="4">
                  <c:v>9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15 Highest Production Days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Daily Total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'6_Charts'!$J$23:$J$37</c:f>
              <c:strCache>
                <c:ptCount val="15"/>
                <c:pt idx="0">
                  <c:v>12/18</c:v>
                </c:pt>
                <c:pt idx="1">
                  <c:v>12/24</c:v>
                </c:pt>
                <c:pt idx="2">
                  <c:v>12/26</c:v>
                </c:pt>
                <c:pt idx="3">
                  <c:v>12/30</c:v>
                </c:pt>
                <c:pt idx="4">
                  <c:v>12/31</c:v>
                </c:pt>
                <c:pt idx="5">
                  <c:v>02/12</c:v>
                </c:pt>
                <c:pt idx="6">
                  <c:v>02/23</c:v>
                </c:pt>
                <c:pt idx="7">
                  <c:v>02/25</c:v>
                </c:pt>
                <c:pt idx="8">
                  <c:v>03/03</c:v>
                </c:pt>
                <c:pt idx="9">
                  <c:v>03/05</c:v>
                </c:pt>
                <c:pt idx="10">
                  <c:v>03/10</c:v>
                </c:pt>
                <c:pt idx="11">
                  <c:v>03/12</c:v>
                </c:pt>
                <c:pt idx="12">
                  <c:v>03/17</c:v>
                </c:pt>
                <c:pt idx="13">
                  <c:v>03/19</c:v>
                </c:pt>
                <c:pt idx="14">
                  <c:v>03/31</c:v>
                </c:pt>
              </c:strCache>
            </c:strRef>
          </c:cat>
          <c:val>
            <c:numRef>
              <c:f>'6_Charts'!$K$23:$K$37</c:f>
              <c:numCache>
                <c:formatCode>General</c:formatCode>
                <c:ptCount val="15"/>
                <c:pt idx="0">
                  <c:v>180</c:v>
                </c:pt>
                <c:pt idx="1">
                  <c:v>132</c:v>
                </c:pt>
                <c:pt idx="2">
                  <c:v>116</c:v>
                </c:pt>
                <c:pt idx="3">
                  <c:v>132</c:v>
                </c:pt>
                <c:pt idx="4">
                  <c:v>132</c:v>
                </c:pt>
                <c:pt idx="5">
                  <c:v>275</c:v>
                </c:pt>
                <c:pt idx="6">
                  <c:v>476</c:v>
                </c:pt>
                <c:pt idx="7">
                  <c:v>426</c:v>
                </c:pt>
                <c:pt idx="8">
                  <c:v>176</c:v>
                </c:pt>
                <c:pt idx="9">
                  <c:v>176</c:v>
                </c:pt>
                <c:pt idx="10">
                  <c:v>200</c:v>
                </c:pt>
                <c:pt idx="11">
                  <c:v>172</c:v>
                </c:pt>
                <c:pt idx="12">
                  <c:v>200</c:v>
                </c:pt>
                <c:pt idx="13">
                  <c:v>196</c:v>
                </c:pt>
                <c:pt idx="14">
                  <c:v>176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47625</xdr:rowOff>
    </xdr:from>
    <xdr:to>
      <xdr:col>9</xdr:col>
      <xdr:colOff>276225</xdr:colOff>
      <xdr:row>18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21</xdr:row>
      <xdr:rowOff>47625</xdr:rowOff>
    </xdr:from>
    <xdr:to>
      <xdr:col>9</xdr:col>
      <xdr:colOff>276225</xdr:colOff>
      <xdr:row>37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2</xdr:row>
      <xdr:rowOff>47625</xdr:rowOff>
    </xdr:from>
    <xdr:to>
      <xdr:col>17</xdr:col>
      <xdr:colOff>352425</xdr:colOff>
      <xdr:row>19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</xdr:colOff>
      <xdr:row>21</xdr:row>
      <xdr:rowOff>47625</xdr:rowOff>
    </xdr:from>
    <xdr:to>
      <xdr:col>17</xdr:col>
      <xdr:colOff>542925</xdr:colOff>
      <xdr:row>36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  <col min="3" max="3" width="9.7109375" customWidth="1"/>
    <col min="4" max="4" width="12.7109375" customWidth="1"/>
    <col min="5" max="10" width="16.7109375" customWidth="1"/>
    <col min="11" max="11" width="12.7109375" customWidth="1"/>
    <col min="12" max="12" width="11.7109375" customWidth="1"/>
    <col min="13" max="13" width="50.7109375" customWidth="1"/>
  </cols>
  <sheetData>
    <row r="1" spans="1:13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45978</v>
      </c>
      <c r="B2" s="3" t="s">
        <v>13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24</v>
      </c>
      <c r="I2" s="4">
        <v>0</v>
      </c>
      <c r="J2" s="4">
        <v>0</v>
      </c>
      <c r="K2" s="4">
        <v>0</v>
      </c>
      <c r="L2" s="5">
        <v>24</v>
      </c>
      <c r="M2" s="6"/>
    </row>
    <row r="3" spans="1:13">
      <c r="A3" s="2">
        <v>45979</v>
      </c>
      <c r="B3" s="3" t="s">
        <v>14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24</v>
      </c>
      <c r="I3" s="4">
        <v>0</v>
      </c>
      <c r="J3" s="4">
        <v>0</v>
      </c>
      <c r="K3" s="4">
        <v>0</v>
      </c>
      <c r="L3" s="5">
        <v>24</v>
      </c>
      <c r="M3" s="6" t="s">
        <v>15</v>
      </c>
    </row>
    <row r="4" spans="1:13">
      <c r="A4" s="2">
        <v>45980</v>
      </c>
      <c r="B4" s="3" t="s">
        <v>16</v>
      </c>
      <c r="C4" s="4">
        <v>0</v>
      </c>
      <c r="D4" s="4">
        <v>0</v>
      </c>
      <c r="E4" s="4">
        <v>0</v>
      </c>
      <c r="F4" s="4">
        <v>0</v>
      </c>
      <c r="G4" s="4">
        <v>5</v>
      </c>
      <c r="H4" s="4">
        <v>0</v>
      </c>
      <c r="I4" s="4">
        <v>0</v>
      </c>
      <c r="J4" s="4">
        <v>0</v>
      </c>
      <c r="K4" s="4">
        <v>0</v>
      </c>
      <c r="L4" s="5">
        <v>5</v>
      </c>
      <c r="M4" s="6" t="s">
        <v>17</v>
      </c>
    </row>
    <row r="5" spans="1:13">
      <c r="A5" s="2">
        <v>45981</v>
      </c>
      <c r="B5" s="3" t="s">
        <v>18</v>
      </c>
      <c r="C5" s="4">
        <v>0</v>
      </c>
      <c r="D5" s="4">
        <v>0</v>
      </c>
      <c r="E5" s="4">
        <v>0</v>
      </c>
      <c r="F5" s="4">
        <v>0</v>
      </c>
      <c r="G5" s="4">
        <v>24</v>
      </c>
      <c r="H5" s="4">
        <v>24</v>
      </c>
      <c r="I5" s="4">
        <v>0</v>
      </c>
      <c r="J5" s="4">
        <v>0</v>
      </c>
      <c r="K5" s="4">
        <v>0</v>
      </c>
      <c r="L5" s="5">
        <v>48</v>
      </c>
      <c r="M5" s="6" t="s">
        <v>19</v>
      </c>
    </row>
    <row r="6" spans="1:13">
      <c r="A6" s="2">
        <v>45982</v>
      </c>
      <c r="B6" s="3" t="s">
        <v>20</v>
      </c>
      <c r="C6" s="4">
        <v>0</v>
      </c>
      <c r="D6" s="4">
        <v>0</v>
      </c>
      <c r="E6" s="4">
        <v>0</v>
      </c>
      <c r="F6" s="4">
        <v>0</v>
      </c>
      <c r="G6" s="4">
        <v>24</v>
      </c>
      <c r="H6" s="4">
        <v>24</v>
      </c>
      <c r="I6" s="4">
        <v>0</v>
      </c>
      <c r="J6" s="4">
        <v>0</v>
      </c>
      <c r="K6" s="4">
        <v>0</v>
      </c>
      <c r="L6" s="5">
        <v>48</v>
      </c>
      <c r="M6" s="6"/>
    </row>
    <row r="7" spans="1:13">
      <c r="A7" s="2">
        <v>45983</v>
      </c>
      <c r="B7" s="3" t="s">
        <v>21</v>
      </c>
      <c r="C7" s="4">
        <v>0</v>
      </c>
      <c r="D7" s="4">
        <v>0</v>
      </c>
      <c r="E7" s="4">
        <v>0</v>
      </c>
      <c r="F7" s="4">
        <v>0</v>
      </c>
      <c r="G7" s="4">
        <v>24</v>
      </c>
      <c r="H7" s="4">
        <v>24</v>
      </c>
      <c r="I7" s="4">
        <v>0</v>
      </c>
      <c r="J7" s="4">
        <v>0</v>
      </c>
      <c r="K7" s="4">
        <v>0</v>
      </c>
      <c r="L7" s="5">
        <v>48</v>
      </c>
      <c r="M7" s="6"/>
    </row>
    <row r="8" spans="1:13">
      <c r="A8" s="2">
        <v>45985</v>
      </c>
      <c r="B8" s="3" t="s">
        <v>13</v>
      </c>
      <c r="C8" s="4">
        <v>0</v>
      </c>
      <c r="D8" s="4">
        <v>0</v>
      </c>
      <c r="E8" s="4">
        <v>0</v>
      </c>
      <c r="F8" s="4">
        <v>0</v>
      </c>
      <c r="G8" s="4">
        <v>24</v>
      </c>
      <c r="H8" s="4">
        <v>24</v>
      </c>
      <c r="I8" s="4">
        <v>0</v>
      </c>
      <c r="J8" s="4">
        <v>0</v>
      </c>
      <c r="K8" s="4">
        <v>0</v>
      </c>
      <c r="L8" s="5">
        <v>48</v>
      </c>
      <c r="M8" s="6" t="s">
        <v>22</v>
      </c>
    </row>
    <row r="9" spans="1:13">
      <c r="A9" s="2">
        <v>45986</v>
      </c>
      <c r="B9" s="3" t="s">
        <v>14</v>
      </c>
      <c r="C9" s="4">
        <v>0</v>
      </c>
      <c r="D9" s="4">
        <v>0</v>
      </c>
      <c r="E9" s="4">
        <v>0</v>
      </c>
      <c r="F9" s="4">
        <v>0</v>
      </c>
      <c r="G9" s="4">
        <v>24</v>
      </c>
      <c r="H9" s="4">
        <v>24</v>
      </c>
      <c r="I9" s="4">
        <v>0</v>
      </c>
      <c r="J9" s="4">
        <v>0</v>
      </c>
      <c r="K9" s="4">
        <v>0</v>
      </c>
      <c r="L9" s="5">
        <v>48</v>
      </c>
      <c r="M9" s="6"/>
    </row>
    <row r="10" spans="1:13">
      <c r="A10" s="2">
        <v>45987</v>
      </c>
      <c r="B10" s="3" t="s">
        <v>16</v>
      </c>
      <c r="C10" s="4">
        <v>0</v>
      </c>
      <c r="D10" s="4">
        <v>0</v>
      </c>
      <c r="E10" s="4">
        <v>0</v>
      </c>
      <c r="F10" s="4">
        <v>0</v>
      </c>
      <c r="G10" s="4">
        <v>24</v>
      </c>
      <c r="H10" s="4">
        <v>24</v>
      </c>
      <c r="I10" s="4">
        <v>0</v>
      </c>
      <c r="J10" s="4">
        <v>0</v>
      </c>
      <c r="K10" s="4">
        <v>0</v>
      </c>
      <c r="L10" s="5">
        <v>48</v>
      </c>
      <c r="M10" s="6" t="s">
        <v>22</v>
      </c>
    </row>
    <row r="11" spans="1:13">
      <c r="A11" s="2">
        <v>45988</v>
      </c>
      <c r="B11" s="3" t="s">
        <v>18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6"/>
    </row>
    <row r="12" spans="1:13">
      <c r="A12" s="2">
        <v>45989</v>
      </c>
      <c r="B12" s="3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24</v>
      </c>
      <c r="H12" s="4">
        <v>24</v>
      </c>
      <c r="I12" s="4">
        <v>0</v>
      </c>
      <c r="J12" s="4">
        <v>0</v>
      </c>
      <c r="K12" s="4">
        <v>0</v>
      </c>
      <c r="L12" s="5">
        <v>48</v>
      </c>
      <c r="M12" s="6" t="s">
        <v>22</v>
      </c>
    </row>
    <row r="13" spans="1:13">
      <c r="A13" s="2">
        <v>45990</v>
      </c>
      <c r="B13" s="3" t="s">
        <v>21</v>
      </c>
      <c r="C13" s="4">
        <v>0</v>
      </c>
      <c r="D13" s="4">
        <v>0</v>
      </c>
      <c r="E13" s="4">
        <v>0</v>
      </c>
      <c r="F13" s="4">
        <v>0</v>
      </c>
      <c r="G13" s="4">
        <v>8</v>
      </c>
      <c r="H13" s="4">
        <v>24</v>
      </c>
      <c r="I13" s="4">
        <v>0</v>
      </c>
      <c r="J13" s="4">
        <v>0</v>
      </c>
      <c r="K13" s="4">
        <v>0</v>
      </c>
      <c r="L13" s="5">
        <v>32</v>
      </c>
      <c r="M13" s="6"/>
    </row>
    <row r="14" spans="1:13">
      <c r="A14" s="2">
        <v>45992</v>
      </c>
      <c r="B14" s="3" t="s">
        <v>13</v>
      </c>
      <c r="C14" s="4">
        <v>0</v>
      </c>
      <c r="D14" s="4">
        <v>0</v>
      </c>
      <c r="E14" s="4">
        <v>0</v>
      </c>
      <c r="F14" s="4">
        <v>0</v>
      </c>
      <c r="G14" s="4">
        <v>24</v>
      </c>
      <c r="H14" s="4">
        <v>32</v>
      </c>
      <c r="I14" s="4">
        <v>0</v>
      </c>
      <c r="J14" s="4">
        <v>0</v>
      </c>
      <c r="K14" s="4">
        <v>0</v>
      </c>
      <c r="L14" s="5">
        <v>56</v>
      </c>
      <c r="M14" s="6" t="s">
        <v>22</v>
      </c>
    </row>
    <row r="15" spans="1:13">
      <c r="A15" s="2">
        <v>45993</v>
      </c>
      <c r="B15" s="3" t="s">
        <v>14</v>
      </c>
      <c r="C15" s="4">
        <v>0</v>
      </c>
      <c r="D15" s="4">
        <v>0</v>
      </c>
      <c r="E15" s="4">
        <v>0</v>
      </c>
      <c r="F15" s="4">
        <v>0</v>
      </c>
      <c r="G15" s="4">
        <v>24</v>
      </c>
      <c r="H15" s="4">
        <v>32</v>
      </c>
      <c r="I15" s="4">
        <v>0</v>
      </c>
      <c r="J15" s="4">
        <v>0</v>
      </c>
      <c r="K15" s="4">
        <v>0</v>
      </c>
      <c r="L15" s="5">
        <v>56</v>
      </c>
      <c r="M15" s="6"/>
    </row>
    <row r="16" spans="1:13">
      <c r="A16" s="2">
        <v>45994</v>
      </c>
      <c r="B16" s="3" t="s">
        <v>16</v>
      </c>
      <c r="C16" s="4">
        <v>0</v>
      </c>
      <c r="D16" s="4">
        <v>0</v>
      </c>
      <c r="E16" s="4">
        <v>0</v>
      </c>
      <c r="F16" s="4">
        <v>0</v>
      </c>
      <c r="G16" s="4">
        <v>32</v>
      </c>
      <c r="H16" s="4">
        <v>32</v>
      </c>
      <c r="I16" s="4">
        <v>0</v>
      </c>
      <c r="J16" s="4">
        <v>0</v>
      </c>
      <c r="K16" s="4">
        <v>0</v>
      </c>
      <c r="L16" s="5">
        <v>64</v>
      </c>
      <c r="M16" s="6" t="s">
        <v>22</v>
      </c>
    </row>
    <row r="17" spans="1:13">
      <c r="A17" s="2">
        <v>45995</v>
      </c>
      <c r="B17" s="3" t="s">
        <v>18</v>
      </c>
      <c r="C17" s="4">
        <v>0</v>
      </c>
      <c r="D17" s="4">
        <v>0</v>
      </c>
      <c r="E17" s="4">
        <v>0</v>
      </c>
      <c r="F17" s="4">
        <v>0</v>
      </c>
      <c r="G17" s="4">
        <v>24</v>
      </c>
      <c r="H17" s="4">
        <v>32</v>
      </c>
      <c r="I17" s="4">
        <v>0</v>
      </c>
      <c r="J17" s="4">
        <v>0</v>
      </c>
      <c r="K17" s="4">
        <v>0</v>
      </c>
      <c r="L17" s="5">
        <v>56</v>
      </c>
      <c r="M17" s="6"/>
    </row>
    <row r="18" spans="1:13">
      <c r="A18" s="2">
        <v>45996</v>
      </c>
      <c r="B18" s="3" t="s">
        <v>20</v>
      </c>
      <c r="C18" s="4">
        <v>0</v>
      </c>
      <c r="D18" s="4">
        <v>0</v>
      </c>
      <c r="E18" s="4">
        <v>0</v>
      </c>
      <c r="F18" s="4">
        <v>0</v>
      </c>
      <c r="G18" s="4">
        <v>32</v>
      </c>
      <c r="H18" s="4">
        <v>32</v>
      </c>
      <c r="I18" s="4">
        <v>0</v>
      </c>
      <c r="J18" s="4">
        <v>0</v>
      </c>
      <c r="K18" s="4">
        <v>0</v>
      </c>
      <c r="L18" s="5">
        <v>64</v>
      </c>
      <c r="M18" s="6" t="s">
        <v>23</v>
      </c>
    </row>
    <row r="19" spans="1:13">
      <c r="A19" s="2">
        <v>45997</v>
      </c>
      <c r="B19" s="3" t="s">
        <v>21</v>
      </c>
      <c r="C19" s="4">
        <v>0</v>
      </c>
      <c r="D19" s="4">
        <v>0</v>
      </c>
      <c r="E19" s="4">
        <v>0</v>
      </c>
      <c r="F19" s="4">
        <v>0</v>
      </c>
      <c r="G19" s="4">
        <v>8</v>
      </c>
      <c r="H19" s="4">
        <v>32</v>
      </c>
      <c r="I19" s="4">
        <v>0</v>
      </c>
      <c r="J19" s="4">
        <v>0</v>
      </c>
      <c r="K19" s="4">
        <v>0</v>
      </c>
      <c r="L19" s="5">
        <v>40</v>
      </c>
      <c r="M19" s="6"/>
    </row>
    <row r="20" spans="1:13">
      <c r="A20" s="2">
        <v>45999</v>
      </c>
      <c r="B20" s="3" t="s">
        <v>13</v>
      </c>
      <c r="C20" s="4">
        <v>0</v>
      </c>
      <c r="D20" s="4">
        <v>0</v>
      </c>
      <c r="E20" s="4">
        <v>0</v>
      </c>
      <c r="F20" s="4">
        <v>0</v>
      </c>
      <c r="G20" s="4">
        <v>32</v>
      </c>
      <c r="H20" s="4">
        <v>32</v>
      </c>
      <c r="I20" s="4">
        <v>0</v>
      </c>
      <c r="J20" s="4">
        <v>0</v>
      </c>
      <c r="K20" s="4">
        <v>0</v>
      </c>
      <c r="L20" s="5">
        <v>64</v>
      </c>
      <c r="M20" s="6" t="s">
        <v>19</v>
      </c>
    </row>
    <row r="21" spans="1:13">
      <c r="A21" s="2">
        <v>46000</v>
      </c>
      <c r="B21" s="3" t="s">
        <v>14</v>
      </c>
      <c r="C21" s="4">
        <v>0</v>
      </c>
      <c r="D21" s="4">
        <v>0</v>
      </c>
      <c r="E21" s="4">
        <v>0</v>
      </c>
      <c r="F21" s="4">
        <v>0</v>
      </c>
      <c r="G21" s="4">
        <v>32</v>
      </c>
      <c r="H21" s="4">
        <v>32</v>
      </c>
      <c r="I21" s="4">
        <v>0</v>
      </c>
      <c r="J21" s="4">
        <v>0</v>
      </c>
      <c r="K21" s="4">
        <v>0</v>
      </c>
      <c r="L21" s="5">
        <v>64</v>
      </c>
      <c r="M21" s="6"/>
    </row>
    <row r="22" spans="1:13">
      <c r="A22" s="2">
        <v>46001</v>
      </c>
      <c r="B22" s="3" t="s">
        <v>16</v>
      </c>
      <c r="C22" s="4">
        <v>0</v>
      </c>
      <c r="D22" s="4">
        <v>0</v>
      </c>
      <c r="E22" s="4">
        <v>0</v>
      </c>
      <c r="F22" s="4">
        <v>0</v>
      </c>
      <c r="G22" s="4">
        <v>40</v>
      </c>
      <c r="H22" s="4">
        <v>32</v>
      </c>
      <c r="I22" s="4">
        <v>0</v>
      </c>
      <c r="J22" s="4">
        <v>0</v>
      </c>
      <c r="K22" s="4">
        <v>0</v>
      </c>
      <c r="L22" s="5">
        <v>72</v>
      </c>
      <c r="M22" s="6" t="s">
        <v>19</v>
      </c>
    </row>
    <row r="23" spans="1:13">
      <c r="A23" s="2">
        <v>46002</v>
      </c>
      <c r="B23" s="3" t="s">
        <v>18</v>
      </c>
      <c r="C23" s="4">
        <v>0</v>
      </c>
      <c r="D23" s="4">
        <v>0</v>
      </c>
      <c r="E23" s="4">
        <v>0</v>
      </c>
      <c r="F23" s="4">
        <v>0</v>
      </c>
      <c r="G23" s="4">
        <v>40</v>
      </c>
      <c r="H23" s="4">
        <v>32</v>
      </c>
      <c r="I23" s="4">
        <v>0</v>
      </c>
      <c r="J23" s="4">
        <v>0</v>
      </c>
      <c r="K23" s="4">
        <v>0</v>
      </c>
      <c r="L23" s="5">
        <v>72</v>
      </c>
      <c r="M23" s="6"/>
    </row>
    <row r="24" spans="1:13">
      <c r="A24" s="2">
        <v>46003</v>
      </c>
      <c r="B24" s="3" t="s">
        <v>20</v>
      </c>
      <c r="C24" s="4">
        <v>0</v>
      </c>
      <c r="D24" s="4">
        <v>0</v>
      </c>
      <c r="E24" s="4">
        <v>0</v>
      </c>
      <c r="F24" s="4">
        <v>0</v>
      </c>
      <c r="G24" s="4">
        <v>32</v>
      </c>
      <c r="H24" s="4">
        <v>32</v>
      </c>
      <c r="I24" s="4">
        <v>0</v>
      </c>
      <c r="J24" s="4">
        <v>0</v>
      </c>
      <c r="K24" s="4">
        <v>0</v>
      </c>
      <c r="L24" s="5">
        <v>64</v>
      </c>
      <c r="M24" s="6" t="s">
        <v>19</v>
      </c>
    </row>
    <row r="25" spans="1:13">
      <c r="A25" s="2">
        <v>46004</v>
      </c>
      <c r="B25" s="3" t="s">
        <v>21</v>
      </c>
      <c r="C25" s="4">
        <v>0</v>
      </c>
      <c r="D25" s="4">
        <v>0</v>
      </c>
      <c r="E25" s="4">
        <v>0</v>
      </c>
      <c r="F25" s="4">
        <v>0</v>
      </c>
      <c r="G25" s="4">
        <v>8</v>
      </c>
      <c r="H25" s="4">
        <v>32</v>
      </c>
      <c r="I25" s="4">
        <v>0</v>
      </c>
      <c r="J25" s="4">
        <v>0</v>
      </c>
      <c r="K25" s="4">
        <v>0</v>
      </c>
      <c r="L25" s="5">
        <v>40</v>
      </c>
      <c r="M25" s="6"/>
    </row>
    <row r="26" spans="1:13">
      <c r="A26" s="2">
        <v>46006</v>
      </c>
      <c r="B26" s="3" t="s">
        <v>13</v>
      </c>
      <c r="C26" s="4">
        <v>0</v>
      </c>
      <c r="D26" s="4">
        <v>0</v>
      </c>
      <c r="E26" s="4">
        <v>0</v>
      </c>
      <c r="F26" s="4">
        <v>0</v>
      </c>
      <c r="G26" s="4">
        <v>72</v>
      </c>
      <c r="H26" s="4">
        <v>0</v>
      </c>
      <c r="I26" s="4">
        <v>0</v>
      </c>
      <c r="J26" s="4">
        <v>0</v>
      </c>
      <c r="K26" s="4">
        <v>0</v>
      </c>
      <c r="L26" s="5">
        <v>72</v>
      </c>
      <c r="M26" s="6" t="s">
        <v>19</v>
      </c>
    </row>
    <row r="27" spans="1:13">
      <c r="A27" s="2">
        <v>46007</v>
      </c>
      <c r="B27" s="3" t="s">
        <v>14</v>
      </c>
      <c r="C27" s="4">
        <v>0</v>
      </c>
      <c r="D27" s="4">
        <v>0</v>
      </c>
      <c r="E27" s="4">
        <v>0</v>
      </c>
      <c r="F27" s="4">
        <v>0</v>
      </c>
      <c r="G27" s="7">
        <v>84</v>
      </c>
      <c r="H27" s="4">
        <v>0</v>
      </c>
      <c r="I27" s="4">
        <v>0</v>
      </c>
      <c r="J27" s="4">
        <v>0</v>
      </c>
      <c r="K27" s="4">
        <v>0</v>
      </c>
      <c r="L27" s="5">
        <v>84</v>
      </c>
      <c r="M27" s="6"/>
    </row>
    <row r="28" spans="1:13">
      <c r="A28" s="2">
        <v>46008</v>
      </c>
      <c r="B28" s="3" t="s">
        <v>16</v>
      </c>
      <c r="C28" s="4">
        <v>0</v>
      </c>
      <c r="D28" s="4">
        <v>0</v>
      </c>
      <c r="E28" s="4">
        <v>0</v>
      </c>
      <c r="F28" s="4">
        <v>0</v>
      </c>
      <c r="G28" s="4">
        <v>48</v>
      </c>
      <c r="H28" s="4">
        <v>64</v>
      </c>
      <c r="I28" s="4">
        <v>0</v>
      </c>
      <c r="J28" s="4">
        <v>0</v>
      </c>
      <c r="K28" s="4">
        <v>0</v>
      </c>
      <c r="L28" s="5">
        <v>112</v>
      </c>
      <c r="M28" s="6" t="s">
        <v>19</v>
      </c>
    </row>
    <row r="29" spans="1:13">
      <c r="A29" s="2">
        <v>46009</v>
      </c>
      <c r="B29" s="3" t="s">
        <v>18</v>
      </c>
      <c r="C29" s="4">
        <v>0</v>
      </c>
      <c r="D29" s="4">
        <v>0</v>
      </c>
      <c r="E29" s="4">
        <v>0</v>
      </c>
      <c r="F29" s="4">
        <v>0</v>
      </c>
      <c r="G29" s="4">
        <v>52</v>
      </c>
      <c r="H29" s="7">
        <v>128</v>
      </c>
      <c r="I29" s="4">
        <v>0</v>
      </c>
      <c r="J29" s="4">
        <v>0</v>
      </c>
      <c r="K29" s="4">
        <v>0</v>
      </c>
      <c r="L29" s="5">
        <v>180</v>
      </c>
      <c r="M29" s="6"/>
    </row>
    <row r="30" spans="1:13">
      <c r="A30" s="2">
        <v>46010</v>
      </c>
      <c r="B30" s="3" t="s">
        <v>20</v>
      </c>
      <c r="C30" s="4">
        <v>0</v>
      </c>
      <c r="D30" s="4">
        <v>0</v>
      </c>
      <c r="E30" s="4">
        <v>0</v>
      </c>
      <c r="F30" s="4">
        <v>0</v>
      </c>
      <c r="G30" s="4">
        <v>52</v>
      </c>
      <c r="H30" s="4">
        <v>56</v>
      </c>
      <c r="I30" s="4">
        <v>0</v>
      </c>
      <c r="J30" s="4">
        <v>0</v>
      </c>
      <c r="K30" s="4">
        <v>0</v>
      </c>
      <c r="L30" s="5">
        <v>108</v>
      </c>
      <c r="M30" s="6" t="s">
        <v>19</v>
      </c>
    </row>
    <row r="31" spans="1:13">
      <c r="A31" s="2">
        <v>46011</v>
      </c>
      <c r="B31" s="3" t="s">
        <v>21</v>
      </c>
      <c r="C31" s="4">
        <v>0</v>
      </c>
      <c r="D31" s="4">
        <v>0</v>
      </c>
      <c r="E31" s="4">
        <v>0</v>
      </c>
      <c r="F31" s="4">
        <v>0</v>
      </c>
      <c r="G31" s="4">
        <v>24</v>
      </c>
      <c r="H31" s="4">
        <v>0</v>
      </c>
      <c r="I31" s="4">
        <v>0</v>
      </c>
      <c r="J31" s="4">
        <v>0</v>
      </c>
      <c r="K31" s="4">
        <v>0</v>
      </c>
      <c r="L31" s="5">
        <v>24</v>
      </c>
      <c r="M31" s="6"/>
    </row>
    <row r="32" spans="1:13">
      <c r="A32" s="2">
        <v>46013</v>
      </c>
      <c r="B32" s="3" t="s">
        <v>13</v>
      </c>
      <c r="C32" s="4">
        <v>0</v>
      </c>
      <c r="D32" s="4">
        <v>0</v>
      </c>
      <c r="E32" s="4">
        <v>0</v>
      </c>
      <c r="F32" s="4">
        <v>0</v>
      </c>
      <c r="G32" s="4">
        <v>48</v>
      </c>
      <c r="H32" s="4">
        <v>64</v>
      </c>
      <c r="I32" s="4">
        <v>0</v>
      </c>
      <c r="J32" s="4">
        <v>0</v>
      </c>
      <c r="K32" s="4">
        <v>0</v>
      </c>
      <c r="L32" s="5">
        <v>112</v>
      </c>
      <c r="M32" s="6" t="s">
        <v>19</v>
      </c>
    </row>
    <row r="33" spans="1:13">
      <c r="A33" s="2">
        <v>46014</v>
      </c>
      <c r="B33" s="3" t="s">
        <v>14</v>
      </c>
      <c r="C33" s="4">
        <v>0</v>
      </c>
      <c r="D33" s="4">
        <v>0</v>
      </c>
      <c r="E33" s="4">
        <v>0</v>
      </c>
      <c r="F33" s="4">
        <v>0</v>
      </c>
      <c r="G33" s="4">
        <v>48</v>
      </c>
      <c r="H33" s="4">
        <v>64</v>
      </c>
      <c r="I33" s="4">
        <v>0</v>
      </c>
      <c r="J33" s="4">
        <v>0</v>
      </c>
      <c r="K33" s="4">
        <v>0</v>
      </c>
      <c r="L33" s="5">
        <v>112</v>
      </c>
      <c r="M33" s="6"/>
    </row>
    <row r="34" spans="1:13">
      <c r="A34" s="2">
        <v>46015</v>
      </c>
      <c r="B34" s="3" t="s">
        <v>16</v>
      </c>
      <c r="C34" s="4">
        <v>0</v>
      </c>
      <c r="D34" s="4">
        <v>0</v>
      </c>
      <c r="E34" s="4">
        <v>0</v>
      </c>
      <c r="F34" s="4">
        <v>0</v>
      </c>
      <c r="G34" s="4">
        <v>60</v>
      </c>
      <c r="H34" s="4">
        <v>72</v>
      </c>
      <c r="I34" s="4">
        <v>0</v>
      </c>
      <c r="J34" s="4">
        <v>0</v>
      </c>
      <c r="K34" s="4">
        <v>0</v>
      </c>
      <c r="L34" s="5">
        <v>132</v>
      </c>
      <c r="M34" s="6" t="s">
        <v>19</v>
      </c>
    </row>
    <row r="35" spans="1:13">
      <c r="A35" s="2">
        <v>46016</v>
      </c>
      <c r="B35" s="3" t="s">
        <v>18</v>
      </c>
      <c r="C35" s="4">
        <v>0</v>
      </c>
      <c r="D35" s="4">
        <v>0</v>
      </c>
      <c r="E35" s="4">
        <v>0</v>
      </c>
      <c r="F35" s="4">
        <v>0</v>
      </c>
      <c r="G35" s="4">
        <v>24</v>
      </c>
      <c r="H35" s="4">
        <v>64</v>
      </c>
      <c r="I35" s="4">
        <v>0</v>
      </c>
      <c r="J35" s="4">
        <v>0</v>
      </c>
      <c r="K35" s="4">
        <v>0</v>
      </c>
      <c r="L35" s="5">
        <v>88</v>
      </c>
      <c r="M35" s="6"/>
    </row>
    <row r="36" spans="1:13">
      <c r="A36" s="2">
        <v>46017</v>
      </c>
      <c r="B36" s="3" t="s">
        <v>20</v>
      </c>
      <c r="C36" s="4">
        <v>0</v>
      </c>
      <c r="D36" s="4">
        <v>0</v>
      </c>
      <c r="E36" s="4">
        <v>0</v>
      </c>
      <c r="F36" s="4">
        <v>0</v>
      </c>
      <c r="G36" s="4">
        <v>52</v>
      </c>
      <c r="H36" s="4">
        <v>64</v>
      </c>
      <c r="I36" s="4">
        <v>0</v>
      </c>
      <c r="J36" s="4">
        <v>0</v>
      </c>
      <c r="K36" s="4">
        <v>0</v>
      </c>
      <c r="L36" s="5">
        <v>116</v>
      </c>
      <c r="M36" s="6" t="s">
        <v>19</v>
      </c>
    </row>
    <row r="37" spans="1:13">
      <c r="A37" s="2">
        <v>46018</v>
      </c>
      <c r="B37" s="3" t="s">
        <v>21</v>
      </c>
      <c r="C37" s="4">
        <v>0</v>
      </c>
      <c r="D37" s="4">
        <v>0</v>
      </c>
      <c r="E37" s="4">
        <v>0</v>
      </c>
      <c r="F37" s="4">
        <v>0</v>
      </c>
      <c r="G37" s="4">
        <v>24</v>
      </c>
      <c r="H37" s="4">
        <v>0</v>
      </c>
      <c r="I37" s="4">
        <v>0</v>
      </c>
      <c r="J37" s="4">
        <v>0</v>
      </c>
      <c r="K37" s="4">
        <v>0</v>
      </c>
      <c r="L37" s="5">
        <v>24</v>
      </c>
      <c r="M37" s="6"/>
    </row>
    <row r="38" spans="1:13">
      <c r="A38" s="2">
        <v>46020</v>
      </c>
      <c r="B38" s="3" t="s">
        <v>13</v>
      </c>
      <c r="C38" s="4">
        <v>0</v>
      </c>
      <c r="D38" s="4">
        <v>0</v>
      </c>
      <c r="E38" s="4">
        <v>0</v>
      </c>
      <c r="F38" s="4">
        <v>0</v>
      </c>
      <c r="G38" s="4">
        <v>52</v>
      </c>
      <c r="H38" s="4">
        <v>0</v>
      </c>
      <c r="I38" s="4">
        <v>0</v>
      </c>
      <c r="J38" s="4">
        <v>0</v>
      </c>
      <c r="K38" s="4">
        <v>0</v>
      </c>
      <c r="L38" s="5">
        <v>52</v>
      </c>
      <c r="M38" s="6" t="s">
        <v>19</v>
      </c>
    </row>
    <row r="39" spans="1:13">
      <c r="A39" s="2">
        <v>46021</v>
      </c>
      <c r="B39" s="3" t="s">
        <v>14</v>
      </c>
      <c r="C39" s="4">
        <v>0</v>
      </c>
      <c r="D39" s="4">
        <v>0</v>
      </c>
      <c r="E39" s="4">
        <v>0</v>
      </c>
      <c r="F39" s="4">
        <v>0</v>
      </c>
      <c r="G39" s="4">
        <v>52</v>
      </c>
      <c r="H39" s="4">
        <v>80</v>
      </c>
      <c r="I39" s="4">
        <v>0</v>
      </c>
      <c r="J39" s="4">
        <v>0</v>
      </c>
      <c r="K39" s="4">
        <v>0</v>
      </c>
      <c r="L39" s="5">
        <v>132</v>
      </c>
      <c r="M39" s="6"/>
    </row>
    <row r="40" spans="1:13">
      <c r="A40" s="2">
        <v>46022</v>
      </c>
      <c r="B40" s="3" t="s">
        <v>16</v>
      </c>
      <c r="C40" s="4">
        <v>0</v>
      </c>
      <c r="D40" s="4">
        <v>0</v>
      </c>
      <c r="E40" s="4">
        <v>0</v>
      </c>
      <c r="F40" s="4">
        <v>0</v>
      </c>
      <c r="G40" s="4">
        <v>52</v>
      </c>
      <c r="H40" s="4">
        <v>80</v>
      </c>
      <c r="I40" s="4">
        <v>0</v>
      </c>
      <c r="J40" s="4">
        <v>0</v>
      </c>
      <c r="K40" s="4">
        <v>0</v>
      </c>
      <c r="L40" s="5">
        <v>132</v>
      </c>
      <c r="M40" s="6" t="s">
        <v>19</v>
      </c>
    </row>
    <row r="41" spans="1:13">
      <c r="A41" s="2">
        <v>46023</v>
      </c>
      <c r="B41" s="3" t="s">
        <v>18</v>
      </c>
      <c r="C41" s="4">
        <v>0</v>
      </c>
      <c r="D41" s="4">
        <v>0</v>
      </c>
      <c r="E41" s="4">
        <v>0</v>
      </c>
      <c r="F41" s="4">
        <v>0</v>
      </c>
      <c r="G41" s="4">
        <v>52</v>
      </c>
      <c r="H41" s="4">
        <v>48</v>
      </c>
      <c r="I41" s="4">
        <v>0</v>
      </c>
      <c r="J41" s="4">
        <v>0</v>
      </c>
      <c r="K41" s="4">
        <v>0</v>
      </c>
      <c r="L41" s="5">
        <v>100</v>
      </c>
      <c r="M41" s="6"/>
    </row>
    <row r="42" spans="1:13">
      <c r="A42" s="2">
        <v>46024</v>
      </c>
      <c r="B42" s="3" t="s">
        <v>20</v>
      </c>
      <c r="C42" s="4">
        <v>0</v>
      </c>
      <c r="D42" s="4">
        <v>0</v>
      </c>
      <c r="E42" s="4">
        <v>0</v>
      </c>
      <c r="F42" s="4">
        <v>0</v>
      </c>
      <c r="G42" s="4">
        <v>52</v>
      </c>
      <c r="H42" s="4">
        <v>0</v>
      </c>
      <c r="I42" s="4">
        <v>0</v>
      </c>
      <c r="J42" s="4">
        <v>0</v>
      </c>
      <c r="K42" s="4">
        <v>0</v>
      </c>
      <c r="L42" s="5">
        <v>52</v>
      </c>
      <c r="M42" s="6" t="s">
        <v>24</v>
      </c>
    </row>
    <row r="43" spans="1:13">
      <c r="A43" s="2">
        <v>46025</v>
      </c>
      <c r="B43" s="3" t="s">
        <v>21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6"/>
    </row>
    <row r="44" spans="1:13">
      <c r="A44" s="2">
        <v>46051</v>
      </c>
      <c r="B44" s="3" t="s">
        <v>18</v>
      </c>
      <c r="C44" s="4">
        <v>6</v>
      </c>
      <c r="D44" s="7">
        <v>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9</v>
      </c>
      <c r="M44" s="6" t="s">
        <v>25</v>
      </c>
    </row>
    <row r="45" spans="1:13">
      <c r="A45" s="2">
        <v>46055</v>
      </c>
      <c r="B45" s="3" t="s">
        <v>13</v>
      </c>
      <c r="C45" s="4">
        <v>42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42</v>
      </c>
      <c r="M45" s="6" t="s">
        <v>25</v>
      </c>
    </row>
    <row r="46" spans="1:13">
      <c r="A46" s="2">
        <v>46057</v>
      </c>
      <c r="B46" s="3" t="s">
        <v>16</v>
      </c>
      <c r="C46" s="4">
        <v>0</v>
      </c>
      <c r="D46" s="7">
        <v>3</v>
      </c>
      <c r="E46" s="4">
        <v>0</v>
      </c>
      <c r="F46" s="4">
        <v>0</v>
      </c>
      <c r="G46" s="4">
        <v>24</v>
      </c>
      <c r="H46" s="4">
        <v>0</v>
      </c>
      <c r="I46" s="4">
        <v>0</v>
      </c>
      <c r="J46" s="4">
        <v>0</v>
      </c>
      <c r="K46" s="4">
        <v>0</v>
      </c>
      <c r="L46" s="5">
        <v>27</v>
      </c>
      <c r="M46" s="6" t="s">
        <v>26</v>
      </c>
    </row>
    <row r="47" spans="1:13">
      <c r="A47" s="2">
        <v>46065</v>
      </c>
      <c r="B47" s="3" t="s">
        <v>18</v>
      </c>
      <c r="C47" s="4">
        <v>27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120</v>
      </c>
      <c r="J47" s="4">
        <v>128</v>
      </c>
      <c r="K47" s="4">
        <v>0</v>
      </c>
      <c r="L47" s="5">
        <v>275</v>
      </c>
      <c r="M47" s="6" t="s">
        <v>27</v>
      </c>
    </row>
    <row r="48" spans="1:13">
      <c r="A48" s="2">
        <v>46076</v>
      </c>
      <c r="B48" s="3" t="s">
        <v>13</v>
      </c>
      <c r="C48" s="4">
        <v>0</v>
      </c>
      <c r="D48" s="4">
        <v>0</v>
      </c>
      <c r="E48" s="4">
        <v>0</v>
      </c>
      <c r="F48" s="4">
        <v>0</v>
      </c>
      <c r="G48" s="4">
        <v>32</v>
      </c>
      <c r="H48" s="4">
        <v>0</v>
      </c>
      <c r="I48" s="7">
        <v>220</v>
      </c>
      <c r="J48" s="4">
        <v>224</v>
      </c>
      <c r="K48" s="4">
        <v>0</v>
      </c>
      <c r="L48" s="5">
        <v>476</v>
      </c>
      <c r="M48" s="6" t="s">
        <v>28</v>
      </c>
    </row>
    <row r="49" spans="1:13">
      <c r="A49" s="2">
        <v>46078</v>
      </c>
      <c r="B49" s="3" t="s">
        <v>16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0</v>
      </c>
      <c r="I49" s="4">
        <v>192</v>
      </c>
      <c r="J49" s="7">
        <v>232</v>
      </c>
      <c r="K49" s="4">
        <v>0</v>
      </c>
      <c r="L49" s="5">
        <v>426</v>
      </c>
      <c r="M49" s="6" t="s">
        <v>29</v>
      </c>
    </row>
    <row r="50" spans="1:13">
      <c r="A50" s="2">
        <v>46084</v>
      </c>
      <c r="B50" s="3" t="s">
        <v>14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80</v>
      </c>
      <c r="J50" s="4">
        <v>96</v>
      </c>
      <c r="K50" s="4">
        <v>0</v>
      </c>
      <c r="L50" s="5">
        <v>176</v>
      </c>
      <c r="M50" s="6" t="s">
        <v>30</v>
      </c>
    </row>
    <row r="51" spans="1:13">
      <c r="A51" s="2">
        <v>46086</v>
      </c>
      <c r="B51" s="3" t="s">
        <v>18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80</v>
      </c>
      <c r="J51" s="4">
        <v>96</v>
      </c>
      <c r="K51" s="4">
        <v>0</v>
      </c>
      <c r="L51" s="5">
        <v>176</v>
      </c>
      <c r="M51" s="6" t="s">
        <v>30</v>
      </c>
    </row>
    <row r="52" spans="1:13">
      <c r="A52" s="2">
        <v>46091</v>
      </c>
      <c r="B52" s="3" t="s">
        <v>14</v>
      </c>
      <c r="C52" s="4">
        <v>0</v>
      </c>
      <c r="D52" s="4">
        <v>0</v>
      </c>
      <c r="E52" s="4">
        <v>12</v>
      </c>
      <c r="F52" s="4">
        <v>12</v>
      </c>
      <c r="G52" s="4">
        <v>0</v>
      </c>
      <c r="H52" s="4">
        <v>0</v>
      </c>
      <c r="I52" s="4">
        <v>80</v>
      </c>
      <c r="J52" s="4">
        <v>96</v>
      </c>
      <c r="K52" s="4">
        <v>0</v>
      </c>
      <c r="L52" s="5">
        <v>200</v>
      </c>
      <c r="M52" s="6" t="s">
        <v>31</v>
      </c>
    </row>
    <row r="53" spans="1:13">
      <c r="A53" s="2">
        <v>46093</v>
      </c>
      <c r="B53" s="3" t="s">
        <v>18</v>
      </c>
      <c r="C53" s="4">
        <v>0</v>
      </c>
      <c r="D53" s="4">
        <v>0</v>
      </c>
      <c r="E53" s="4">
        <v>0</v>
      </c>
      <c r="F53" s="4">
        <v>0</v>
      </c>
      <c r="G53" s="4">
        <v>6</v>
      </c>
      <c r="H53" s="4">
        <v>6</v>
      </c>
      <c r="I53" s="4">
        <v>80</v>
      </c>
      <c r="J53" s="4">
        <v>80</v>
      </c>
      <c r="K53" s="4">
        <v>0</v>
      </c>
      <c r="L53" s="5">
        <v>172</v>
      </c>
      <c r="M53" s="6" t="s">
        <v>31</v>
      </c>
    </row>
    <row r="54" spans="1:13">
      <c r="A54" s="2">
        <v>46098</v>
      </c>
      <c r="B54" s="3" t="s">
        <v>14</v>
      </c>
      <c r="C54" s="4">
        <v>0</v>
      </c>
      <c r="D54" s="4">
        <v>0</v>
      </c>
      <c r="E54" s="4">
        <v>0</v>
      </c>
      <c r="F54" s="4">
        <v>0</v>
      </c>
      <c r="G54" s="4">
        <v>20</v>
      </c>
      <c r="H54" s="4">
        <v>20</v>
      </c>
      <c r="I54" s="4">
        <v>80</v>
      </c>
      <c r="J54" s="4">
        <v>80</v>
      </c>
      <c r="K54" s="4">
        <v>0</v>
      </c>
      <c r="L54" s="5">
        <v>200</v>
      </c>
      <c r="M54" s="6" t="s">
        <v>31</v>
      </c>
    </row>
    <row r="55" spans="1:13">
      <c r="A55" s="2">
        <v>46100</v>
      </c>
      <c r="B55" s="3" t="s">
        <v>18</v>
      </c>
      <c r="C55" s="4">
        <v>0</v>
      </c>
      <c r="D55" s="4">
        <v>0</v>
      </c>
      <c r="E55" s="4">
        <v>18</v>
      </c>
      <c r="F55" s="4">
        <v>18</v>
      </c>
      <c r="G55" s="4">
        <v>0</v>
      </c>
      <c r="H55" s="4">
        <v>0</v>
      </c>
      <c r="I55" s="4">
        <v>80</v>
      </c>
      <c r="J55" s="4">
        <v>80</v>
      </c>
      <c r="K55" s="4">
        <v>0</v>
      </c>
      <c r="L55" s="5">
        <v>196</v>
      </c>
      <c r="M55" s="6" t="s">
        <v>31</v>
      </c>
    </row>
    <row r="56" spans="1:13">
      <c r="A56" s="2">
        <v>46105</v>
      </c>
      <c r="B56" s="3" t="s">
        <v>14</v>
      </c>
      <c r="C56" s="4">
        <v>10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10</v>
      </c>
      <c r="M56" s="6" t="s">
        <v>32</v>
      </c>
    </row>
    <row r="57" spans="1:13">
      <c r="A57" s="2">
        <v>46112</v>
      </c>
      <c r="B57" s="3" t="s">
        <v>14</v>
      </c>
      <c r="C57" s="4">
        <v>0</v>
      </c>
      <c r="D57" s="4">
        <v>0</v>
      </c>
      <c r="E57" s="4">
        <v>18</v>
      </c>
      <c r="F57" s="4">
        <v>18</v>
      </c>
      <c r="G57" s="4">
        <v>70</v>
      </c>
      <c r="H57" s="4">
        <v>70</v>
      </c>
      <c r="I57" s="4">
        <v>0</v>
      </c>
      <c r="J57" s="4">
        <v>0</v>
      </c>
      <c r="K57" s="4">
        <v>0</v>
      </c>
      <c r="L57" s="5">
        <v>176</v>
      </c>
      <c r="M57" s="6" t="s">
        <v>33</v>
      </c>
    </row>
    <row r="58" spans="1:13">
      <c r="A58" s="2">
        <v>46121</v>
      </c>
      <c r="B58" s="3" t="s">
        <v>18</v>
      </c>
      <c r="C58" s="4">
        <v>0</v>
      </c>
      <c r="D58" s="4">
        <v>0</v>
      </c>
      <c r="E58" s="4">
        <v>18</v>
      </c>
      <c r="F58" s="4">
        <v>18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36</v>
      </c>
      <c r="M58" s="6" t="s">
        <v>34</v>
      </c>
    </row>
    <row r="59" spans="1:13">
      <c r="A59" s="2">
        <v>46126</v>
      </c>
      <c r="B59" s="3" t="s">
        <v>14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7">
        <v>9</v>
      </c>
      <c r="L59" s="5">
        <v>9</v>
      </c>
      <c r="M59" s="6" t="s">
        <v>35</v>
      </c>
    </row>
    <row r="60" spans="1:13">
      <c r="A60" s="2">
        <v>46128</v>
      </c>
      <c r="B60" s="3" t="s">
        <v>14</v>
      </c>
      <c r="C60" s="4">
        <v>24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24</v>
      </c>
      <c r="M60" s="6" t="s">
        <v>36</v>
      </c>
    </row>
    <row r="61" spans="1:13">
      <c r="A61" s="2">
        <v>46133</v>
      </c>
      <c r="B61" s="3" t="s">
        <v>14</v>
      </c>
      <c r="C61" s="7">
        <v>49</v>
      </c>
      <c r="D61" s="4">
        <v>0</v>
      </c>
      <c r="E61" s="7">
        <v>24</v>
      </c>
      <c r="F61" s="7">
        <v>24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97</v>
      </c>
      <c r="M61" s="6" t="s">
        <v>34</v>
      </c>
    </row>
  </sheetData>
  <autoFilter ref="A1:M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zoomScale="90" zoomScaleNormal="90" workbookViewId="0"/>
  </sheetViews>
  <sheetFormatPr defaultRowHeight="15"/>
  <cols>
    <col min="1" max="1" width="24.7109375" customWidth="1"/>
    <col min="2" max="10" width="14.7109375" customWidth="1"/>
  </cols>
  <sheetData>
    <row r="1" spans="1:10" ht="32" customHeight="1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</row>
    <row r="2" spans="1:10" ht="22" customHeight="1">
      <c r="A2" s="9" t="s">
        <v>38</v>
      </c>
      <c r="B2" s="9"/>
      <c r="C2" s="9"/>
      <c r="D2" s="9"/>
      <c r="E2" s="9"/>
      <c r="F2" s="9"/>
      <c r="G2" s="9"/>
      <c r="H2" s="9"/>
      <c r="I2" s="9"/>
      <c r="J2" s="9"/>
    </row>
    <row r="4" spans="1:10" ht="20" customHeight="1">
      <c r="A4" s="10" t="s">
        <v>39</v>
      </c>
      <c r="B4" s="10"/>
    </row>
    <row r="5" spans="1:10" ht="18" customHeight="1">
      <c r="A5" s="11" t="s">
        <v>40</v>
      </c>
      <c r="B5" s="11"/>
      <c r="C5" s="11" t="s">
        <v>41</v>
      </c>
      <c r="D5" s="11"/>
      <c r="E5" s="11" t="s">
        <v>42</v>
      </c>
      <c r="F5" s="11"/>
      <c r="G5" s="11" t="s">
        <v>43</v>
      </c>
      <c r="H5" s="11"/>
      <c r="I5" s="11" t="s">
        <v>44</v>
      </c>
      <c r="J5" s="11"/>
    </row>
    <row r="6" spans="1:10" ht="28" customHeight="1">
      <c r="A6" s="12">
        <v>5492</v>
      </c>
      <c r="B6" s="12"/>
      <c r="C6" s="12">
        <v>60</v>
      </c>
      <c r="D6" s="12"/>
      <c r="E6" s="12">
        <v>9</v>
      </c>
      <c r="F6" s="12"/>
      <c r="G6" s="12">
        <v>476</v>
      </c>
      <c r="H6" s="12"/>
      <c r="I6" s="12">
        <v>94</v>
      </c>
      <c r="J6" s="12"/>
    </row>
    <row r="8" spans="1:10" ht="20" customHeight="1">
      <c r="A8" s="10" t="s">
        <v>45</v>
      </c>
    </row>
    <row r="9" spans="1:10" ht="22" customHeight="1">
      <c r="A9" s="1" t="s">
        <v>46</v>
      </c>
      <c r="B9" s="1" t="s">
        <v>40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43</v>
      </c>
      <c r="H9" s="1" t="s">
        <v>51</v>
      </c>
      <c r="I9" s="1" t="s">
        <v>52</v>
      </c>
    </row>
    <row r="10" spans="1:10">
      <c r="A10" s="13" t="s">
        <v>2</v>
      </c>
      <c r="B10" s="14">
        <v>158</v>
      </c>
      <c r="C10" s="14">
        <v>6</v>
      </c>
      <c r="D10" s="15">
        <v>26.3</v>
      </c>
      <c r="E10" s="15">
        <v>25.5</v>
      </c>
      <c r="F10" s="15">
        <v>17</v>
      </c>
      <c r="G10" s="14">
        <v>49</v>
      </c>
      <c r="H10" s="16">
        <v>2.9</v>
      </c>
      <c r="I10" s="14" t="s">
        <v>2</v>
      </c>
    </row>
    <row r="11" spans="1:10">
      <c r="A11" s="17" t="s">
        <v>53</v>
      </c>
      <c r="B11" s="18">
        <v>8</v>
      </c>
      <c r="C11" s="18">
        <v>3</v>
      </c>
      <c r="D11" s="19">
        <v>2.7</v>
      </c>
      <c r="E11" s="19">
        <v>3</v>
      </c>
      <c r="F11" s="19">
        <v>0.6</v>
      </c>
      <c r="G11" s="18">
        <v>3</v>
      </c>
      <c r="H11" s="20">
        <v>0.1</v>
      </c>
      <c r="I11" s="18" t="s">
        <v>54</v>
      </c>
    </row>
    <row r="12" spans="1:10">
      <c r="A12" s="13" t="s">
        <v>55</v>
      </c>
      <c r="B12" s="14">
        <v>90</v>
      </c>
      <c r="C12" s="14">
        <v>5</v>
      </c>
      <c r="D12" s="15">
        <v>18</v>
      </c>
      <c r="E12" s="15">
        <v>18</v>
      </c>
      <c r="F12" s="15">
        <v>4.2</v>
      </c>
      <c r="G12" s="14">
        <v>24</v>
      </c>
      <c r="H12" s="16">
        <v>1.6</v>
      </c>
      <c r="I12" s="14" t="s">
        <v>56</v>
      </c>
    </row>
    <row r="13" spans="1:10">
      <c r="A13" s="17" t="s">
        <v>57</v>
      </c>
      <c r="B13" s="18">
        <v>90</v>
      </c>
      <c r="C13" s="18">
        <v>5</v>
      </c>
      <c r="D13" s="19">
        <v>18</v>
      </c>
      <c r="E13" s="19">
        <v>18</v>
      </c>
      <c r="F13" s="19">
        <v>4.2</v>
      </c>
      <c r="G13" s="18">
        <v>24</v>
      </c>
      <c r="H13" s="20">
        <v>1.6</v>
      </c>
      <c r="I13" s="18" t="s">
        <v>56</v>
      </c>
    </row>
    <row r="14" spans="1:10">
      <c r="A14" s="13" t="s">
        <v>58</v>
      </c>
      <c r="B14" s="14">
        <v>1509</v>
      </c>
      <c r="C14" s="14">
        <v>43</v>
      </c>
      <c r="D14" s="15">
        <v>35.1</v>
      </c>
      <c r="E14" s="15">
        <v>32</v>
      </c>
      <c r="F14" s="15">
        <v>18.5</v>
      </c>
      <c r="G14" s="14">
        <v>84</v>
      </c>
      <c r="H14" s="16">
        <v>27.5</v>
      </c>
      <c r="I14" s="14" t="s">
        <v>59</v>
      </c>
    </row>
    <row r="15" spans="1:10">
      <c r="A15" s="17" t="s">
        <v>60</v>
      </c>
      <c r="B15" s="18">
        <v>1504</v>
      </c>
      <c r="C15" s="18">
        <v>36</v>
      </c>
      <c r="D15" s="19">
        <v>41.8</v>
      </c>
      <c r="E15" s="19">
        <v>32</v>
      </c>
      <c r="F15" s="19">
        <v>24.4</v>
      </c>
      <c r="G15" s="18">
        <v>128</v>
      </c>
      <c r="H15" s="20">
        <v>27.4</v>
      </c>
      <c r="I15" s="18" t="s">
        <v>59</v>
      </c>
    </row>
    <row r="16" spans="1:10">
      <c r="A16" s="13" t="s">
        <v>61</v>
      </c>
      <c r="B16" s="14">
        <v>1012</v>
      </c>
      <c r="C16" s="14">
        <v>9</v>
      </c>
      <c r="D16" s="15">
        <v>112.4</v>
      </c>
      <c r="E16" s="15">
        <v>80</v>
      </c>
      <c r="F16" s="15">
        <v>55.1</v>
      </c>
      <c r="G16" s="14">
        <v>220</v>
      </c>
      <c r="H16" s="16">
        <v>18.4</v>
      </c>
      <c r="I16" s="14" t="s">
        <v>62</v>
      </c>
    </row>
    <row r="17" spans="1:10">
      <c r="A17" s="17" t="s">
        <v>63</v>
      </c>
      <c r="B17" s="18">
        <v>1112</v>
      </c>
      <c r="C17" s="18">
        <v>9</v>
      </c>
      <c r="D17" s="19">
        <v>123.6</v>
      </c>
      <c r="E17" s="19">
        <v>96</v>
      </c>
      <c r="F17" s="19">
        <v>61.1</v>
      </c>
      <c r="G17" s="18">
        <v>232</v>
      </c>
      <c r="H17" s="20">
        <v>20.2</v>
      </c>
      <c r="I17" s="18" t="s">
        <v>62</v>
      </c>
    </row>
    <row r="18" spans="1:10">
      <c r="A18" s="13" t="s">
        <v>64</v>
      </c>
      <c r="B18" s="14">
        <v>9</v>
      </c>
      <c r="C18" s="14">
        <v>1</v>
      </c>
      <c r="D18" s="15">
        <v>9</v>
      </c>
      <c r="E18" s="15">
        <v>9</v>
      </c>
      <c r="F18" s="15">
        <v>0</v>
      </c>
      <c r="G18" s="14">
        <v>9</v>
      </c>
      <c r="H18" s="16">
        <v>0.2</v>
      </c>
      <c r="I18" s="14" t="s">
        <v>10</v>
      </c>
    </row>
    <row r="21" spans="1:10" ht="20" customHeight="1">
      <c r="A21" s="10" t="s">
        <v>65</v>
      </c>
    </row>
    <row r="22" spans="1:10" ht="18" customHeight="1">
      <c r="A22" s="21" t="s">
        <v>66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40" customHeight="1">
      <c r="A23" s="22" t="s">
        <v>67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18" customHeight="1">
      <c r="A24" s="21" t="s">
        <v>68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40" customHeight="1">
      <c r="A25" s="22" t="s">
        <v>69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8" customHeight="1">
      <c r="A26" s="21" t="s">
        <v>70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40" customHeight="1">
      <c r="A27" s="22" t="s">
        <v>71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18" customHeight="1">
      <c r="A28" s="21" t="s">
        <v>72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ht="40" customHeight="1">
      <c r="A29" s="22" t="s">
        <v>73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18" customHeight="1">
      <c r="A30" s="21" t="s">
        <v>74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 ht="40" customHeight="1">
      <c r="A31" s="22" t="s">
        <v>75</v>
      </c>
      <c r="B31" s="22"/>
      <c r="C31" s="22"/>
      <c r="D31" s="22"/>
      <c r="E31" s="22"/>
      <c r="F31" s="22"/>
      <c r="G31" s="22"/>
      <c r="H31" s="22"/>
      <c r="I31" s="22"/>
      <c r="J31" s="22"/>
    </row>
    <row r="32" spans="1:10" ht="18" customHeight="1">
      <c r="A32" s="21" t="s">
        <v>76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ht="40" customHeight="1">
      <c r="A33" s="22" t="s">
        <v>77</v>
      </c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18" customHeight="1">
      <c r="A34" s="21" t="s">
        <v>78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0" ht="40" customHeight="1">
      <c r="A35" s="22" t="s">
        <v>79</v>
      </c>
      <c r="B35" s="22"/>
      <c r="C35" s="22"/>
      <c r="D35" s="22"/>
      <c r="E35" s="22"/>
      <c r="F35" s="22"/>
      <c r="G35" s="22"/>
      <c r="H35" s="22"/>
      <c r="I35" s="22"/>
      <c r="J35" s="22"/>
    </row>
  </sheetData>
  <mergeCells count="27">
    <mergeCell ref="A1:J1"/>
    <mergeCell ref="A2:J2"/>
    <mergeCell ref="A4:B4"/>
    <mergeCell ref="A5:B5"/>
    <mergeCell ref="A6:B6"/>
    <mergeCell ref="C5:D5"/>
    <mergeCell ref="C6:D6"/>
    <mergeCell ref="E5:F5"/>
    <mergeCell ref="E6:F6"/>
    <mergeCell ref="G5:H5"/>
    <mergeCell ref="G6:H6"/>
    <mergeCell ref="I5:J5"/>
    <mergeCell ref="I6:J6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zoomScale="90" zoomScaleNormal="90" workbookViewId="0"/>
  </sheetViews>
  <sheetFormatPr defaultRowHeight="15"/>
  <cols>
    <col min="1" max="1" width="14.7109375" customWidth="1"/>
    <col min="2" max="15" width="13.7109375" customWidth="1"/>
  </cols>
  <sheetData>
    <row r="1" spans="1:14" ht="30" customHeight="1">
      <c r="A1" s="23" t="s">
        <v>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ht="20" customHeight="1">
      <c r="A3" s="10" t="s">
        <v>81</v>
      </c>
    </row>
    <row r="4" spans="1:14" ht="22" customHeight="1">
      <c r="A4" s="1" t="s">
        <v>82</v>
      </c>
      <c r="B4" s="1" t="s">
        <v>2</v>
      </c>
      <c r="C4" s="1" t="s">
        <v>3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10</v>
      </c>
      <c r="K4" s="1" t="s">
        <v>89</v>
      </c>
      <c r="L4" s="1" t="s">
        <v>90</v>
      </c>
    </row>
    <row r="5" spans="1:14">
      <c r="A5" s="24" t="s">
        <v>91</v>
      </c>
      <c r="B5" s="14">
        <v>0</v>
      </c>
      <c r="C5" s="14">
        <v>0</v>
      </c>
      <c r="D5" s="14">
        <v>0</v>
      </c>
      <c r="E5" s="14">
        <v>0</v>
      </c>
      <c r="F5" s="14">
        <v>181</v>
      </c>
      <c r="G5" s="14">
        <v>240</v>
      </c>
      <c r="H5" s="14">
        <v>0</v>
      </c>
      <c r="I5" s="14">
        <v>0</v>
      </c>
      <c r="J5" s="14">
        <v>0</v>
      </c>
      <c r="K5" s="25">
        <v>421</v>
      </c>
      <c r="L5" s="14" t="s">
        <v>92</v>
      </c>
    </row>
    <row r="6" spans="1:14">
      <c r="A6" s="26" t="s">
        <v>93</v>
      </c>
      <c r="B6" s="18">
        <v>0</v>
      </c>
      <c r="C6" s="18">
        <v>0</v>
      </c>
      <c r="D6" s="18">
        <v>0</v>
      </c>
      <c r="E6" s="18">
        <v>0</v>
      </c>
      <c r="F6" s="18">
        <v>1072</v>
      </c>
      <c r="G6" s="18">
        <v>1120</v>
      </c>
      <c r="H6" s="18">
        <v>0</v>
      </c>
      <c r="I6" s="18">
        <v>0</v>
      </c>
      <c r="J6" s="18">
        <v>0</v>
      </c>
      <c r="K6" s="27">
        <v>2192</v>
      </c>
      <c r="L6" s="28">
        <v>4.207</v>
      </c>
    </row>
    <row r="7" spans="1:14">
      <c r="A7" s="24" t="s">
        <v>94</v>
      </c>
      <c r="B7" s="14">
        <v>6</v>
      </c>
      <c r="C7" s="14">
        <v>3</v>
      </c>
      <c r="D7" s="14">
        <v>0</v>
      </c>
      <c r="E7" s="14">
        <v>0</v>
      </c>
      <c r="F7" s="14">
        <v>104</v>
      </c>
      <c r="G7" s="14">
        <v>48</v>
      </c>
      <c r="H7" s="14">
        <v>0</v>
      </c>
      <c r="I7" s="14">
        <v>0</v>
      </c>
      <c r="J7" s="14">
        <v>0</v>
      </c>
      <c r="K7" s="25">
        <v>161</v>
      </c>
      <c r="L7" s="29">
        <v>-0.927</v>
      </c>
    </row>
    <row r="8" spans="1:14">
      <c r="A8" s="26" t="s">
        <v>95</v>
      </c>
      <c r="B8" s="18">
        <v>69</v>
      </c>
      <c r="C8" s="18">
        <v>5</v>
      </c>
      <c r="D8" s="18">
        <v>0</v>
      </c>
      <c r="E8" s="18">
        <v>0</v>
      </c>
      <c r="F8" s="18">
        <v>56</v>
      </c>
      <c r="G8" s="18">
        <v>0</v>
      </c>
      <c r="H8" s="18">
        <v>532</v>
      </c>
      <c r="I8" s="18">
        <v>584</v>
      </c>
      <c r="J8" s="18">
        <v>0</v>
      </c>
      <c r="K8" s="27">
        <v>1246</v>
      </c>
      <c r="L8" s="28">
        <v>6.739</v>
      </c>
    </row>
    <row r="9" spans="1:14">
      <c r="A9" s="24" t="s">
        <v>96</v>
      </c>
      <c r="B9" s="14">
        <v>10</v>
      </c>
      <c r="C9" s="14">
        <v>0</v>
      </c>
      <c r="D9" s="14">
        <v>48</v>
      </c>
      <c r="E9" s="14">
        <v>48</v>
      </c>
      <c r="F9" s="14">
        <v>96</v>
      </c>
      <c r="G9" s="14">
        <v>96</v>
      </c>
      <c r="H9" s="14">
        <v>480</v>
      </c>
      <c r="I9" s="14">
        <v>528</v>
      </c>
      <c r="J9" s="14">
        <v>0</v>
      </c>
      <c r="K9" s="25">
        <v>1306</v>
      </c>
      <c r="L9" s="28">
        <v>0.048</v>
      </c>
    </row>
    <row r="10" spans="1:14">
      <c r="A10" s="26" t="s">
        <v>97</v>
      </c>
      <c r="B10" s="18">
        <v>73</v>
      </c>
      <c r="C10" s="18">
        <v>0</v>
      </c>
      <c r="D10" s="18">
        <v>42</v>
      </c>
      <c r="E10" s="18">
        <v>42</v>
      </c>
      <c r="F10" s="18">
        <v>0</v>
      </c>
      <c r="G10" s="18">
        <v>0</v>
      </c>
      <c r="H10" s="18">
        <v>0</v>
      </c>
      <c r="I10" s="18">
        <v>0</v>
      </c>
      <c r="J10" s="18">
        <v>9</v>
      </c>
      <c r="K10" s="27">
        <v>166</v>
      </c>
      <c r="L10" s="29">
        <v>-0.873</v>
      </c>
    </row>
    <row r="11" spans="1:14">
      <c r="A11" s="5" t="s">
        <v>98</v>
      </c>
      <c r="B11" s="5">
        <v>158</v>
      </c>
      <c r="C11" s="5">
        <v>8</v>
      </c>
      <c r="D11" s="5">
        <v>90</v>
      </c>
      <c r="E11" s="5">
        <v>90</v>
      </c>
      <c r="F11" s="5">
        <v>1509</v>
      </c>
      <c r="G11" s="5">
        <v>1504</v>
      </c>
      <c r="H11" s="5">
        <v>1012</v>
      </c>
      <c r="I11" s="5">
        <v>1112</v>
      </c>
      <c r="J11" s="5">
        <v>9</v>
      </c>
      <c r="K11" s="5">
        <v>5492</v>
      </c>
      <c r="L11" s="5" t="s">
        <v>92</v>
      </c>
    </row>
    <row r="14" spans="1:14" ht="20" customHeight="1">
      <c r="A14" s="10" t="s">
        <v>99</v>
      </c>
    </row>
    <row r="15" spans="1:14" ht="22" customHeight="1">
      <c r="A15" s="1" t="s">
        <v>100</v>
      </c>
      <c r="B15" s="1" t="s">
        <v>40</v>
      </c>
      <c r="C15" s="1" t="s">
        <v>2</v>
      </c>
      <c r="D15" s="1" t="s">
        <v>85</v>
      </c>
      <c r="E15" s="1" t="s">
        <v>86</v>
      </c>
      <c r="F15" s="1" t="s">
        <v>87</v>
      </c>
      <c r="G15" s="1" t="s">
        <v>88</v>
      </c>
    </row>
    <row r="16" spans="1:14">
      <c r="A16" s="24" t="s">
        <v>101</v>
      </c>
      <c r="B16" s="25">
        <v>902</v>
      </c>
      <c r="C16" s="14">
        <v>0</v>
      </c>
      <c r="D16" s="14">
        <v>32</v>
      </c>
      <c r="E16" s="14">
        <v>0</v>
      </c>
      <c r="F16" s="14">
        <v>412</v>
      </c>
      <c r="G16" s="14">
        <v>456</v>
      </c>
    </row>
    <row r="17" spans="1:7">
      <c r="A17" s="26" t="s">
        <v>102</v>
      </c>
      <c r="B17" s="27">
        <v>584</v>
      </c>
      <c r="C17" s="18">
        <v>0</v>
      </c>
      <c r="D17" s="18">
        <v>256</v>
      </c>
      <c r="E17" s="18">
        <v>328</v>
      </c>
      <c r="F17" s="18">
        <v>0</v>
      </c>
      <c r="G17" s="18">
        <v>0</v>
      </c>
    </row>
    <row r="18" spans="1:7">
      <c r="A18" s="24" t="s">
        <v>103</v>
      </c>
      <c r="B18" s="25">
        <v>580</v>
      </c>
      <c r="C18" s="14">
        <v>0</v>
      </c>
      <c r="D18" s="14">
        <v>332</v>
      </c>
      <c r="E18" s="14">
        <v>248</v>
      </c>
      <c r="F18" s="14">
        <v>0</v>
      </c>
      <c r="G18" s="14">
        <v>0</v>
      </c>
    </row>
    <row r="19" spans="1:7">
      <c r="A19" s="24" t="s">
        <v>104</v>
      </c>
      <c r="B19" s="25">
        <v>468</v>
      </c>
      <c r="C19" s="14">
        <v>0</v>
      </c>
      <c r="D19" s="14">
        <v>260</v>
      </c>
      <c r="E19" s="14">
        <v>208</v>
      </c>
      <c r="F19" s="14">
        <v>0</v>
      </c>
      <c r="G19" s="14">
        <v>0</v>
      </c>
    </row>
    <row r="20" spans="1:7">
      <c r="A20" s="26" t="s">
        <v>105</v>
      </c>
      <c r="B20" s="27">
        <v>396</v>
      </c>
      <c r="C20" s="18">
        <v>0</v>
      </c>
      <c r="D20" s="18">
        <v>20</v>
      </c>
      <c r="E20" s="18">
        <v>20</v>
      </c>
      <c r="F20" s="18">
        <v>160</v>
      </c>
      <c r="G20" s="18">
        <v>160</v>
      </c>
    </row>
    <row r="21" spans="1:7">
      <c r="A21" s="26" t="s">
        <v>106</v>
      </c>
      <c r="B21" s="27">
        <v>376</v>
      </c>
      <c r="C21" s="18">
        <v>0</v>
      </c>
      <c r="D21" s="18">
        <v>184</v>
      </c>
      <c r="E21" s="18">
        <v>192</v>
      </c>
      <c r="F21" s="18">
        <v>0</v>
      </c>
      <c r="G21" s="18">
        <v>0</v>
      </c>
    </row>
    <row r="22" spans="1:7">
      <c r="A22" s="24" t="s">
        <v>107</v>
      </c>
      <c r="B22" s="25">
        <v>372</v>
      </c>
      <c r="C22" s="14">
        <v>0</v>
      </c>
      <c r="D22" s="14">
        <v>6</v>
      </c>
      <c r="E22" s="14">
        <v>6</v>
      </c>
      <c r="F22" s="14">
        <v>160</v>
      </c>
      <c r="G22" s="14">
        <v>176</v>
      </c>
    </row>
    <row r="23" spans="1:7">
      <c r="A23" s="26" t="s">
        <v>108</v>
      </c>
      <c r="B23" s="27">
        <v>352</v>
      </c>
      <c r="C23" s="18">
        <v>0</v>
      </c>
      <c r="D23" s="18">
        <v>0</v>
      </c>
      <c r="E23" s="18">
        <v>0</v>
      </c>
      <c r="F23" s="18">
        <v>160</v>
      </c>
      <c r="G23" s="18">
        <v>192</v>
      </c>
    </row>
    <row r="24" spans="1:7">
      <c r="A24" s="24" t="s">
        <v>109</v>
      </c>
      <c r="B24" s="25">
        <v>336</v>
      </c>
      <c r="C24" s="14">
        <v>0</v>
      </c>
      <c r="D24" s="14">
        <v>144</v>
      </c>
      <c r="E24" s="14">
        <v>192</v>
      </c>
      <c r="F24" s="14">
        <v>0</v>
      </c>
      <c r="G24" s="14">
        <v>0</v>
      </c>
    </row>
    <row r="25" spans="1:7">
      <c r="A25" s="26" t="s">
        <v>110</v>
      </c>
      <c r="B25" s="27">
        <v>275</v>
      </c>
      <c r="C25" s="18">
        <v>27</v>
      </c>
      <c r="D25" s="18">
        <v>0</v>
      </c>
      <c r="E25" s="18">
        <v>0</v>
      </c>
      <c r="F25" s="18">
        <v>120</v>
      </c>
      <c r="G25" s="18">
        <v>128</v>
      </c>
    </row>
    <row r="26" spans="1:7">
      <c r="A26" s="26" t="s">
        <v>111</v>
      </c>
      <c r="B26" s="27">
        <v>224</v>
      </c>
      <c r="C26" s="18">
        <v>0</v>
      </c>
      <c r="D26" s="18">
        <v>104</v>
      </c>
      <c r="E26" s="18">
        <v>120</v>
      </c>
      <c r="F26" s="18">
        <v>0</v>
      </c>
      <c r="G26" s="18">
        <v>0</v>
      </c>
    </row>
    <row r="27" spans="1:7">
      <c r="A27" s="24" t="s">
        <v>112</v>
      </c>
      <c r="B27" s="25">
        <v>197</v>
      </c>
      <c r="C27" s="14">
        <v>0</v>
      </c>
      <c r="D27" s="14">
        <v>77</v>
      </c>
      <c r="E27" s="14">
        <v>120</v>
      </c>
      <c r="F27" s="14">
        <v>0</v>
      </c>
      <c r="G27" s="14">
        <v>0</v>
      </c>
    </row>
    <row r="29" spans="1:7">
      <c r="A29" s="30" t="s">
        <v>113</v>
      </c>
      <c r="B29" s="30"/>
      <c r="C29" s="30"/>
      <c r="D29" s="30"/>
      <c r="E29" s="30"/>
      <c r="F29" s="30"/>
      <c r="G29" s="30"/>
    </row>
  </sheetData>
  <mergeCells count="2">
    <mergeCell ref="A1:N1"/>
    <mergeCell ref="A29:G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zoomScale="90" zoomScaleNormal="90" workbookViewId="0"/>
  </sheetViews>
  <sheetFormatPr defaultRowHeight="15"/>
  <cols>
    <col min="1" max="1" width="22.7109375" customWidth="1"/>
    <col min="2" max="11" width="14.7109375" customWidth="1"/>
  </cols>
  <sheetData>
    <row r="1" spans="1:10" ht="30" customHeight="1">
      <c r="A1" s="23" t="s">
        <v>114</v>
      </c>
      <c r="B1" s="23"/>
      <c r="C1" s="23"/>
      <c r="D1" s="23"/>
      <c r="E1" s="23"/>
      <c r="F1" s="23"/>
      <c r="G1" s="23"/>
      <c r="H1" s="23"/>
      <c r="I1" s="23"/>
      <c r="J1" s="23"/>
    </row>
    <row r="3" spans="1:10">
      <c r="A3" s="1" t="s">
        <v>115</v>
      </c>
      <c r="B3" s="1" t="s">
        <v>2</v>
      </c>
      <c r="C3" s="1" t="s">
        <v>53</v>
      </c>
      <c r="D3" s="1" t="s">
        <v>55</v>
      </c>
      <c r="E3" s="1" t="s">
        <v>57</v>
      </c>
      <c r="F3" s="1" t="s">
        <v>58</v>
      </c>
      <c r="G3" s="1" t="s">
        <v>60</v>
      </c>
      <c r="H3" s="1" t="s">
        <v>61</v>
      </c>
      <c r="I3" s="1" t="s">
        <v>63</v>
      </c>
      <c r="J3" s="1" t="s">
        <v>64</v>
      </c>
    </row>
    <row r="4" spans="1:10">
      <c r="A4" s="1" t="s">
        <v>2</v>
      </c>
      <c r="B4" s="31">
        <v>1</v>
      </c>
      <c r="C4" s="32">
        <v>-0.008999999999999999</v>
      </c>
      <c r="D4" s="33">
        <v>0.33</v>
      </c>
      <c r="E4" s="33">
        <v>0.33</v>
      </c>
      <c r="F4" s="34">
        <v>-0.322</v>
      </c>
      <c r="G4" s="32">
        <v>-0.256</v>
      </c>
      <c r="H4" s="32">
        <v>0.023</v>
      </c>
      <c r="I4" s="32">
        <v>0.019</v>
      </c>
      <c r="J4" s="32">
        <v>-0.037</v>
      </c>
    </row>
    <row r="5" spans="1:10">
      <c r="A5" s="1" t="s">
        <v>53</v>
      </c>
      <c r="B5" s="32">
        <v>-0.008999999999999999</v>
      </c>
      <c r="C5" s="31">
        <v>1</v>
      </c>
      <c r="D5" s="32">
        <v>-0.066</v>
      </c>
      <c r="E5" s="32">
        <v>-0.066</v>
      </c>
      <c r="F5" s="32">
        <v>-0.165</v>
      </c>
      <c r="G5" s="32">
        <v>-0.204</v>
      </c>
      <c r="H5" s="32">
        <v>0.156</v>
      </c>
      <c r="I5" s="32">
        <v>0.18</v>
      </c>
      <c r="J5" s="32">
        <v>-0.029</v>
      </c>
    </row>
    <row r="6" spans="1:10">
      <c r="A6" s="1" t="s">
        <v>55</v>
      </c>
      <c r="B6" s="33">
        <v>0.33</v>
      </c>
      <c r="C6" s="32">
        <v>-0.066</v>
      </c>
      <c r="D6" s="31">
        <v>1</v>
      </c>
      <c r="E6" s="35">
        <v>1</v>
      </c>
      <c r="F6" s="32">
        <v>-0.148</v>
      </c>
      <c r="G6" s="32">
        <v>-0.118</v>
      </c>
      <c r="H6" s="32">
        <v>0.064</v>
      </c>
      <c r="I6" s="32">
        <v>0.061</v>
      </c>
      <c r="J6" s="32">
        <v>-0.038</v>
      </c>
    </row>
    <row r="7" spans="1:10">
      <c r="A7" s="1" t="s">
        <v>57</v>
      </c>
      <c r="B7" s="33">
        <v>0.33</v>
      </c>
      <c r="C7" s="32">
        <v>-0.066</v>
      </c>
      <c r="D7" s="35">
        <v>1</v>
      </c>
      <c r="E7" s="31">
        <v>1</v>
      </c>
      <c r="F7" s="32">
        <v>-0.148</v>
      </c>
      <c r="G7" s="32">
        <v>-0.118</v>
      </c>
      <c r="H7" s="32">
        <v>0.064</v>
      </c>
      <c r="I7" s="32">
        <v>0.061</v>
      </c>
      <c r="J7" s="32">
        <v>-0.038</v>
      </c>
    </row>
    <row r="8" spans="1:10">
      <c r="A8" s="1" t="s">
        <v>58</v>
      </c>
      <c r="B8" s="34">
        <v>-0.322</v>
      </c>
      <c r="C8" s="32">
        <v>-0.165</v>
      </c>
      <c r="D8" s="32">
        <v>-0.148</v>
      </c>
      <c r="E8" s="32">
        <v>-0.148</v>
      </c>
      <c r="F8" s="31">
        <v>1</v>
      </c>
      <c r="G8" s="33">
        <v>0.572</v>
      </c>
      <c r="H8" s="32">
        <v>-0.274</v>
      </c>
      <c r="I8" s="32">
        <v>-0.285</v>
      </c>
      <c r="J8" s="32">
        <v>-0.148</v>
      </c>
    </row>
    <row r="9" spans="1:10">
      <c r="A9" s="1" t="s">
        <v>60</v>
      </c>
      <c r="B9" s="32">
        <v>-0.256</v>
      </c>
      <c r="C9" s="32">
        <v>-0.204</v>
      </c>
      <c r="D9" s="32">
        <v>-0.118</v>
      </c>
      <c r="E9" s="32">
        <v>-0.118</v>
      </c>
      <c r="F9" s="33">
        <v>0.572</v>
      </c>
      <c r="G9" s="31">
        <v>1</v>
      </c>
      <c r="H9" s="34">
        <v>-0.312</v>
      </c>
      <c r="I9" s="34">
        <v>-0.314</v>
      </c>
      <c r="J9" s="32">
        <v>-0.118</v>
      </c>
    </row>
    <row r="10" spans="1:10">
      <c r="A10" s="1" t="s">
        <v>61</v>
      </c>
      <c r="B10" s="32">
        <v>0.023</v>
      </c>
      <c r="C10" s="32">
        <v>0.156</v>
      </c>
      <c r="D10" s="32">
        <v>0.064</v>
      </c>
      <c r="E10" s="32">
        <v>0.064</v>
      </c>
      <c r="F10" s="32">
        <v>-0.274</v>
      </c>
      <c r="G10" s="34">
        <v>-0.312</v>
      </c>
      <c r="H10" s="31">
        <v>1</v>
      </c>
      <c r="I10" s="36">
        <v>0.996</v>
      </c>
      <c r="J10" s="32">
        <v>-0.049</v>
      </c>
    </row>
    <row r="11" spans="1:10">
      <c r="A11" s="1" t="s">
        <v>63</v>
      </c>
      <c r="B11" s="32">
        <v>0.019</v>
      </c>
      <c r="C11" s="32">
        <v>0.18</v>
      </c>
      <c r="D11" s="32">
        <v>0.061</v>
      </c>
      <c r="E11" s="32">
        <v>0.061</v>
      </c>
      <c r="F11" s="32">
        <v>-0.285</v>
      </c>
      <c r="G11" s="34">
        <v>-0.314</v>
      </c>
      <c r="H11" s="36">
        <v>0.996</v>
      </c>
      <c r="I11" s="31">
        <v>1</v>
      </c>
      <c r="J11" s="32">
        <v>-0.049</v>
      </c>
    </row>
    <row r="12" spans="1:10">
      <c r="A12" s="1" t="s">
        <v>64</v>
      </c>
      <c r="B12" s="32">
        <v>-0.037</v>
      </c>
      <c r="C12" s="32">
        <v>-0.029</v>
      </c>
      <c r="D12" s="32">
        <v>-0.038</v>
      </c>
      <c r="E12" s="32">
        <v>-0.038</v>
      </c>
      <c r="F12" s="32">
        <v>-0.148</v>
      </c>
      <c r="G12" s="32">
        <v>-0.118</v>
      </c>
      <c r="H12" s="32">
        <v>-0.049</v>
      </c>
      <c r="I12" s="32">
        <v>-0.049</v>
      </c>
      <c r="J12" s="31">
        <v>1</v>
      </c>
    </row>
    <row r="15" spans="1:10">
      <c r="A15" s="10" t="s">
        <v>116</v>
      </c>
    </row>
    <row r="16" spans="1:10" ht="30" customHeight="1">
      <c r="A16" s="37" t="s">
        <v>117</v>
      </c>
      <c r="B16" s="22" t="s">
        <v>118</v>
      </c>
      <c r="C16" s="22"/>
      <c r="D16" s="22"/>
      <c r="E16" s="22"/>
      <c r="F16" s="22"/>
      <c r="G16" s="22"/>
      <c r="H16" s="22"/>
      <c r="I16" s="22"/>
      <c r="J16" s="22"/>
    </row>
    <row r="17" spans="1:10" ht="30" customHeight="1">
      <c r="A17" s="38" t="s">
        <v>117</v>
      </c>
      <c r="B17" s="22" t="s">
        <v>119</v>
      </c>
      <c r="C17" s="22"/>
      <c r="D17" s="22"/>
      <c r="E17" s="22"/>
      <c r="F17" s="22"/>
      <c r="G17" s="22"/>
      <c r="H17" s="22"/>
      <c r="I17" s="22"/>
      <c r="J17" s="22"/>
    </row>
    <row r="18" spans="1:10" ht="30" customHeight="1">
      <c r="A18" s="39" t="s">
        <v>117</v>
      </c>
      <c r="B18" s="22" t="s">
        <v>120</v>
      </c>
      <c r="C18" s="22"/>
      <c r="D18" s="22"/>
      <c r="E18" s="22"/>
      <c r="F18" s="22"/>
      <c r="G18" s="22"/>
      <c r="H18" s="22"/>
      <c r="I18" s="22"/>
      <c r="J18" s="22"/>
    </row>
    <row r="19" spans="1:10" ht="30" customHeight="1">
      <c r="A19" s="40" t="s">
        <v>117</v>
      </c>
      <c r="B19" s="22" t="s">
        <v>121</v>
      </c>
      <c r="C19" s="22"/>
      <c r="D19" s="22"/>
      <c r="E19" s="22"/>
      <c r="F19" s="22"/>
      <c r="G19" s="22"/>
      <c r="H19" s="22"/>
      <c r="I19" s="22"/>
      <c r="J19" s="22"/>
    </row>
    <row r="21" spans="1:10" ht="60" customHeight="1">
      <c r="A21" s="41" t="s">
        <v>122</v>
      </c>
      <c r="B21" s="41"/>
      <c r="C21" s="41"/>
      <c r="D21" s="41"/>
      <c r="E21" s="41"/>
      <c r="F21" s="41"/>
      <c r="G21" s="41"/>
      <c r="H21" s="41"/>
      <c r="I21" s="41"/>
      <c r="J21" s="41"/>
    </row>
  </sheetData>
  <mergeCells count="6">
    <mergeCell ref="A1:J1"/>
    <mergeCell ref="B16:J16"/>
    <mergeCell ref="B17:J17"/>
    <mergeCell ref="B18:J18"/>
    <mergeCell ref="B19:J19"/>
    <mergeCell ref="A21:J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4"/>
  <sheetViews>
    <sheetView zoomScale="90" zoomScaleNormal="90" workbookViewId="0"/>
  </sheetViews>
  <sheetFormatPr defaultRowHeight="15"/>
  <cols>
    <col min="1" max="1" width="12.7109375" customWidth="1"/>
    <col min="2" max="2" width="25.7109375" customWidth="1"/>
    <col min="3" max="4" width="45.7109375" customWidth="1"/>
    <col min="5" max="16" width="14.7109375" customWidth="1"/>
  </cols>
  <sheetData>
    <row r="1" spans="1:14" ht="30" customHeight="1">
      <c r="A1" s="23" t="s">
        <v>123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ht="20" customHeight="1">
      <c r="A3" s="10" t="s">
        <v>124</v>
      </c>
    </row>
    <row r="4" spans="1:14">
      <c r="A4" s="42" t="s">
        <v>125</v>
      </c>
      <c r="B4" s="43" t="s">
        <v>126</v>
      </c>
      <c r="C4" s="43"/>
      <c r="D4" s="43"/>
      <c r="E4" s="43"/>
      <c r="F4" s="43"/>
    </row>
    <row r="5" spans="1:14">
      <c r="A5" s="42" t="s">
        <v>127</v>
      </c>
      <c r="B5" s="43" t="s">
        <v>128</v>
      </c>
      <c r="C5" s="43"/>
      <c r="D5" s="43"/>
      <c r="E5" s="43"/>
      <c r="F5" s="43"/>
    </row>
    <row r="6" spans="1:14">
      <c r="A6" s="42" t="s">
        <v>129</v>
      </c>
      <c r="B6" s="43" t="s">
        <v>130</v>
      </c>
      <c r="C6" s="43"/>
      <c r="D6" s="43"/>
      <c r="E6" s="43"/>
      <c r="F6" s="43"/>
    </row>
    <row r="7" spans="1:14">
      <c r="A7" s="42" t="s">
        <v>131</v>
      </c>
      <c r="B7" s="43" t="s">
        <v>132</v>
      </c>
      <c r="C7" s="43"/>
      <c r="D7" s="43"/>
      <c r="E7" s="43"/>
      <c r="F7" s="43"/>
    </row>
    <row r="8" spans="1:14">
      <c r="A8" s="42" t="s">
        <v>133</v>
      </c>
      <c r="B8" s="43" t="s">
        <v>134</v>
      </c>
      <c r="C8" s="43"/>
      <c r="D8" s="43"/>
      <c r="E8" s="43"/>
      <c r="F8" s="43"/>
    </row>
    <row r="9" spans="1:14">
      <c r="A9" s="42" t="s">
        <v>135</v>
      </c>
      <c r="B9" s="43" t="s">
        <v>136</v>
      </c>
      <c r="C9" s="43"/>
      <c r="D9" s="43"/>
      <c r="E9" s="43"/>
      <c r="F9" s="43"/>
    </row>
    <row r="10" spans="1:14">
      <c r="A10" s="42" t="s">
        <v>137</v>
      </c>
      <c r="B10" s="43" t="s">
        <v>138</v>
      </c>
      <c r="C10" s="43"/>
      <c r="D10" s="43"/>
      <c r="E10" s="43"/>
      <c r="F10" s="43"/>
    </row>
    <row r="13" spans="1:14" ht="20" customHeight="1">
      <c r="A13" s="10" t="s">
        <v>139</v>
      </c>
    </row>
    <row r="14" spans="1:14" ht="22" customHeight="1">
      <c r="A14" s="1" t="s">
        <v>0</v>
      </c>
      <c r="B14" s="1" t="s">
        <v>1</v>
      </c>
      <c r="C14" s="1" t="s">
        <v>140</v>
      </c>
      <c r="D14" s="1" t="s">
        <v>11</v>
      </c>
      <c r="E14" s="1" t="s">
        <v>2</v>
      </c>
      <c r="F14" s="1" t="s">
        <v>3</v>
      </c>
      <c r="G14" s="1" t="s">
        <v>141</v>
      </c>
      <c r="H14" s="1" t="s">
        <v>142</v>
      </c>
      <c r="I14" s="1" t="s">
        <v>143</v>
      </c>
      <c r="J14" s="1" t="s">
        <v>144</v>
      </c>
      <c r="K14" s="1" t="s">
        <v>145</v>
      </c>
      <c r="L14" s="1" t="s">
        <v>146</v>
      </c>
      <c r="M14" s="1" t="s">
        <v>10</v>
      </c>
      <c r="N14" s="1" t="s">
        <v>147</v>
      </c>
    </row>
    <row r="15" spans="1:14">
      <c r="A15" s="2">
        <v>46065</v>
      </c>
      <c r="B15" s="44" t="s">
        <v>18</v>
      </c>
      <c r="C15" s="44" t="s">
        <v>148</v>
      </c>
      <c r="D15" s="44">
        <v>275</v>
      </c>
      <c r="E15" s="44">
        <v>27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4">
        <v>120</v>
      </c>
      <c r="L15" s="44">
        <v>128</v>
      </c>
      <c r="M15" s="45">
        <v>0</v>
      </c>
      <c r="N15" s="44" t="s">
        <v>149</v>
      </c>
    </row>
    <row r="16" spans="1:14">
      <c r="A16" s="2">
        <v>46076</v>
      </c>
      <c r="B16" s="44" t="s">
        <v>13</v>
      </c>
      <c r="C16" s="44" t="s">
        <v>148</v>
      </c>
      <c r="D16" s="44">
        <v>476</v>
      </c>
      <c r="E16" s="45">
        <v>0</v>
      </c>
      <c r="F16" s="45">
        <v>0</v>
      </c>
      <c r="G16" s="45">
        <v>0</v>
      </c>
      <c r="H16" s="45">
        <v>0</v>
      </c>
      <c r="I16" s="44">
        <v>32</v>
      </c>
      <c r="J16" s="45">
        <v>0</v>
      </c>
      <c r="K16" s="44">
        <v>220</v>
      </c>
      <c r="L16" s="44">
        <v>224</v>
      </c>
      <c r="M16" s="45">
        <v>0</v>
      </c>
      <c r="N16" s="44" t="s">
        <v>150</v>
      </c>
    </row>
    <row r="17" spans="1:14">
      <c r="A17" s="2">
        <v>46078</v>
      </c>
      <c r="B17" s="44" t="s">
        <v>16</v>
      </c>
      <c r="C17" s="44" t="s">
        <v>148</v>
      </c>
      <c r="D17" s="44">
        <v>426</v>
      </c>
      <c r="E17" s="45">
        <v>0</v>
      </c>
      <c r="F17" s="44">
        <v>2</v>
      </c>
      <c r="G17" s="45">
        <v>0</v>
      </c>
      <c r="H17" s="45">
        <v>0</v>
      </c>
      <c r="I17" s="45">
        <v>0</v>
      </c>
      <c r="J17" s="45">
        <v>0</v>
      </c>
      <c r="K17" s="44">
        <v>192</v>
      </c>
      <c r="L17" s="44">
        <v>232</v>
      </c>
      <c r="M17" s="45">
        <v>0</v>
      </c>
      <c r="N17" s="44" t="s">
        <v>151</v>
      </c>
    </row>
    <row r="20" spans="1:14" ht="20" customHeight="1">
      <c r="A20" s="10" t="s">
        <v>152</v>
      </c>
    </row>
    <row r="21" spans="1:14" ht="18" customHeight="1">
      <c r="A21" s="46" t="s">
        <v>0</v>
      </c>
      <c r="B21" s="46" t="s">
        <v>153</v>
      </c>
      <c r="C21" s="46" t="s">
        <v>154</v>
      </c>
      <c r="D21" s="46" t="s">
        <v>155</v>
      </c>
    </row>
    <row r="22" spans="1:14" ht="50" customHeight="1">
      <c r="A22" s="22" t="s">
        <v>156</v>
      </c>
      <c r="B22" s="22" t="s">
        <v>157</v>
      </c>
      <c r="C22" s="22" t="s">
        <v>158</v>
      </c>
      <c r="D22" s="22" t="s">
        <v>159</v>
      </c>
    </row>
    <row r="23" spans="1:14" ht="50" customHeight="1">
      <c r="A23" s="22" t="s">
        <v>160</v>
      </c>
      <c r="B23" s="22" t="s">
        <v>161</v>
      </c>
      <c r="C23" s="22" t="s">
        <v>162</v>
      </c>
      <c r="D23" s="22" t="s">
        <v>163</v>
      </c>
    </row>
    <row r="24" spans="1:14" ht="50" customHeight="1">
      <c r="A24" s="22" t="s">
        <v>164</v>
      </c>
      <c r="B24" s="22" t="s">
        <v>165</v>
      </c>
      <c r="C24" s="22" t="s">
        <v>166</v>
      </c>
      <c r="D24" s="22" t="s">
        <v>167</v>
      </c>
    </row>
  </sheetData>
  <mergeCells count="8">
    <mergeCell ref="A1:N1"/>
    <mergeCell ref="B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7"/>
  <sheetViews>
    <sheetView zoomScale="80" zoomScaleNormal="80" workbookViewId="0"/>
  </sheetViews>
  <sheetFormatPr defaultRowHeight="15"/>
  <sheetData>
    <row r="1" spans="1:20" ht="36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4" spans="1:20">
      <c r="A4" s="1" t="s">
        <v>82</v>
      </c>
      <c r="B4" s="1" t="s">
        <v>169</v>
      </c>
      <c r="C4" s="1" t="s">
        <v>170</v>
      </c>
      <c r="D4" s="1" t="s">
        <v>171</v>
      </c>
      <c r="E4" s="1" t="s">
        <v>2</v>
      </c>
      <c r="F4" s="1" t="s">
        <v>172</v>
      </c>
      <c r="G4" s="1" t="s">
        <v>64</v>
      </c>
      <c r="H4" s="1" t="s">
        <v>53</v>
      </c>
    </row>
    <row r="5" spans="1:20">
      <c r="A5" s="3" t="s">
        <v>91</v>
      </c>
      <c r="B5" s="4">
        <v>421</v>
      </c>
      <c r="C5" s="4">
        <v>421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20">
      <c r="A6" s="3" t="s">
        <v>93</v>
      </c>
      <c r="B6" s="4">
        <v>2192</v>
      </c>
      <c r="C6" s="4">
        <v>2192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20">
      <c r="A7" s="3" t="s">
        <v>94</v>
      </c>
      <c r="B7" s="4">
        <v>161</v>
      </c>
      <c r="C7" s="4">
        <v>152</v>
      </c>
      <c r="D7" s="4">
        <v>0</v>
      </c>
      <c r="E7" s="4">
        <v>6</v>
      </c>
      <c r="F7" s="4">
        <v>0</v>
      </c>
      <c r="G7" s="4">
        <v>0</v>
      </c>
      <c r="H7" s="4">
        <v>3</v>
      </c>
    </row>
    <row r="8" spans="1:20">
      <c r="A8" s="3" t="s">
        <v>95</v>
      </c>
      <c r="B8" s="4">
        <v>1246</v>
      </c>
      <c r="C8" s="4">
        <v>56</v>
      </c>
      <c r="D8" s="4">
        <v>1116</v>
      </c>
      <c r="E8" s="4">
        <v>69</v>
      </c>
      <c r="F8" s="4">
        <v>0</v>
      </c>
      <c r="G8" s="4">
        <v>0</v>
      </c>
      <c r="H8" s="4">
        <v>5</v>
      </c>
    </row>
    <row r="9" spans="1:20">
      <c r="A9" s="3" t="s">
        <v>96</v>
      </c>
      <c r="B9" s="4">
        <v>1306</v>
      </c>
      <c r="C9" s="4">
        <v>192</v>
      </c>
      <c r="D9" s="4">
        <v>1008</v>
      </c>
      <c r="E9" s="4">
        <v>10</v>
      </c>
      <c r="F9" s="4">
        <v>96</v>
      </c>
      <c r="G9" s="4">
        <v>0</v>
      </c>
      <c r="H9" s="4">
        <v>0</v>
      </c>
    </row>
    <row r="10" spans="1:20">
      <c r="A10" s="3" t="s">
        <v>97</v>
      </c>
      <c r="B10" s="4">
        <v>166</v>
      </c>
      <c r="C10" s="4">
        <v>0</v>
      </c>
      <c r="D10" s="4">
        <v>0</v>
      </c>
      <c r="E10" s="4">
        <v>73</v>
      </c>
      <c r="F10" s="4">
        <v>84</v>
      </c>
      <c r="G10" s="4">
        <v>9</v>
      </c>
      <c r="H10" s="4">
        <v>0</v>
      </c>
    </row>
    <row r="13" spans="1:20">
      <c r="J13" s="1" t="s">
        <v>46</v>
      </c>
      <c r="K13" s="1" t="s">
        <v>40</v>
      </c>
    </row>
    <row r="14" spans="1:20">
      <c r="J14" s="3" t="s">
        <v>59</v>
      </c>
      <c r="K14" s="4">
        <v>3013</v>
      </c>
    </row>
    <row r="15" spans="1:20">
      <c r="J15" s="3" t="s">
        <v>62</v>
      </c>
      <c r="K15" s="4">
        <v>2124</v>
      </c>
    </row>
    <row r="16" spans="1:20">
      <c r="J16" s="3" t="s">
        <v>2</v>
      </c>
      <c r="K16" s="4">
        <v>158</v>
      </c>
    </row>
    <row r="17" spans="10:11">
      <c r="J17" s="3" t="s">
        <v>56</v>
      </c>
      <c r="K17" s="4">
        <v>180</v>
      </c>
    </row>
    <row r="18" spans="10:11">
      <c r="J18" s="3" t="s">
        <v>10</v>
      </c>
      <c r="K18" s="4">
        <v>9</v>
      </c>
    </row>
    <row r="19" spans="10:11">
      <c r="J19" s="3" t="s">
        <v>3</v>
      </c>
      <c r="K19" s="4">
        <v>8</v>
      </c>
    </row>
    <row r="22" spans="10:11">
      <c r="J22" s="1" t="s">
        <v>0</v>
      </c>
      <c r="K22" s="1" t="s">
        <v>11</v>
      </c>
    </row>
    <row r="23" spans="10:11">
      <c r="J23" s="3" t="s">
        <v>173</v>
      </c>
      <c r="K23" s="4">
        <v>180</v>
      </c>
    </row>
    <row r="24" spans="10:11">
      <c r="J24" s="3" t="s">
        <v>174</v>
      </c>
      <c r="K24" s="4">
        <v>132</v>
      </c>
    </row>
    <row r="25" spans="10:11">
      <c r="J25" s="3" t="s">
        <v>175</v>
      </c>
      <c r="K25" s="4">
        <v>116</v>
      </c>
    </row>
    <row r="26" spans="10:11">
      <c r="J26" s="3" t="s">
        <v>176</v>
      </c>
      <c r="K26" s="4">
        <v>132</v>
      </c>
    </row>
    <row r="27" spans="10:11">
      <c r="J27" s="3" t="s">
        <v>177</v>
      </c>
      <c r="K27" s="4">
        <v>132</v>
      </c>
    </row>
    <row r="28" spans="10:11">
      <c r="J28" s="3" t="s">
        <v>178</v>
      </c>
      <c r="K28" s="4">
        <v>275</v>
      </c>
    </row>
    <row r="29" spans="10:11">
      <c r="J29" s="3" t="s">
        <v>179</v>
      </c>
      <c r="K29" s="4">
        <v>476</v>
      </c>
    </row>
    <row r="30" spans="10:11">
      <c r="J30" s="3" t="s">
        <v>180</v>
      </c>
      <c r="K30" s="4">
        <v>426</v>
      </c>
    </row>
    <row r="31" spans="10:11">
      <c r="J31" s="3" t="s">
        <v>181</v>
      </c>
      <c r="K31" s="4">
        <v>176</v>
      </c>
    </row>
    <row r="32" spans="10:11">
      <c r="J32" s="3" t="s">
        <v>182</v>
      </c>
      <c r="K32" s="4">
        <v>176</v>
      </c>
    </row>
    <row r="33" spans="10:11">
      <c r="J33" s="3" t="s">
        <v>183</v>
      </c>
      <c r="K33" s="4">
        <v>200</v>
      </c>
    </row>
    <row r="34" spans="10:11">
      <c r="J34" s="3" t="s">
        <v>184</v>
      </c>
      <c r="K34" s="4">
        <v>172</v>
      </c>
    </row>
    <row r="35" spans="10:11">
      <c r="J35" s="3" t="s">
        <v>185</v>
      </c>
      <c r="K35" s="4">
        <v>200</v>
      </c>
    </row>
    <row r="36" spans="10:11">
      <c r="J36" s="3" t="s">
        <v>186</v>
      </c>
      <c r="K36" s="4">
        <v>196</v>
      </c>
    </row>
    <row r="37" spans="10:11">
      <c r="J37" s="3" t="s">
        <v>187</v>
      </c>
      <c r="K37" s="4">
        <v>176</v>
      </c>
    </row>
  </sheetData>
  <mergeCells count="1">
    <mergeCell ref="A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1_Raw_Data</vt:lpstr>
      <vt:lpstr>2_Summary</vt:lpstr>
      <vt:lpstr>3_Trend</vt:lpstr>
      <vt:lpstr>4_Correlation</vt:lpstr>
      <vt:lpstr>5_Anomaly</vt:lpstr>
      <vt:lpstr>6_Charts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2026-04-28T02:56:30Z</dcterms:created>
  <dcterms:modified xsi:type="dcterms:W3CDTF">2026-04-28T02:56:30Z</dcterms:modified>
</cp:coreProperties>
</file>